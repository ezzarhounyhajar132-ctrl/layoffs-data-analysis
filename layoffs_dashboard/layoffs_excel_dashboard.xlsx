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tables/table3.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ll\Desktop\data_analycts_project\"/>
    </mc:Choice>
  </mc:AlternateContent>
  <xr:revisionPtr revIDLastSave="0" documentId="13_ncr:1_{08A9F3B7-5055-4929-A2C6-CD382CB399E5}" xr6:coauthVersionLast="47" xr6:coauthVersionMax="47" xr10:uidLastSave="{00000000-0000-0000-0000-000000000000}"/>
  <workbookProtection workbookAlgorithmName="SHA-512" workbookHashValue="5mdPKMwmSrdj0VshHbgyfVY06ZWQ1Mb/XGxDx7Z+CIsBDzQcYQn01Yoks/eQslz0f3uk8n+fcbpj/ThpNV426w==" workbookSaltValue="9fKBehOJ8xHj6yT9aP/g+w==" workbookSpinCount="100000" lockStructure="1"/>
  <bookViews>
    <workbookView xWindow="-120" yWindow="-120" windowWidth="20730" windowHeight="11160" firstSheet="1" activeTab="1" xr2:uid="{038459B7-97DE-431A-8B1E-FD3453AE5A78}"/>
  </bookViews>
  <sheets>
    <sheet name="an" sheetId="3" state="hidden" r:id="rId1"/>
    <sheet name="overview" sheetId="5" r:id="rId2"/>
    <sheet name="analysis" sheetId="6" r:id="rId3"/>
    <sheet name="insights" sheetId="8" r:id="rId4"/>
    <sheet name="Sheet1" sheetId="10" state="hidden" r:id="rId5"/>
    <sheet name="dataset" sheetId="1" r:id="rId6"/>
    <sheet name="Dashboard Instructions" sheetId="9" r:id="rId7"/>
  </sheets>
  <definedNames>
    <definedName name="_xlnm._FilterDatabase" localSheetId="0" hidden="1">an!#REF!</definedName>
    <definedName name="Slicer_month_new">#N/A</definedName>
    <definedName name="Slicer_year">#N/A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4" i="10" l="1"/>
  <c r="E4" i="10" l="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BO840" i="3"/>
  <c r="BP841" i="3"/>
  <c r="BP842" i="3"/>
  <c r="BP843" i="3"/>
  <c r="BP844" i="3"/>
  <c r="BP845" i="3"/>
  <c r="BP846" i="3"/>
  <c r="BP847" i="3"/>
  <c r="BP848" i="3"/>
  <c r="BP849" i="3"/>
  <c r="BP850" i="3"/>
  <c r="BP851" i="3"/>
  <c r="BP852" i="3"/>
  <c r="BP853" i="3"/>
  <c r="BP854" i="3"/>
  <c r="BP855" i="3"/>
  <c r="BP856" i="3"/>
  <c r="BP857" i="3"/>
  <c r="BP858" i="3"/>
  <c r="BP859" i="3"/>
  <c r="BP860" i="3"/>
  <c r="BP861" i="3"/>
  <c r="BP862" i="3"/>
  <c r="BP863" i="3"/>
  <c r="BP864" i="3"/>
  <c r="BP865" i="3"/>
  <c r="BP866" i="3"/>
  <c r="BP867" i="3"/>
  <c r="BP868" i="3"/>
  <c r="BP869" i="3"/>
  <c r="BP870" i="3"/>
  <c r="BP871" i="3"/>
  <c r="BP872" i="3"/>
  <c r="BP873" i="3"/>
  <c r="BP874" i="3"/>
  <c r="BP875" i="3"/>
  <c r="BP876" i="3"/>
  <c r="BP877" i="3"/>
  <c r="BP878" i="3"/>
  <c r="BP879" i="3"/>
  <c r="BP880" i="3"/>
  <c r="BP881" i="3"/>
  <c r="BP882" i="3"/>
  <c r="BP883" i="3"/>
  <c r="BP884" i="3"/>
  <c r="BP885" i="3"/>
  <c r="BP886" i="3"/>
  <c r="BP887" i="3"/>
  <c r="BP888" i="3"/>
  <c r="BP889" i="3"/>
  <c r="BP890" i="3"/>
  <c r="BP891" i="3"/>
  <c r="BP892" i="3"/>
  <c r="BP893" i="3"/>
  <c r="BP894" i="3"/>
  <c r="BP895" i="3"/>
  <c r="BP896" i="3"/>
  <c r="BP897" i="3"/>
  <c r="BP898" i="3"/>
  <c r="BP899" i="3"/>
  <c r="BP900" i="3"/>
  <c r="BP901" i="3"/>
  <c r="BP902" i="3"/>
  <c r="BP903" i="3"/>
  <c r="BP904" i="3"/>
  <c r="BP905" i="3"/>
  <c r="BP906" i="3"/>
  <c r="BP907" i="3"/>
  <c r="BP908" i="3"/>
  <c r="BP909" i="3"/>
  <c r="BP910" i="3"/>
  <c r="BP911" i="3"/>
  <c r="BP912" i="3"/>
  <c r="BP913" i="3"/>
  <c r="BP914" i="3"/>
  <c r="BP915" i="3"/>
  <c r="BP916" i="3"/>
  <c r="BP917" i="3"/>
  <c r="BP918" i="3"/>
  <c r="BP919" i="3"/>
  <c r="BP920" i="3"/>
  <c r="BP921" i="3"/>
  <c r="BP922" i="3"/>
  <c r="BP923" i="3"/>
  <c r="BP924" i="3"/>
  <c r="BP925" i="3"/>
  <c r="BP926" i="3"/>
  <c r="BP927" i="3"/>
  <c r="BP928" i="3"/>
  <c r="BP929" i="3"/>
  <c r="BP930" i="3"/>
  <c r="BP931" i="3"/>
  <c r="BP932" i="3"/>
  <c r="BP933" i="3"/>
  <c r="BP934" i="3"/>
  <c r="BP935" i="3"/>
  <c r="BP936" i="3"/>
  <c r="BP937" i="3"/>
  <c r="BP938" i="3"/>
  <c r="BP939" i="3"/>
  <c r="BP940" i="3"/>
  <c r="BP941" i="3"/>
  <c r="BP942" i="3"/>
  <c r="BP943" i="3"/>
  <c r="BP944" i="3"/>
  <c r="BP945" i="3"/>
  <c r="BP946" i="3"/>
  <c r="BP947" i="3"/>
  <c r="BP948" i="3"/>
  <c r="BP949" i="3"/>
  <c r="BP950" i="3"/>
  <c r="BP951" i="3"/>
  <c r="BP952" i="3"/>
  <c r="BP953" i="3"/>
  <c r="BP954" i="3"/>
  <c r="BP955" i="3"/>
  <c r="BP956" i="3"/>
  <c r="BP957" i="3"/>
  <c r="BP958" i="3"/>
  <c r="BP959" i="3"/>
  <c r="BP960" i="3"/>
  <c r="BP961" i="3"/>
  <c r="BP962" i="3"/>
  <c r="BP963" i="3"/>
  <c r="BP964" i="3"/>
  <c r="BP965" i="3"/>
  <c r="BP966" i="3"/>
  <c r="BP967" i="3"/>
  <c r="BP968" i="3"/>
  <c r="BP969" i="3"/>
  <c r="BP970" i="3"/>
  <c r="BP971" i="3"/>
  <c r="BP972" i="3"/>
  <c r="BP973" i="3"/>
  <c r="BP974" i="3"/>
  <c r="BP975" i="3"/>
  <c r="BP976" i="3"/>
  <c r="BP977" i="3"/>
  <c r="BP978" i="3"/>
  <c r="BP979" i="3"/>
  <c r="BP980" i="3"/>
  <c r="BP981" i="3"/>
  <c r="BP982" i="3"/>
  <c r="BP983" i="3"/>
  <c r="BP984" i="3"/>
  <c r="BP985" i="3"/>
  <c r="BP986" i="3"/>
  <c r="BP987" i="3"/>
  <c r="BP988" i="3"/>
  <c r="BP989" i="3"/>
  <c r="BP990" i="3"/>
  <c r="BP991" i="3"/>
  <c r="BP992" i="3"/>
  <c r="BP993" i="3"/>
  <c r="BP994" i="3"/>
  <c r="BP995" i="3"/>
  <c r="BP996" i="3"/>
  <c r="BP997" i="3"/>
  <c r="BP998" i="3"/>
  <c r="BP999" i="3"/>
  <c r="BP1000" i="3"/>
  <c r="BP1001" i="3"/>
  <c r="BP1002" i="3"/>
  <c r="BP1003" i="3"/>
  <c r="BP1004" i="3"/>
  <c r="BP1005" i="3"/>
  <c r="BP1006" i="3"/>
  <c r="BP1007" i="3"/>
  <c r="BP1008" i="3"/>
  <c r="BP1009" i="3"/>
  <c r="BP1010" i="3"/>
  <c r="BP1011" i="3"/>
  <c r="BP1012" i="3"/>
  <c r="BP1013" i="3"/>
  <c r="BP1014" i="3"/>
  <c r="BP1015" i="3"/>
  <c r="BP1016" i="3"/>
  <c r="BP1017" i="3"/>
  <c r="BP1018" i="3"/>
  <c r="BP1019" i="3"/>
  <c r="BP1020" i="3"/>
  <c r="BP1021" i="3"/>
  <c r="BP1022" i="3"/>
  <c r="BP1023" i="3"/>
  <c r="BP1024" i="3"/>
  <c r="BP1025" i="3"/>
  <c r="BP1026" i="3"/>
  <c r="BP1027" i="3"/>
  <c r="BP1028" i="3"/>
  <c r="BP1029" i="3"/>
  <c r="BP1030" i="3"/>
  <c r="BP1031" i="3"/>
  <c r="BP1032" i="3"/>
  <c r="BP1033" i="3"/>
  <c r="BP1034" i="3"/>
  <c r="BP1035" i="3"/>
  <c r="BP1036" i="3"/>
  <c r="BP1037" i="3"/>
  <c r="BP1038" i="3"/>
  <c r="BP1039" i="3"/>
  <c r="BP1040" i="3"/>
  <c r="BP1041" i="3"/>
  <c r="BP1042" i="3"/>
  <c r="BP1043" i="3"/>
  <c r="BP1044" i="3"/>
  <c r="BP1045" i="3"/>
  <c r="BP1046" i="3"/>
  <c r="BP1047" i="3"/>
  <c r="BP1048" i="3"/>
  <c r="BP1049" i="3"/>
  <c r="BP1050" i="3"/>
  <c r="BP1051" i="3"/>
  <c r="BP1052" i="3"/>
  <c r="BP1053" i="3"/>
  <c r="BP1054" i="3"/>
  <c r="BP1055" i="3"/>
  <c r="BP1056" i="3"/>
  <c r="BP1057" i="3"/>
  <c r="BP1058" i="3"/>
  <c r="BP1059" i="3"/>
  <c r="BP1060" i="3"/>
  <c r="BP1061" i="3"/>
  <c r="BP1062" i="3"/>
  <c r="BP1063" i="3"/>
  <c r="BP1064" i="3"/>
  <c r="BP1065" i="3"/>
  <c r="BP1066" i="3"/>
  <c r="BP1067" i="3"/>
  <c r="BP1068" i="3"/>
  <c r="BP1069" i="3"/>
  <c r="BP1070" i="3"/>
  <c r="BP1071" i="3"/>
  <c r="BP1072" i="3"/>
  <c r="BP1073" i="3"/>
  <c r="BP1074" i="3"/>
  <c r="BP1075" i="3"/>
  <c r="BP1076" i="3"/>
  <c r="BP1077" i="3"/>
  <c r="BP1078" i="3"/>
  <c r="BP1079" i="3"/>
  <c r="BP1080" i="3"/>
  <c r="BP1081" i="3"/>
  <c r="BP1082" i="3"/>
  <c r="BP1083" i="3"/>
  <c r="BP1084" i="3"/>
  <c r="BP1085" i="3"/>
  <c r="BP1086" i="3"/>
  <c r="BP1087" i="3"/>
  <c r="BP1088" i="3"/>
  <c r="BP1089" i="3"/>
  <c r="BP1090" i="3"/>
  <c r="BP1091" i="3"/>
  <c r="BP1092" i="3"/>
  <c r="BP1093" i="3"/>
  <c r="BP1094" i="3"/>
  <c r="BP1095" i="3"/>
  <c r="BP1096" i="3"/>
  <c r="BP1097" i="3"/>
  <c r="BP1098" i="3"/>
  <c r="BP1099" i="3"/>
  <c r="BP1100" i="3"/>
  <c r="BP1101" i="3"/>
  <c r="BP1102" i="3"/>
  <c r="BP1103" i="3"/>
  <c r="BP1104" i="3"/>
  <c r="BP1105" i="3"/>
  <c r="BP1106" i="3"/>
  <c r="BP1107" i="3"/>
  <c r="BP1108" i="3"/>
  <c r="BP1109" i="3"/>
  <c r="BP1110" i="3"/>
  <c r="BP1111" i="3"/>
  <c r="BP1112" i="3"/>
  <c r="BP1113" i="3"/>
  <c r="BP1114" i="3"/>
  <c r="BP1115" i="3"/>
  <c r="BP1116" i="3"/>
  <c r="BP1117" i="3"/>
  <c r="BP1118" i="3"/>
  <c r="BP1119" i="3"/>
  <c r="BP1120" i="3"/>
  <c r="BP1121" i="3"/>
  <c r="BP1122" i="3"/>
  <c r="BP1123" i="3"/>
  <c r="BP1124" i="3"/>
  <c r="BP1125" i="3"/>
  <c r="BP1126" i="3"/>
  <c r="BP1127" i="3"/>
  <c r="BP1128" i="3"/>
  <c r="BP1129" i="3"/>
  <c r="BP1130" i="3"/>
  <c r="BP1131" i="3"/>
  <c r="BP1132" i="3"/>
  <c r="BP1133" i="3"/>
  <c r="BP1134" i="3"/>
  <c r="BP1135" i="3"/>
  <c r="BP1136" i="3"/>
  <c r="BP1137" i="3"/>
  <c r="BP1138" i="3"/>
  <c r="BP1139" i="3"/>
  <c r="BP1140" i="3"/>
  <c r="BP1141" i="3"/>
  <c r="BP1142" i="3"/>
  <c r="BP1143" i="3"/>
  <c r="BP1144" i="3"/>
  <c r="BP1145" i="3"/>
  <c r="BP1146" i="3"/>
  <c r="BP1147" i="3"/>
  <c r="BP1148" i="3"/>
  <c r="BP1149" i="3"/>
  <c r="BP1150" i="3"/>
  <c r="BP1151" i="3"/>
  <c r="BP1152" i="3"/>
  <c r="BP1153" i="3"/>
  <c r="BP1154" i="3"/>
  <c r="BP1155" i="3"/>
  <c r="BP1156" i="3"/>
  <c r="BP1157" i="3"/>
  <c r="BP1158" i="3"/>
  <c r="BP1159" i="3"/>
  <c r="BP1160" i="3"/>
  <c r="BP1161" i="3"/>
  <c r="BP1162" i="3"/>
  <c r="BP1163" i="3"/>
  <c r="BP1164" i="3"/>
  <c r="BP1165" i="3"/>
  <c r="BP1166" i="3"/>
  <c r="BP1167" i="3"/>
  <c r="BP1168" i="3"/>
  <c r="BP1169" i="3"/>
  <c r="BP1170" i="3"/>
  <c r="BP1171" i="3"/>
  <c r="BP1172" i="3"/>
  <c r="BP1173" i="3"/>
  <c r="BP1174" i="3"/>
  <c r="BP1175" i="3"/>
  <c r="BP1176" i="3"/>
  <c r="BP1177" i="3"/>
  <c r="BP1178" i="3"/>
  <c r="BP1179" i="3"/>
  <c r="BP1180" i="3"/>
  <c r="BP1181" i="3"/>
  <c r="BP1182" i="3"/>
  <c r="BP1183" i="3"/>
  <c r="BP1184" i="3"/>
  <c r="BP1185" i="3"/>
  <c r="BP1186" i="3"/>
  <c r="BP1187" i="3"/>
  <c r="BP1188" i="3"/>
  <c r="BP1189" i="3"/>
  <c r="BP1190" i="3"/>
  <c r="BP1191" i="3"/>
  <c r="BP1192" i="3"/>
  <c r="BP1193" i="3"/>
  <c r="BP1194" i="3"/>
  <c r="BP1195" i="3"/>
  <c r="BP1196" i="3"/>
  <c r="BP1197" i="3"/>
  <c r="BP1198" i="3"/>
  <c r="BP1199" i="3"/>
  <c r="BP1200" i="3"/>
  <c r="BP1201" i="3"/>
  <c r="BP1202" i="3"/>
  <c r="BP1203" i="3"/>
  <c r="BP1204" i="3"/>
  <c r="BP1205" i="3"/>
  <c r="BP1206" i="3"/>
  <c r="BP1207" i="3"/>
  <c r="BP1208" i="3"/>
  <c r="BP1209" i="3"/>
  <c r="BP1210" i="3"/>
  <c r="BP1211" i="3"/>
  <c r="BP1212" i="3"/>
  <c r="BP1213" i="3"/>
  <c r="BP1214" i="3"/>
  <c r="BP1215" i="3"/>
  <c r="BP1216" i="3"/>
  <c r="BP1217" i="3"/>
  <c r="BP1218" i="3"/>
  <c r="BP1219" i="3"/>
  <c r="BP1220" i="3"/>
  <c r="BP1221" i="3"/>
  <c r="BP1222" i="3"/>
  <c r="BP1223" i="3"/>
  <c r="BP1224" i="3"/>
  <c r="BP1225" i="3"/>
  <c r="BP1226" i="3"/>
  <c r="BP1227" i="3"/>
  <c r="BP1228" i="3"/>
  <c r="BP1229" i="3"/>
  <c r="BP1230" i="3"/>
  <c r="BP1231" i="3"/>
  <c r="BP1232" i="3"/>
  <c r="BP1233" i="3"/>
  <c r="BP1234" i="3"/>
  <c r="BP1235" i="3"/>
  <c r="BP1236" i="3"/>
  <c r="BP1237" i="3"/>
  <c r="BP1238" i="3"/>
  <c r="BP1239" i="3"/>
  <c r="BP1240" i="3"/>
  <c r="BP1241" i="3"/>
  <c r="BP1242" i="3"/>
  <c r="BP1243" i="3"/>
  <c r="BP1244" i="3"/>
  <c r="BP1245" i="3"/>
  <c r="BP1246" i="3"/>
  <c r="BP1247" i="3"/>
  <c r="BP1248" i="3"/>
  <c r="BP1249" i="3"/>
  <c r="BP1250" i="3"/>
  <c r="BP1251" i="3"/>
  <c r="BP1252" i="3"/>
  <c r="BP1253" i="3"/>
  <c r="BP1254" i="3"/>
  <c r="BP1255" i="3"/>
  <c r="BP1256" i="3"/>
  <c r="BP1257" i="3"/>
  <c r="BP1258" i="3"/>
  <c r="BP1259" i="3"/>
  <c r="BP1260" i="3"/>
  <c r="BP1261" i="3"/>
  <c r="BP1262" i="3"/>
  <c r="BP1263" i="3"/>
  <c r="BP1264" i="3"/>
  <c r="BP1265" i="3"/>
  <c r="BP1266" i="3"/>
  <c r="BP1267" i="3"/>
  <c r="BP1268" i="3"/>
  <c r="BP1269" i="3"/>
  <c r="BP1270" i="3"/>
  <c r="BP1271" i="3"/>
  <c r="BP1272" i="3"/>
  <c r="BP1273" i="3"/>
  <c r="BP1274" i="3"/>
  <c r="BP1275" i="3"/>
  <c r="BP1276" i="3"/>
  <c r="BP1277" i="3"/>
  <c r="BP1278" i="3"/>
  <c r="BP1279" i="3"/>
  <c r="BP1280" i="3"/>
  <c r="BP1281" i="3"/>
  <c r="BP1282" i="3"/>
  <c r="BP1283" i="3"/>
  <c r="BP1284" i="3"/>
  <c r="BP1285" i="3"/>
  <c r="BP1286" i="3"/>
  <c r="BP1287" i="3"/>
  <c r="BP1288" i="3"/>
  <c r="BP1289" i="3"/>
  <c r="BP1290" i="3"/>
  <c r="BP1291" i="3"/>
  <c r="BP1292" i="3"/>
  <c r="BP1293" i="3"/>
  <c r="BP1294" i="3"/>
  <c r="BP1295" i="3"/>
  <c r="BP1296" i="3"/>
  <c r="BP1297" i="3"/>
  <c r="BP1298" i="3"/>
  <c r="BP1299" i="3"/>
  <c r="BP1300" i="3"/>
  <c r="BP1301" i="3"/>
  <c r="BP1302" i="3"/>
  <c r="BP1303" i="3"/>
  <c r="BP1304" i="3"/>
  <c r="BP1305" i="3"/>
  <c r="BP1306" i="3"/>
  <c r="BP1307" i="3"/>
  <c r="BP1308" i="3"/>
  <c r="BP1309" i="3"/>
  <c r="BP1310" i="3"/>
  <c r="BP1311" i="3"/>
  <c r="BP1312" i="3"/>
  <c r="BP1313" i="3"/>
  <c r="BP1314" i="3"/>
  <c r="BP1315" i="3"/>
  <c r="BP1316" i="3"/>
  <c r="BP1317" i="3"/>
  <c r="BP1318" i="3"/>
  <c r="BP1319" i="3"/>
  <c r="BP1320" i="3"/>
  <c r="BP1321" i="3"/>
  <c r="BP1322" i="3"/>
  <c r="BP1323" i="3"/>
  <c r="BP1324" i="3"/>
  <c r="BP1325" i="3"/>
  <c r="BP1326" i="3"/>
  <c r="BP1327" i="3"/>
  <c r="BP1328" i="3"/>
  <c r="BP1329" i="3"/>
  <c r="BP1330" i="3"/>
  <c r="BP1331" i="3"/>
  <c r="BP1332" i="3"/>
  <c r="BP1333" i="3"/>
  <c r="BP1334" i="3"/>
  <c r="BP1335" i="3"/>
  <c r="BP1336" i="3"/>
  <c r="BP1337" i="3"/>
  <c r="BP1338" i="3"/>
  <c r="BP1339" i="3"/>
  <c r="BP1340" i="3"/>
  <c r="BP1341" i="3"/>
  <c r="BP1342" i="3"/>
  <c r="BP1343" i="3"/>
  <c r="BP1344" i="3"/>
  <c r="BP1345" i="3"/>
  <c r="BP1346" i="3"/>
  <c r="BP1347" i="3"/>
  <c r="BP1348" i="3"/>
  <c r="BP1349" i="3"/>
  <c r="BP1350" i="3"/>
  <c r="BP1351" i="3"/>
  <c r="BP1352" i="3"/>
  <c r="BP1353" i="3"/>
  <c r="BP1354" i="3"/>
  <c r="BP1355" i="3"/>
  <c r="BP1356" i="3"/>
  <c r="BP1357" i="3"/>
  <c r="BP1358" i="3"/>
  <c r="BP1359" i="3"/>
  <c r="BP1360" i="3"/>
  <c r="BP1361" i="3"/>
  <c r="BP1362" i="3"/>
  <c r="BP1363" i="3"/>
  <c r="BP1364" i="3"/>
  <c r="BP1365" i="3"/>
  <c r="BP1366" i="3"/>
  <c r="BP1367" i="3"/>
  <c r="BP1368" i="3"/>
  <c r="BP1369" i="3"/>
  <c r="BP1370" i="3"/>
  <c r="BP1371" i="3"/>
  <c r="BP1372" i="3"/>
  <c r="BP1373" i="3"/>
  <c r="BP1374" i="3"/>
  <c r="BP1375" i="3"/>
  <c r="BP1376" i="3"/>
  <c r="BP1377" i="3"/>
  <c r="BP1378" i="3"/>
  <c r="BP1379" i="3"/>
  <c r="BP1380" i="3"/>
  <c r="BP1381" i="3"/>
  <c r="BP1382" i="3"/>
  <c r="BP1383" i="3"/>
  <c r="BP1384" i="3"/>
  <c r="BP1385" i="3"/>
  <c r="BP1386" i="3"/>
  <c r="BP1387" i="3"/>
  <c r="BP1388" i="3"/>
  <c r="BP1389" i="3"/>
  <c r="BP1390" i="3"/>
  <c r="BP1391" i="3"/>
  <c r="BP1392" i="3"/>
  <c r="BP1393" i="3"/>
  <c r="BP1394" i="3"/>
  <c r="BP1395" i="3"/>
  <c r="BP1396" i="3"/>
  <c r="BP1397" i="3"/>
  <c r="BP1398" i="3"/>
  <c r="BP1399" i="3"/>
  <c r="BP1400" i="3"/>
  <c r="BP1401" i="3"/>
  <c r="BP1402" i="3"/>
  <c r="BP1403" i="3"/>
  <c r="BP1404" i="3"/>
  <c r="BP1405" i="3"/>
  <c r="BP1406" i="3"/>
  <c r="BP1407" i="3"/>
  <c r="BP1408" i="3"/>
  <c r="BP1409" i="3"/>
  <c r="BP1410" i="3"/>
  <c r="BP1411" i="3"/>
  <c r="BP1412" i="3"/>
  <c r="BP1413" i="3"/>
  <c r="BP1414" i="3"/>
  <c r="BP1415" i="3"/>
  <c r="BP1416" i="3"/>
  <c r="BP1417" i="3"/>
  <c r="BP1418" i="3"/>
  <c r="BP1419" i="3"/>
  <c r="BP1420" i="3"/>
  <c r="BP1421" i="3"/>
  <c r="BP1422" i="3"/>
  <c r="BP1423" i="3"/>
  <c r="BP1424" i="3"/>
  <c r="BP1425" i="3"/>
  <c r="BP1426" i="3"/>
  <c r="BP1427" i="3"/>
  <c r="BP1428" i="3"/>
  <c r="BP1429" i="3"/>
  <c r="BP1430" i="3"/>
  <c r="BP1431" i="3"/>
  <c r="BP1432" i="3"/>
  <c r="BP1433" i="3"/>
  <c r="BP1434" i="3"/>
  <c r="BP1435" i="3"/>
  <c r="BP1436" i="3"/>
  <c r="BP1437" i="3"/>
  <c r="BP1438" i="3"/>
  <c r="BP1439" i="3"/>
  <c r="BP1440" i="3"/>
  <c r="BP1441" i="3"/>
  <c r="BP1442" i="3"/>
  <c r="BP1443" i="3"/>
  <c r="BP1444" i="3"/>
  <c r="BP1445" i="3"/>
  <c r="BP1446" i="3"/>
  <c r="BP1447" i="3"/>
  <c r="BP1448" i="3"/>
  <c r="BP1449" i="3"/>
  <c r="BP1450" i="3"/>
  <c r="BP1451" i="3"/>
  <c r="BP1452" i="3"/>
  <c r="BP1453" i="3"/>
  <c r="BP1454" i="3"/>
  <c r="BP1455" i="3"/>
  <c r="BP1456" i="3"/>
  <c r="BP1457" i="3"/>
  <c r="BP1458" i="3"/>
  <c r="BP1459" i="3"/>
  <c r="BP1460" i="3"/>
  <c r="BP1461" i="3"/>
  <c r="BP1462" i="3"/>
  <c r="BP1463" i="3"/>
  <c r="BP1464" i="3"/>
  <c r="BP1465" i="3"/>
  <c r="BP1466" i="3"/>
  <c r="BP1467" i="3"/>
  <c r="BP1468" i="3"/>
  <c r="BP1469" i="3"/>
  <c r="BP1470" i="3"/>
  <c r="BP1471" i="3"/>
  <c r="BP1472" i="3"/>
  <c r="BP1473" i="3"/>
  <c r="BP1474" i="3"/>
  <c r="BP1475" i="3"/>
  <c r="BP1476" i="3"/>
  <c r="BP1477" i="3"/>
  <c r="BP1478" i="3"/>
  <c r="BP1479" i="3"/>
  <c r="BP1480" i="3"/>
  <c r="BP1481" i="3"/>
  <c r="BP1482" i="3"/>
  <c r="BP1483" i="3"/>
  <c r="BP1484" i="3"/>
  <c r="BP1485" i="3"/>
  <c r="BP1486" i="3"/>
  <c r="BP1487" i="3"/>
  <c r="BP1488" i="3"/>
  <c r="BP1489" i="3"/>
  <c r="BP1490" i="3"/>
  <c r="BP1491" i="3"/>
  <c r="BP1492" i="3"/>
  <c r="BP1493" i="3"/>
  <c r="BP1494" i="3"/>
  <c r="BP1495" i="3"/>
  <c r="BP1496" i="3"/>
  <c r="BP1497" i="3"/>
  <c r="BP1498" i="3"/>
  <c r="BP1499" i="3"/>
  <c r="BP1500" i="3"/>
  <c r="BP1501" i="3"/>
  <c r="BP1502" i="3"/>
  <c r="BP1503" i="3"/>
  <c r="BP1504" i="3"/>
  <c r="BP1505" i="3"/>
  <c r="BP1506" i="3"/>
  <c r="BP1507" i="3"/>
  <c r="BP1508" i="3"/>
  <c r="BP1509" i="3"/>
  <c r="BP1510" i="3"/>
  <c r="BP1511" i="3"/>
  <c r="BP1512" i="3"/>
  <c r="BP1513" i="3"/>
  <c r="BP1514" i="3"/>
  <c r="BP1515" i="3"/>
  <c r="BP1516" i="3"/>
  <c r="BP1517" i="3"/>
  <c r="BP1518" i="3"/>
  <c r="BP1519" i="3"/>
  <c r="BP1520" i="3"/>
  <c r="BP1521" i="3"/>
  <c r="BP1522" i="3"/>
  <c r="BP1523" i="3"/>
  <c r="BP1524" i="3"/>
  <c r="BP1525" i="3"/>
  <c r="BP1526" i="3"/>
  <c r="BP1527" i="3"/>
  <c r="BP1528" i="3"/>
  <c r="BP1529" i="3"/>
  <c r="BP1530" i="3"/>
  <c r="BP1531" i="3"/>
  <c r="BP1532" i="3"/>
  <c r="BP1533" i="3"/>
  <c r="BP1534" i="3"/>
  <c r="BP1535" i="3"/>
  <c r="BP1536" i="3"/>
  <c r="BP1537" i="3"/>
  <c r="BP1538" i="3"/>
  <c r="BP1539" i="3"/>
  <c r="BP1540" i="3"/>
  <c r="BP1541" i="3"/>
  <c r="BP1542" i="3"/>
  <c r="BP1543" i="3"/>
  <c r="BP1544" i="3"/>
  <c r="BP1545" i="3"/>
  <c r="BP1546" i="3"/>
  <c r="BP1547" i="3"/>
  <c r="BP1548" i="3"/>
  <c r="BP1549" i="3"/>
  <c r="BP1550" i="3"/>
  <c r="BP1551" i="3"/>
  <c r="BP1552" i="3"/>
  <c r="BP1553" i="3"/>
  <c r="BP1554" i="3"/>
  <c r="BP1555" i="3"/>
  <c r="BP1556" i="3"/>
  <c r="BP1557" i="3"/>
  <c r="BP1558" i="3"/>
  <c r="BP1559" i="3"/>
  <c r="BP1560" i="3"/>
  <c r="BP1561" i="3"/>
  <c r="BP1562" i="3"/>
  <c r="BP1563" i="3"/>
  <c r="BP1564" i="3"/>
  <c r="BP1565" i="3"/>
  <c r="BP1566" i="3"/>
  <c r="BP1567" i="3"/>
  <c r="BP1568" i="3"/>
  <c r="BP1569" i="3"/>
  <c r="BP1570" i="3"/>
  <c r="BP1571" i="3"/>
  <c r="BP1572" i="3"/>
  <c r="BP1573" i="3"/>
  <c r="BP1574" i="3"/>
  <c r="BP1575" i="3"/>
  <c r="BP1576" i="3"/>
  <c r="BP1577" i="3"/>
  <c r="BP1578" i="3"/>
  <c r="BP1579" i="3"/>
  <c r="BP1580" i="3"/>
  <c r="BP1581" i="3"/>
  <c r="BP1582" i="3"/>
  <c r="BP1583" i="3"/>
  <c r="BP1584" i="3"/>
  <c r="BP1585" i="3"/>
  <c r="BP1586" i="3"/>
  <c r="BP1587" i="3"/>
  <c r="BP1588" i="3"/>
  <c r="BP1589" i="3"/>
  <c r="BP1590" i="3"/>
  <c r="BP1591" i="3"/>
  <c r="BP1592" i="3"/>
  <c r="BP1593" i="3"/>
  <c r="BP1594" i="3"/>
  <c r="BP1595" i="3"/>
  <c r="BP1596" i="3"/>
  <c r="BP1597" i="3"/>
  <c r="BP1598" i="3"/>
  <c r="BP1599" i="3"/>
  <c r="BP1600" i="3"/>
  <c r="BP1601" i="3"/>
  <c r="BP1602" i="3"/>
  <c r="BP1603" i="3"/>
  <c r="BP1604" i="3"/>
  <c r="BP1605" i="3"/>
  <c r="BP1606" i="3"/>
  <c r="BP1607" i="3"/>
  <c r="BP1608" i="3"/>
  <c r="BP1609" i="3"/>
  <c r="BP1610" i="3"/>
  <c r="BP1611" i="3"/>
  <c r="BP1612" i="3"/>
  <c r="BP1613" i="3"/>
  <c r="BP1614" i="3"/>
  <c r="BP1615" i="3"/>
  <c r="BP1616" i="3"/>
  <c r="BP1617" i="3"/>
  <c r="BP1618" i="3"/>
  <c r="BP1619" i="3"/>
  <c r="BP1620" i="3"/>
  <c r="BP1621" i="3"/>
  <c r="BP1622" i="3"/>
  <c r="BP1623" i="3"/>
  <c r="BP1624" i="3"/>
  <c r="BP1625" i="3"/>
  <c r="BP1626" i="3"/>
  <c r="BP1627" i="3"/>
  <c r="BP1628" i="3"/>
  <c r="BP1629" i="3"/>
  <c r="BP1630" i="3"/>
  <c r="BP1631" i="3"/>
  <c r="BP1632" i="3"/>
  <c r="BP1633" i="3"/>
  <c r="BP1634" i="3"/>
  <c r="BP1635" i="3"/>
  <c r="BP1636" i="3"/>
  <c r="BP1637" i="3"/>
  <c r="BP1638" i="3"/>
  <c r="BP1639" i="3"/>
  <c r="BP1640" i="3"/>
  <c r="BP1641" i="3"/>
  <c r="BP1642" i="3"/>
  <c r="BP1643" i="3"/>
  <c r="BP1644" i="3"/>
  <c r="BP1645" i="3"/>
  <c r="BP1646" i="3"/>
  <c r="BP1647" i="3"/>
  <c r="BP1648" i="3"/>
  <c r="BP1649" i="3"/>
  <c r="BP1650" i="3"/>
  <c r="BP1651" i="3"/>
  <c r="BP1652" i="3"/>
  <c r="BP1653" i="3"/>
  <c r="BP1654" i="3"/>
  <c r="BP1655" i="3"/>
  <c r="BP1656" i="3"/>
  <c r="BP1657" i="3"/>
  <c r="BP1658" i="3"/>
  <c r="BP1659" i="3"/>
  <c r="BP1660" i="3"/>
  <c r="BP1661" i="3"/>
  <c r="BP1662" i="3"/>
  <c r="BP840" i="3"/>
  <c r="BO841" i="3"/>
  <c r="BQ841" i="3" s="1"/>
  <c r="BO842" i="3"/>
  <c r="BO843" i="3"/>
  <c r="BO844" i="3"/>
  <c r="BQ844" i="3" s="1"/>
  <c r="BO845" i="3"/>
  <c r="BQ845" i="3" s="1"/>
  <c r="BO846" i="3"/>
  <c r="BO847" i="3"/>
  <c r="BO848" i="3"/>
  <c r="BQ848" i="3" s="1"/>
  <c r="BO849" i="3"/>
  <c r="BQ849" i="3" s="1"/>
  <c r="BO850" i="3"/>
  <c r="BO851" i="3"/>
  <c r="BO852" i="3"/>
  <c r="BQ852" i="3" s="1"/>
  <c r="BO853" i="3"/>
  <c r="BQ853" i="3" s="1"/>
  <c r="BO854" i="3"/>
  <c r="BO855" i="3"/>
  <c r="BO856" i="3"/>
  <c r="BQ856" i="3" s="1"/>
  <c r="BO857" i="3"/>
  <c r="BQ857" i="3" s="1"/>
  <c r="BO858" i="3"/>
  <c r="BO859" i="3"/>
  <c r="BO860" i="3"/>
  <c r="BQ860" i="3" s="1"/>
  <c r="BO861" i="3"/>
  <c r="BQ861" i="3" s="1"/>
  <c r="BO862" i="3"/>
  <c r="BO863" i="3"/>
  <c r="BO864" i="3"/>
  <c r="BQ864" i="3" s="1"/>
  <c r="BO865" i="3"/>
  <c r="BQ865" i="3" s="1"/>
  <c r="BO866" i="3"/>
  <c r="BO867" i="3"/>
  <c r="BO868" i="3"/>
  <c r="BQ868" i="3" s="1"/>
  <c r="BO869" i="3"/>
  <c r="BQ869" i="3" s="1"/>
  <c r="BO870" i="3"/>
  <c r="BO871" i="3"/>
  <c r="BO872" i="3"/>
  <c r="BQ872" i="3" s="1"/>
  <c r="BO873" i="3"/>
  <c r="BQ873" i="3" s="1"/>
  <c r="BO874" i="3"/>
  <c r="BO875" i="3"/>
  <c r="BO876" i="3"/>
  <c r="BQ876" i="3" s="1"/>
  <c r="BO877" i="3"/>
  <c r="BQ877" i="3" s="1"/>
  <c r="BO878" i="3"/>
  <c r="BO879" i="3"/>
  <c r="BO880" i="3"/>
  <c r="BQ880" i="3" s="1"/>
  <c r="BO881" i="3"/>
  <c r="BQ881" i="3" s="1"/>
  <c r="BO882" i="3"/>
  <c r="BO883" i="3"/>
  <c r="BO884" i="3"/>
  <c r="BQ884" i="3" s="1"/>
  <c r="BO885" i="3"/>
  <c r="BQ885" i="3" s="1"/>
  <c r="BO886" i="3"/>
  <c r="BO887" i="3"/>
  <c r="BO888" i="3"/>
  <c r="BQ888" i="3" s="1"/>
  <c r="BO889" i="3"/>
  <c r="BQ889" i="3" s="1"/>
  <c r="BO890" i="3"/>
  <c r="BO891" i="3"/>
  <c r="BO892" i="3"/>
  <c r="BQ892" i="3" s="1"/>
  <c r="BO893" i="3"/>
  <c r="BQ893" i="3" s="1"/>
  <c r="BO894" i="3"/>
  <c r="BO895" i="3"/>
  <c r="BO896" i="3"/>
  <c r="BQ896" i="3" s="1"/>
  <c r="BO897" i="3"/>
  <c r="BQ897" i="3" s="1"/>
  <c r="BO898" i="3"/>
  <c r="BO899" i="3"/>
  <c r="BO900" i="3"/>
  <c r="BQ900" i="3" s="1"/>
  <c r="BO901" i="3"/>
  <c r="BQ901" i="3" s="1"/>
  <c r="BO902" i="3"/>
  <c r="BO903" i="3"/>
  <c r="BO904" i="3"/>
  <c r="BQ904" i="3" s="1"/>
  <c r="BO905" i="3"/>
  <c r="BQ905" i="3" s="1"/>
  <c r="BO906" i="3"/>
  <c r="BO907" i="3"/>
  <c r="BO908" i="3"/>
  <c r="BQ908" i="3" s="1"/>
  <c r="BO909" i="3"/>
  <c r="BQ909" i="3" s="1"/>
  <c r="BO910" i="3"/>
  <c r="BO911" i="3"/>
  <c r="BO912" i="3"/>
  <c r="BQ912" i="3" s="1"/>
  <c r="BO913" i="3"/>
  <c r="BQ913" i="3" s="1"/>
  <c r="BO914" i="3"/>
  <c r="BO915" i="3"/>
  <c r="BO916" i="3"/>
  <c r="BQ916" i="3" s="1"/>
  <c r="BO917" i="3"/>
  <c r="BQ917" i="3" s="1"/>
  <c r="BO918" i="3"/>
  <c r="BO919" i="3"/>
  <c r="BO920" i="3"/>
  <c r="BQ920" i="3" s="1"/>
  <c r="BO921" i="3"/>
  <c r="BQ921" i="3" s="1"/>
  <c r="BO922" i="3"/>
  <c r="BO923" i="3"/>
  <c r="BO924" i="3"/>
  <c r="BQ924" i="3" s="1"/>
  <c r="BO925" i="3"/>
  <c r="BQ925" i="3" s="1"/>
  <c r="BO926" i="3"/>
  <c r="BO927" i="3"/>
  <c r="BO928" i="3"/>
  <c r="BQ928" i="3" s="1"/>
  <c r="BO929" i="3"/>
  <c r="BQ929" i="3" s="1"/>
  <c r="BO930" i="3"/>
  <c r="BO931" i="3"/>
  <c r="BO932" i="3"/>
  <c r="BQ932" i="3" s="1"/>
  <c r="BO933" i="3"/>
  <c r="BQ933" i="3" s="1"/>
  <c r="BO934" i="3"/>
  <c r="BO935" i="3"/>
  <c r="BO936" i="3"/>
  <c r="BQ936" i="3" s="1"/>
  <c r="BO937" i="3"/>
  <c r="BQ937" i="3" s="1"/>
  <c r="BO938" i="3"/>
  <c r="BO939" i="3"/>
  <c r="BO940" i="3"/>
  <c r="BQ940" i="3" s="1"/>
  <c r="BO941" i="3"/>
  <c r="BQ941" i="3" s="1"/>
  <c r="BO942" i="3"/>
  <c r="BO943" i="3"/>
  <c r="BO944" i="3"/>
  <c r="BQ944" i="3" s="1"/>
  <c r="BO945" i="3"/>
  <c r="BQ945" i="3" s="1"/>
  <c r="BO946" i="3"/>
  <c r="BO947" i="3"/>
  <c r="BO948" i="3"/>
  <c r="BQ948" i="3" s="1"/>
  <c r="BO949" i="3"/>
  <c r="BQ949" i="3" s="1"/>
  <c r="BO950" i="3"/>
  <c r="BO951" i="3"/>
  <c r="BO952" i="3"/>
  <c r="BQ952" i="3" s="1"/>
  <c r="BO953" i="3"/>
  <c r="BQ953" i="3" s="1"/>
  <c r="BO954" i="3"/>
  <c r="BO955" i="3"/>
  <c r="BO956" i="3"/>
  <c r="BQ956" i="3" s="1"/>
  <c r="BO957" i="3"/>
  <c r="BQ957" i="3" s="1"/>
  <c r="BO958" i="3"/>
  <c r="BO959" i="3"/>
  <c r="BO960" i="3"/>
  <c r="BQ960" i="3" s="1"/>
  <c r="BO961" i="3"/>
  <c r="BQ961" i="3" s="1"/>
  <c r="BO962" i="3"/>
  <c r="BO963" i="3"/>
  <c r="BO964" i="3"/>
  <c r="BQ964" i="3" s="1"/>
  <c r="BO965" i="3"/>
  <c r="BQ965" i="3" s="1"/>
  <c r="BO966" i="3"/>
  <c r="BO967" i="3"/>
  <c r="BO968" i="3"/>
  <c r="BQ968" i="3" s="1"/>
  <c r="BO969" i="3"/>
  <c r="BQ969" i="3" s="1"/>
  <c r="BO970" i="3"/>
  <c r="BO971" i="3"/>
  <c r="BO972" i="3"/>
  <c r="BQ972" i="3" s="1"/>
  <c r="BO973" i="3"/>
  <c r="BQ973" i="3" s="1"/>
  <c r="BO974" i="3"/>
  <c r="BO975" i="3"/>
  <c r="BO976" i="3"/>
  <c r="BQ976" i="3" s="1"/>
  <c r="BO977" i="3"/>
  <c r="BQ977" i="3" s="1"/>
  <c r="BO978" i="3"/>
  <c r="BO979" i="3"/>
  <c r="BO980" i="3"/>
  <c r="BQ980" i="3" s="1"/>
  <c r="BO981" i="3"/>
  <c r="BQ981" i="3" s="1"/>
  <c r="BO982" i="3"/>
  <c r="BO983" i="3"/>
  <c r="BO984" i="3"/>
  <c r="BQ984" i="3" s="1"/>
  <c r="BO985" i="3"/>
  <c r="BQ985" i="3" s="1"/>
  <c r="BO986" i="3"/>
  <c r="BO987" i="3"/>
  <c r="BO988" i="3"/>
  <c r="BQ988" i="3" s="1"/>
  <c r="BO989" i="3"/>
  <c r="BQ989" i="3" s="1"/>
  <c r="BO990" i="3"/>
  <c r="BO991" i="3"/>
  <c r="BO992" i="3"/>
  <c r="BQ992" i="3" s="1"/>
  <c r="BO993" i="3"/>
  <c r="BQ993" i="3" s="1"/>
  <c r="BO994" i="3"/>
  <c r="BO995" i="3"/>
  <c r="BO996" i="3"/>
  <c r="BQ996" i="3" s="1"/>
  <c r="BO997" i="3"/>
  <c r="BQ997" i="3" s="1"/>
  <c r="BO998" i="3"/>
  <c r="BO999" i="3"/>
  <c r="BO1000" i="3"/>
  <c r="BQ1000" i="3" s="1"/>
  <c r="BO1001" i="3"/>
  <c r="BQ1001" i="3" s="1"/>
  <c r="BO1002" i="3"/>
  <c r="BO1003" i="3"/>
  <c r="BO1004" i="3"/>
  <c r="BQ1004" i="3" s="1"/>
  <c r="BO1005" i="3"/>
  <c r="BQ1005" i="3" s="1"/>
  <c r="BO1006" i="3"/>
  <c r="BO1007" i="3"/>
  <c r="BO1008" i="3"/>
  <c r="BQ1008" i="3" s="1"/>
  <c r="BO1009" i="3"/>
  <c r="BQ1009" i="3" s="1"/>
  <c r="BO1010" i="3"/>
  <c r="BO1011" i="3"/>
  <c r="BO1012" i="3"/>
  <c r="BQ1012" i="3" s="1"/>
  <c r="BO1013" i="3"/>
  <c r="BQ1013" i="3" s="1"/>
  <c r="BO1014" i="3"/>
  <c r="BO1015" i="3"/>
  <c r="BO1016" i="3"/>
  <c r="BQ1016" i="3" s="1"/>
  <c r="BO1017" i="3"/>
  <c r="BQ1017" i="3" s="1"/>
  <c r="BO1018" i="3"/>
  <c r="BO1019" i="3"/>
  <c r="BO1020" i="3"/>
  <c r="BQ1020" i="3" s="1"/>
  <c r="BO1021" i="3"/>
  <c r="BQ1021" i="3" s="1"/>
  <c r="BO1022" i="3"/>
  <c r="BO1023" i="3"/>
  <c r="BO1024" i="3"/>
  <c r="BQ1024" i="3" s="1"/>
  <c r="BO1025" i="3"/>
  <c r="BQ1025" i="3" s="1"/>
  <c r="BO1026" i="3"/>
  <c r="BO1027" i="3"/>
  <c r="BO1028" i="3"/>
  <c r="BQ1028" i="3" s="1"/>
  <c r="BO1029" i="3"/>
  <c r="BQ1029" i="3" s="1"/>
  <c r="BO1030" i="3"/>
  <c r="BO1031" i="3"/>
  <c r="BO1032" i="3"/>
  <c r="BQ1032" i="3" s="1"/>
  <c r="BO1033" i="3"/>
  <c r="BQ1033" i="3" s="1"/>
  <c r="BO1034" i="3"/>
  <c r="BO1035" i="3"/>
  <c r="BO1036" i="3"/>
  <c r="BQ1036" i="3" s="1"/>
  <c r="BO1037" i="3"/>
  <c r="BQ1037" i="3" s="1"/>
  <c r="BO1038" i="3"/>
  <c r="BO1039" i="3"/>
  <c r="BO1040" i="3"/>
  <c r="BQ1040" i="3" s="1"/>
  <c r="BO1041" i="3"/>
  <c r="BQ1041" i="3" s="1"/>
  <c r="BO1042" i="3"/>
  <c r="BO1043" i="3"/>
  <c r="BO1044" i="3"/>
  <c r="BQ1044" i="3" s="1"/>
  <c r="BO1045" i="3"/>
  <c r="BQ1045" i="3" s="1"/>
  <c r="BO1046" i="3"/>
  <c r="BO1047" i="3"/>
  <c r="BO1048" i="3"/>
  <c r="BQ1048" i="3" s="1"/>
  <c r="BO1049" i="3"/>
  <c r="BQ1049" i="3" s="1"/>
  <c r="BO1050" i="3"/>
  <c r="BO1051" i="3"/>
  <c r="BO1052" i="3"/>
  <c r="BQ1052" i="3" s="1"/>
  <c r="BO1053" i="3"/>
  <c r="BQ1053" i="3" s="1"/>
  <c r="BO1054" i="3"/>
  <c r="BO1055" i="3"/>
  <c r="BO1056" i="3"/>
  <c r="BQ1056" i="3" s="1"/>
  <c r="BO1057" i="3"/>
  <c r="BQ1057" i="3" s="1"/>
  <c r="BO1058" i="3"/>
  <c r="BO1059" i="3"/>
  <c r="BO1060" i="3"/>
  <c r="BQ1060" i="3" s="1"/>
  <c r="BO1061" i="3"/>
  <c r="BQ1061" i="3" s="1"/>
  <c r="BO1062" i="3"/>
  <c r="BO1063" i="3"/>
  <c r="BO1064" i="3"/>
  <c r="BQ1064" i="3" s="1"/>
  <c r="BO1065" i="3"/>
  <c r="BQ1065" i="3" s="1"/>
  <c r="BO1066" i="3"/>
  <c r="BO1067" i="3"/>
  <c r="BO1068" i="3"/>
  <c r="BQ1068" i="3" s="1"/>
  <c r="BO1069" i="3"/>
  <c r="BQ1069" i="3" s="1"/>
  <c r="BO1070" i="3"/>
  <c r="BO1071" i="3"/>
  <c r="BO1072" i="3"/>
  <c r="BQ1072" i="3" s="1"/>
  <c r="BO1073" i="3"/>
  <c r="BQ1073" i="3" s="1"/>
  <c r="BO1074" i="3"/>
  <c r="BO1075" i="3"/>
  <c r="BO1076" i="3"/>
  <c r="BQ1076" i="3" s="1"/>
  <c r="BO1077" i="3"/>
  <c r="BQ1077" i="3" s="1"/>
  <c r="BO1078" i="3"/>
  <c r="BO1079" i="3"/>
  <c r="BO1080" i="3"/>
  <c r="BQ1080" i="3" s="1"/>
  <c r="BO1081" i="3"/>
  <c r="BQ1081" i="3" s="1"/>
  <c r="BO1082" i="3"/>
  <c r="BO1083" i="3"/>
  <c r="BO1084" i="3"/>
  <c r="BQ1084" i="3" s="1"/>
  <c r="BO1085" i="3"/>
  <c r="BQ1085" i="3" s="1"/>
  <c r="BO1086" i="3"/>
  <c r="BO1087" i="3"/>
  <c r="BO1088" i="3"/>
  <c r="BQ1088" i="3" s="1"/>
  <c r="BO1089" i="3"/>
  <c r="BQ1089" i="3" s="1"/>
  <c r="BO1090" i="3"/>
  <c r="BO1091" i="3"/>
  <c r="BO1092" i="3"/>
  <c r="BQ1092" i="3" s="1"/>
  <c r="BO1093" i="3"/>
  <c r="BQ1093" i="3" s="1"/>
  <c r="BO1094" i="3"/>
  <c r="BO1095" i="3"/>
  <c r="BO1096" i="3"/>
  <c r="BQ1096" i="3" s="1"/>
  <c r="BO1097" i="3"/>
  <c r="BQ1097" i="3" s="1"/>
  <c r="BO1098" i="3"/>
  <c r="BO1099" i="3"/>
  <c r="BO1100" i="3"/>
  <c r="BQ1100" i="3" s="1"/>
  <c r="BO1101" i="3"/>
  <c r="BQ1101" i="3" s="1"/>
  <c r="BO1102" i="3"/>
  <c r="BO1103" i="3"/>
  <c r="BO1104" i="3"/>
  <c r="BQ1104" i="3" s="1"/>
  <c r="BO1105" i="3"/>
  <c r="BQ1105" i="3" s="1"/>
  <c r="BO1106" i="3"/>
  <c r="BO1107" i="3"/>
  <c r="BO1108" i="3"/>
  <c r="BQ1108" i="3" s="1"/>
  <c r="BO1109" i="3"/>
  <c r="BQ1109" i="3" s="1"/>
  <c r="BO1110" i="3"/>
  <c r="BO1111" i="3"/>
  <c r="BO1112" i="3"/>
  <c r="BQ1112" i="3" s="1"/>
  <c r="BO1113" i="3"/>
  <c r="BQ1113" i="3" s="1"/>
  <c r="BO1114" i="3"/>
  <c r="BO1115" i="3"/>
  <c r="BO1116" i="3"/>
  <c r="BQ1116" i="3" s="1"/>
  <c r="BO1117" i="3"/>
  <c r="BQ1117" i="3" s="1"/>
  <c r="BO1118" i="3"/>
  <c r="BO1119" i="3"/>
  <c r="BO1120" i="3"/>
  <c r="BQ1120" i="3" s="1"/>
  <c r="BO1121" i="3"/>
  <c r="BQ1121" i="3" s="1"/>
  <c r="BO1122" i="3"/>
  <c r="BO1123" i="3"/>
  <c r="BO1124" i="3"/>
  <c r="BQ1124" i="3" s="1"/>
  <c r="BO1125" i="3"/>
  <c r="BQ1125" i="3" s="1"/>
  <c r="BO1126" i="3"/>
  <c r="BO1127" i="3"/>
  <c r="BO1128" i="3"/>
  <c r="BQ1128" i="3" s="1"/>
  <c r="BO1129" i="3"/>
  <c r="BQ1129" i="3" s="1"/>
  <c r="BO1130" i="3"/>
  <c r="BO1131" i="3"/>
  <c r="BO1132" i="3"/>
  <c r="BQ1132" i="3" s="1"/>
  <c r="BO1133" i="3"/>
  <c r="BQ1133" i="3" s="1"/>
  <c r="BO1134" i="3"/>
  <c r="BO1135" i="3"/>
  <c r="BO1136" i="3"/>
  <c r="BQ1136" i="3" s="1"/>
  <c r="BO1137" i="3"/>
  <c r="BQ1137" i="3" s="1"/>
  <c r="BO1138" i="3"/>
  <c r="BO1139" i="3"/>
  <c r="BO1140" i="3"/>
  <c r="BQ1140" i="3" s="1"/>
  <c r="BO1141" i="3"/>
  <c r="BQ1141" i="3" s="1"/>
  <c r="BO1142" i="3"/>
  <c r="BO1143" i="3"/>
  <c r="BO1144" i="3"/>
  <c r="BQ1144" i="3" s="1"/>
  <c r="BO1145" i="3"/>
  <c r="BQ1145" i="3" s="1"/>
  <c r="BO1146" i="3"/>
  <c r="BO1147" i="3"/>
  <c r="BO1148" i="3"/>
  <c r="BQ1148" i="3" s="1"/>
  <c r="BO1149" i="3"/>
  <c r="BQ1149" i="3" s="1"/>
  <c r="BO1150" i="3"/>
  <c r="BO1151" i="3"/>
  <c r="BO1152" i="3"/>
  <c r="BQ1152" i="3" s="1"/>
  <c r="BO1153" i="3"/>
  <c r="BQ1153" i="3" s="1"/>
  <c r="BO1154" i="3"/>
  <c r="BO1155" i="3"/>
  <c r="BO1156" i="3"/>
  <c r="BQ1156" i="3" s="1"/>
  <c r="BO1157" i="3"/>
  <c r="BQ1157" i="3" s="1"/>
  <c r="BO1158" i="3"/>
  <c r="BO1159" i="3"/>
  <c r="BO1160" i="3"/>
  <c r="BQ1160" i="3" s="1"/>
  <c r="BO1161" i="3"/>
  <c r="BQ1161" i="3" s="1"/>
  <c r="BO1162" i="3"/>
  <c r="BO1163" i="3"/>
  <c r="BO1164" i="3"/>
  <c r="BQ1164" i="3" s="1"/>
  <c r="BO1165" i="3"/>
  <c r="BQ1165" i="3" s="1"/>
  <c r="BO1166" i="3"/>
  <c r="BO1167" i="3"/>
  <c r="BO1168" i="3"/>
  <c r="BQ1168" i="3" s="1"/>
  <c r="BO1169" i="3"/>
  <c r="BQ1169" i="3" s="1"/>
  <c r="BO1170" i="3"/>
  <c r="BO1171" i="3"/>
  <c r="BO1172" i="3"/>
  <c r="BQ1172" i="3" s="1"/>
  <c r="BO1173" i="3"/>
  <c r="BQ1173" i="3" s="1"/>
  <c r="BO1174" i="3"/>
  <c r="BO1175" i="3"/>
  <c r="BO1176" i="3"/>
  <c r="BQ1176" i="3" s="1"/>
  <c r="BO1177" i="3"/>
  <c r="BQ1177" i="3" s="1"/>
  <c r="BO1178" i="3"/>
  <c r="BO1179" i="3"/>
  <c r="BO1180" i="3"/>
  <c r="BQ1180" i="3" s="1"/>
  <c r="BO1181" i="3"/>
  <c r="BQ1181" i="3" s="1"/>
  <c r="BO1182" i="3"/>
  <c r="BO1183" i="3"/>
  <c r="BO1184" i="3"/>
  <c r="BQ1184" i="3" s="1"/>
  <c r="BO1185" i="3"/>
  <c r="BQ1185" i="3" s="1"/>
  <c r="BO1186" i="3"/>
  <c r="BO1187" i="3"/>
  <c r="BO1188" i="3"/>
  <c r="BQ1188" i="3" s="1"/>
  <c r="BO1189" i="3"/>
  <c r="BQ1189" i="3" s="1"/>
  <c r="BO1190" i="3"/>
  <c r="BO1191" i="3"/>
  <c r="BO1192" i="3"/>
  <c r="BQ1192" i="3" s="1"/>
  <c r="BO1193" i="3"/>
  <c r="BQ1193" i="3" s="1"/>
  <c r="BO1194" i="3"/>
  <c r="BO1195" i="3"/>
  <c r="BO1196" i="3"/>
  <c r="BQ1196" i="3" s="1"/>
  <c r="BO1197" i="3"/>
  <c r="BQ1197" i="3" s="1"/>
  <c r="BO1198" i="3"/>
  <c r="BO1199" i="3"/>
  <c r="BO1200" i="3"/>
  <c r="BQ1200" i="3" s="1"/>
  <c r="BO1201" i="3"/>
  <c r="BQ1201" i="3" s="1"/>
  <c r="BO1202" i="3"/>
  <c r="BO1203" i="3"/>
  <c r="BO1204" i="3"/>
  <c r="BQ1204" i="3" s="1"/>
  <c r="BO1205" i="3"/>
  <c r="BQ1205" i="3" s="1"/>
  <c r="BO1206" i="3"/>
  <c r="BO1207" i="3"/>
  <c r="BO1208" i="3"/>
  <c r="BQ1208" i="3" s="1"/>
  <c r="BO1209" i="3"/>
  <c r="BQ1209" i="3" s="1"/>
  <c r="BO1210" i="3"/>
  <c r="BO1211" i="3"/>
  <c r="BO1212" i="3"/>
  <c r="BQ1212" i="3" s="1"/>
  <c r="BO1213" i="3"/>
  <c r="BQ1213" i="3" s="1"/>
  <c r="BO1214" i="3"/>
  <c r="BO1215" i="3"/>
  <c r="BO1216" i="3"/>
  <c r="BQ1216" i="3" s="1"/>
  <c r="BO1217" i="3"/>
  <c r="BQ1217" i="3" s="1"/>
  <c r="BO1218" i="3"/>
  <c r="BO1219" i="3"/>
  <c r="BO1220" i="3"/>
  <c r="BQ1220" i="3" s="1"/>
  <c r="BO1221" i="3"/>
  <c r="BQ1221" i="3" s="1"/>
  <c r="BO1222" i="3"/>
  <c r="BO1223" i="3"/>
  <c r="BO1224" i="3"/>
  <c r="BQ1224" i="3" s="1"/>
  <c r="BO1225" i="3"/>
  <c r="BQ1225" i="3" s="1"/>
  <c r="BO1226" i="3"/>
  <c r="BO1227" i="3"/>
  <c r="BO1228" i="3"/>
  <c r="BQ1228" i="3" s="1"/>
  <c r="BO1229" i="3"/>
  <c r="BQ1229" i="3" s="1"/>
  <c r="BO1230" i="3"/>
  <c r="BO1231" i="3"/>
  <c r="BO1232" i="3"/>
  <c r="BQ1232" i="3" s="1"/>
  <c r="BO1233" i="3"/>
  <c r="BQ1233" i="3" s="1"/>
  <c r="BO1234" i="3"/>
  <c r="BO1235" i="3"/>
  <c r="BO1236" i="3"/>
  <c r="BQ1236" i="3" s="1"/>
  <c r="BO1237" i="3"/>
  <c r="BQ1237" i="3" s="1"/>
  <c r="BO1238" i="3"/>
  <c r="BO1239" i="3"/>
  <c r="BO1240" i="3"/>
  <c r="BQ1240" i="3" s="1"/>
  <c r="BO1241" i="3"/>
  <c r="BQ1241" i="3" s="1"/>
  <c r="BO1242" i="3"/>
  <c r="BO1243" i="3"/>
  <c r="BO1244" i="3"/>
  <c r="BQ1244" i="3" s="1"/>
  <c r="BO1245" i="3"/>
  <c r="BQ1245" i="3" s="1"/>
  <c r="BO1246" i="3"/>
  <c r="BO1247" i="3"/>
  <c r="BO1248" i="3"/>
  <c r="BQ1248" i="3" s="1"/>
  <c r="BO1249" i="3"/>
  <c r="BQ1249" i="3" s="1"/>
  <c r="BO1250" i="3"/>
  <c r="BO1251" i="3"/>
  <c r="BO1252" i="3"/>
  <c r="BQ1252" i="3" s="1"/>
  <c r="BO1253" i="3"/>
  <c r="BQ1253" i="3" s="1"/>
  <c r="BO1254" i="3"/>
  <c r="BO1255" i="3"/>
  <c r="BO1256" i="3"/>
  <c r="BQ1256" i="3" s="1"/>
  <c r="BO1257" i="3"/>
  <c r="BQ1257" i="3" s="1"/>
  <c r="BO1258" i="3"/>
  <c r="BO1259" i="3"/>
  <c r="BO1260" i="3"/>
  <c r="BQ1260" i="3" s="1"/>
  <c r="BO1261" i="3"/>
  <c r="BQ1261" i="3" s="1"/>
  <c r="BO1262" i="3"/>
  <c r="BO1263" i="3"/>
  <c r="BO1264" i="3"/>
  <c r="BQ1264" i="3" s="1"/>
  <c r="BO1265" i="3"/>
  <c r="BQ1265" i="3" s="1"/>
  <c r="BO1266" i="3"/>
  <c r="BO1267" i="3"/>
  <c r="BO1268" i="3"/>
  <c r="BQ1268" i="3" s="1"/>
  <c r="BO1269" i="3"/>
  <c r="BQ1269" i="3" s="1"/>
  <c r="BO1270" i="3"/>
  <c r="BO1271" i="3"/>
  <c r="BO1272" i="3"/>
  <c r="BQ1272" i="3" s="1"/>
  <c r="BO1273" i="3"/>
  <c r="BQ1273" i="3" s="1"/>
  <c r="BO1274" i="3"/>
  <c r="BO1275" i="3"/>
  <c r="BO1276" i="3"/>
  <c r="BQ1276" i="3" s="1"/>
  <c r="BO1277" i="3"/>
  <c r="BQ1277" i="3" s="1"/>
  <c r="BO1278" i="3"/>
  <c r="BO1279" i="3"/>
  <c r="BO1280" i="3"/>
  <c r="BQ1280" i="3" s="1"/>
  <c r="BO1281" i="3"/>
  <c r="BQ1281" i="3" s="1"/>
  <c r="BO1282" i="3"/>
  <c r="BO1283" i="3"/>
  <c r="BO1284" i="3"/>
  <c r="BQ1284" i="3" s="1"/>
  <c r="BO1285" i="3"/>
  <c r="BQ1285" i="3" s="1"/>
  <c r="BO1286" i="3"/>
  <c r="BO1287" i="3"/>
  <c r="BO1288" i="3"/>
  <c r="BQ1288" i="3" s="1"/>
  <c r="BO1289" i="3"/>
  <c r="BQ1289" i="3" s="1"/>
  <c r="BO1290" i="3"/>
  <c r="BO1291" i="3"/>
  <c r="BO1292" i="3"/>
  <c r="BQ1292" i="3" s="1"/>
  <c r="BO1293" i="3"/>
  <c r="BQ1293" i="3" s="1"/>
  <c r="BO1294" i="3"/>
  <c r="BO1295" i="3"/>
  <c r="BO1296" i="3"/>
  <c r="BQ1296" i="3" s="1"/>
  <c r="BO1297" i="3"/>
  <c r="BQ1297" i="3" s="1"/>
  <c r="BO1298" i="3"/>
  <c r="BO1299" i="3"/>
  <c r="BO1300" i="3"/>
  <c r="BQ1300" i="3" s="1"/>
  <c r="BO1301" i="3"/>
  <c r="BQ1301" i="3" s="1"/>
  <c r="BO1302" i="3"/>
  <c r="BO1303" i="3"/>
  <c r="BO1304" i="3"/>
  <c r="BQ1304" i="3" s="1"/>
  <c r="BO1305" i="3"/>
  <c r="BQ1305" i="3" s="1"/>
  <c r="BO1306" i="3"/>
  <c r="BO1307" i="3"/>
  <c r="BO1308" i="3"/>
  <c r="BQ1308" i="3" s="1"/>
  <c r="BO1309" i="3"/>
  <c r="BQ1309" i="3" s="1"/>
  <c r="BO1310" i="3"/>
  <c r="BO1311" i="3"/>
  <c r="BO1312" i="3"/>
  <c r="BQ1312" i="3" s="1"/>
  <c r="BO1313" i="3"/>
  <c r="BQ1313" i="3" s="1"/>
  <c r="BO1314" i="3"/>
  <c r="BO1315" i="3"/>
  <c r="BO1316" i="3"/>
  <c r="BQ1316" i="3" s="1"/>
  <c r="BO1317" i="3"/>
  <c r="BQ1317" i="3" s="1"/>
  <c r="BO1318" i="3"/>
  <c r="BO1319" i="3"/>
  <c r="BO1320" i="3"/>
  <c r="BQ1320" i="3" s="1"/>
  <c r="BO1321" i="3"/>
  <c r="BQ1321" i="3" s="1"/>
  <c r="BO1322" i="3"/>
  <c r="BO1323" i="3"/>
  <c r="BO1324" i="3"/>
  <c r="BQ1324" i="3" s="1"/>
  <c r="BO1325" i="3"/>
  <c r="BQ1325" i="3" s="1"/>
  <c r="BO1326" i="3"/>
  <c r="BO1327" i="3"/>
  <c r="BO1328" i="3"/>
  <c r="BQ1328" i="3" s="1"/>
  <c r="BO1329" i="3"/>
  <c r="BQ1329" i="3" s="1"/>
  <c r="BO1330" i="3"/>
  <c r="BO1331" i="3"/>
  <c r="BO1332" i="3"/>
  <c r="BQ1332" i="3" s="1"/>
  <c r="BO1333" i="3"/>
  <c r="BQ1333" i="3" s="1"/>
  <c r="BO1334" i="3"/>
  <c r="BO1335" i="3"/>
  <c r="BO1336" i="3"/>
  <c r="BQ1336" i="3" s="1"/>
  <c r="BO1337" i="3"/>
  <c r="BQ1337" i="3" s="1"/>
  <c r="BO1338" i="3"/>
  <c r="BO1339" i="3"/>
  <c r="BO1340" i="3"/>
  <c r="BQ1340" i="3" s="1"/>
  <c r="BO1341" i="3"/>
  <c r="BQ1341" i="3" s="1"/>
  <c r="BO1342" i="3"/>
  <c r="BO1343" i="3"/>
  <c r="BO1344" i="3"/>
  <c r="BQ1344" i="3" s="1"/>
  <c r="BO1345" i="3"/>
  <c r="BQ1345" i="3" s="1"/>
  <c r="BO1346" i="3"/>
  <c r="BO1347" i="3"/>
  <c r="BO1348" i="3"/>
  <c r="BQ1348" i="3" s="1"/>
  <c r="BO1349" i="3"/>
  <c r="BQ1349" i="3" s="1"/>
  <c r="BO1350" i="3"/>
  <c r="BO1351" i="3"/>
  <c r="BO1352" i="3"/>
  <c r="BQ1352" i="3" s="1"/>
  <c r="BO1353" i="3"/>
  <c r="BQ1353" i="3" s="1"/>
  <c r="BO1354" i="3"/>
  <c r="BO1355" i="3"/>
  <c r="BO1356" i="3"/>
  <c r="BQ1356" i="3" s="1"/>
  <c r="BO1357" i="3"/>
  <c r="BQ1357" i="3" s="1"/>
  <c r="BO1358" i="3"/>
  <c r="BO1359" i="3"/>
  <c r="BO1360" i="3"/>
  <c r="BQ1360" i="3" s="1"/>
  <c r="BO1361" i="3"/>
  <c r="BQ1361" i="3" s="1"/>
  <c r="BO1362" i="3"/>
  <c r="BO1363" i="3"/>
  <c r="BO1364" i="3"/>
  <c r="BQ1364" i="3" s="1"/>
  <c r="BO1365" i="3"/>
  <c r="BQ1365" i="3" s="1"/>
  <c r="BO1366" i="3"/>
  <c r="BO1367" i="3"/>
  <c r="BO1368" i="3"/>
  <c r="BQ1368" i="3" s="1"/>
  <c r="BO1369" i="3"/>
  <c r="BQ1369" i="3" s="1"/>
  <c r="BO1370" i="3"/>
  <c r="BO1371" i="3"/>
  <c r="BO1372" i="3"/>
  <c r="BQ1372" i="3" s="1"/>
  <c r="BO1373" i="3"/>
  <c r="BQ1373" i="3" s="1"/>
  <c r="BO1374" i="3"/>
  <c r="BO1375" i="3"/>
  <c r="BO1376" i="3"/>
  <c r="BQ1376" i="3" s="1"/>
  <c r="BO1377" i="3"/>
  <c r="BQ1377" i="3" s="1"/>
  <c r="BO1378" i="3"/>
  <c r="BO1379" i="3"/>
  <c r="BO1380" i="3"/>
  <c r="BQ1380" i="3" s="1"/>
  <c r="BO1381" i="3"/>
  <c r="BQ1381" i="3" s="1"/>
  <c r="BO1382" i="3"/>
  <c r="BO1383" i="3"/>
  <c r="BO1384" i="3"/>
  <c r="BQ1384" i="3" s="1"/>
  <c r="BO1385" i="3"/>
  <c r="BQ1385" i="3" s="1"/>
  <c r="BO1386" i="3"/>
  <c r="BO1387" i="3"/>
  <c r="BO1388" i="3"/>
  <c r="BQ1388" i="3" s="1"/>
  <c r="BO1389" i="3"/>
  <c r="BQ1389" i="3" s="1"/>
  <c r="BO1390" i="3"/>
  <c r="BO1391" i="3"/>
  <c r="BO1392" i="3"/>
  <c r="BQ1392" i="3" s="1"/>
  <c r="BO1393" i="3"/>
  <c r="BQ1393" i="3" s="1"/>
  <c r="BO1394" i="3"/>
  <c r="BO1395" i="3"/>
  <c r="BO1396" i="3"/>
  <c r="BQ1396" i="3" s="1"/>
  <c r="BO1397" i="3"/>
  <c r="BQ1397" i="3" s="1"/>
  <c r="BO1398" i="3"/>
  <c r="BO1399" i="3"/>
  <c r="BO1400" i="3"/>
  <c r="BQ1400" i="3" s="1"/>
  <c r="BO1401" i="3"/>
  <c r="BQ1401" i="3" s="1"/>
  <c r="BO1402" i="3"/>
  <c r="BO1403" i="3"/>
  <c r="BO1404" i="3"/>
  <c r="BQ1404" i="3" s="1"/>
  <c r="BO1405" i="3"/>
  <c r="BQ1405" i="3" s="1"/>
  <c r="BO1406" i="3"/>
  <c r="BO1407" i="3"/>
  <c r="BO1408" i="3"/>
  <c r="BQ1408" i="3" s="1"/>
  <c r="BO1409" i="3"/>
  <c r="BQ1409" i="3" s="1"/>
  <c r="BO1410" i="3"/>
  <c r="BO1411" i="3"/>
  <c r="BO1412" i="3"/>
  <c r="BQ1412" i="3" s="1"/>
  <c r="BO1413" i="3"/>
  <c r="BQ1413" i="3" s="1"/>
  <c r="BO1414" i="3"/>
  <c r="BO1415" i="3"/>
  <c r="BO1416" i="3"/>
  <c r="BQ1416" i="3" s="1"/>
  <c r="BO1417" i="3"/>
  <c r="BQ1417" i="3" s="1"/>
  <c r="BO1418" i="3"/>
  <c r="BO1419" i="3"/>
  <c r="BO1420" i="3"/>
  <c r="BQ1420" i="3" s="1"/>
  <c r="BO1421" i="3"/>
  <c r="BQ1421" i="3" s="1"/>
  <c r="BO1422" i="3"/>
  <c r="BO1423" i="3"/>
  <c r="BO1424" i="3"/>
  <c r="BQ1424" i="3" s="1"/>
  <c r="BO1425" i="3"/>
  <c r="BQ1425" i="3" s="1"/>
  <c r="BO1426" i="3"/>
  <c r="BO1427" i="3"/>
  <c r="BO1428" i="3"/>
  <c r="BQ1428" i="3" s="1"/>
  <c r="BO1429" i="3"/>
  <c r="BQ1429" i="3" s="1"/>
  <c r="BO1430" i="3"/>
  <c r="BO1431" i="3"/>
  <c r="BO1432" i="3"/>
  <c r="BQ1432" i="3" s="1"/>
  <c r="BO1433" i="3"/>
  <c r="BQ1433" i="3" s="1"/>
  <c r="BO1434" i="3"/>
  <c r="BO1435" i="3"/>
  <c r="BO1436" i="3"/>
  <c r="BQ1436" i="3" s="1"/>
  <c r="BO1437" i="3"/>
  <c r="BQ1437" i="3" s="1"/>
  <c r="BO1438" i="3"/>
  <c r="BO1439" i="3"/>
  <c r="BO1440" i="3"/>
  <c r="BQ1440" i="3" s="1"/>
  <c r="BO1441" i="3"/>
  <c r="BQ1441" i="3" s="1"/>
  <c r="BO1442" i="3"/>
  <c r="BO1443" i="3"/>
  <c r="BO1444" i="3"/>
  <c r="BQ1444" i="3" s="1"/>
  <c r="BO1445" i="3"/>
  <c r="BQ1445" i="3" s="1"/>
  <c r="BO1446" i="3"/>
  <c r="BO1447" i="3"/>
  <c r="BO1448" i="3"/>
  <c r="BQ1448" i="3" s="1"/>
  <c r="BO1449" i="3"/>
  <c r="BQ1449" i="3" s="1"/>
  <c r="BO1450" i="3"/>
  <c r="BO1451" i="3"/>
  <c r="BO1452" i="3"/>
  <c r="BQ1452" i="3" s="1"/>
  <c r="BO1453" i="3"/>
  <c r="BQ1453" i="3" s="1"/>
  <c r="BO1454" i="3"/>
  <c r="BO1455" i="3"/>
  <c r="BO1456" i="3"/>
  <c r="BQ1456" i="3" s="1"/>
  <c r="BO1457" i="3"/>
  <c r="BQ1457" i="3" s="1"/>
  <c r="BO1458" i="3"/>
  <c r="BO1459" i="3"/>
  <c r="BO1460" i="3"/>
  <c r="BQ1460" i="3" s="1"/>
  <c r="BO1461" i="3"/>
  <c r="BQ1461" i="3" s="1"/>
  <c r="BO1462" i="3"/>
  <c r="BO1463" i="3"/>
  <c r="BO1464" i="3"/>
  <c r="BO1465" i="3"/>
  <c r="BQ1465" i="3" s="1"/>
  <c r="BO1466" i="3"/>
  <c r="BO1467" i="3"/>
  <c r="BO1468" i="3"/>
  <c r="BO1469" i="3"/>
  <c r="BQ1469" i="3" s="1"/>
  <c r="BO1470" i="3"/>
  <c r="BO1471" i="3"/>
  <c r="BO1472" i="3"/>
  <c r="BO1473" i="3"/>
  <c r="BQ1473" i="3" s="1"/>
  <c r="BO1474" i="3"/>
  <c r="BO1475" i="3"/>
  <c r="BO1476" i="3"/>
  <c r="BO1477" i="3"/>
  <c r="BQ1477" i="3" s="1"/>
  <c r="BO1478" i="3"/>
  <c r="BO1479" i="3"/>
  <c r="BO1480" i="3"/>
  <c r="BO1481" i="3"/>
  <c r="BQ1481" i="3" s="1"/>
  <c r="BO1482" i="3"/>
  <c r="BO1483" i="3"/>
  <c r="BO1484" i="3"/>
  <c r="BO1485" i="3"/>
  <c r="BQ1485" i="3" s="1"/>
  <c r="BO1486" i="3"/>
  <c r="BO1487" i="3"/>
  <c r="BO1488" i="3"/>
  <c r="BO1489" i="3"/>
  <c r="BQ1489" i="3" s="1"/>
  <c r="BO1490" i="3"/>
  <c r="BO1491" i="3"/>
  <c r="BO1492" i="3"/>
  <c r="BO1493" i="3"/>
  <c r="BQ1493" i="3" s="1"/>
  <c r="BO1494" i="3"/>
  <c r="BO1495" i="3"/>
  <c r="BO1496" i="3"/>
  <c r="BO1497" i="3"/>
  <c r="BQ1497" i="3" s="1"/>
  <c r="BO1498" i="3"/>
  <c r="BO1499" i="3"/>
  <c r="BO1500" i="3"/>
  <c r="BO1501" i="3"/>
  <c r="BQ1501" i="3" s="1"/>
  <c r="BO1502" i="3"/>
  <c r="BO1503" i="3"/>
  <c r="BO1504" i="3"/>
  <c r="BO1505" i="3"/>
  <c r="BQ1505" i="3" s="1"/>
  <c r="BO1506" i="3"/>
  <c r="BO1507" i="3"/>
  <c r="BO1508" i="3"/>
  <c r="BO1509" i="3"/>
  <c r="BQ1509" i="3" s="1"/>
  <c r="BO1510" i="3"/>
  <c r="BO1511" i="3"/>
  <c r="BO1512" i="3"/>
  <c r="BO1513" i="3"/>
  <c r="BQ1513" i="3" s="1"/>
  <c r="BO1514" i="3"/>
  <c r="BO1515" i="3"/>
  <c r="BO1516" i="3"/>
  <c r="BO1517" i="3"/>
  <c r="BQ1517" i="3" s="1"/>
  <c r="BO1518" i="3"/>
  <c r="BO1519" i="3"/>
  <c r="BO1520" i="3"/>
  <c r="BO1521" i="3"/>
  <c r="BQ1521" i="3" s="1"/>
  <c r="BO1522" i="3"/>
  <c r="BO1523" i="3"/>
  <c r="BO1524" i="3"/>
  <c r="BO1525" i="3"/>
  <c r="BQ1525" i="3" s="1"/>
  <c r="BO1526" i="3"/>
  <c r="BO1527" i="3"/>
  <c r="BO1528" i="3"/>
  <c r="BO1529" i="3"/>
  <c r="BQ1529" i="3" s="1"/>
  <c r="BO1530" i="3"/>
  <c r="BO1531" i="3"/>
  <c r="BO1532" i="3"/>
  <c r="BO1533" i="3"/>
  <c r="BQ1533" i="3" s="1"/>
  <c r="BO1534" i="3"/>
  <c r="BO1535" i="3"/>
  <c r="BO1536" i="3"/>
  <c r="BO1537" i="3"/>
  <c r="BQ1537" i="3" s="1"/>
  <c r="BO1538" i="3"/>
  <c r="BO1539" i="3"/>
  <c r="BO1540" i="3"/>
  <c r="BO1541" i="3"/>
  <c r="BQ1541" i="3" s="1"/>
  <c r="BO1542" i="3"/>
  <c r="BO1543" i="3"/>
  <c r="BO1544" i="3"/>
  <c r="BO1545" i="3"/>
  <c r="BQ1545" i="3" s="1"/>
  <c r="BO1546" i="3"/>
  <c r="BO1547" i="3"/>
  <c r="BO1548" i="3"/>
  <c r="BO1549" i="3"/>
  <c r="BQ1549" i="3" s="1"/>
  <c r="BO1550" i="3"/>
  <c r="BO1551" i="3"/>
  <c r="BO1552" i="3"/>
  <c r="BO1553" i="3"/>
  <c r="BQ1553" i="3" s="1"/>
  <c r="BO1554" i="3"/>
  <c r="BO1555" i="3"/>
  <c r="BO1556" i="3"/>
  <c r="BO1557" i="3"/>
  <c r="BQ1557" i="3" s="1"/>
  <c r="BO1558" i="3"/>
  <c r="BO1559" i="3"/>
  <c r="BO1560" i="3"/>
  <c r="BO1561" i="3"/>
  <c r="BQ1561" i="3" s="1"/>
  <c r="BO1562" i="3"/>
  <c r="BO1563" i="3"/>
  <c r="BO1564" i="3"/>
  <c r="BO1565" i="3"/>
  <c r="BQ1565" i="3" s="1"/>
  <c r="BO1566" i="3"/>
  <c r="BO1567" i="3"/>
  <c r="BO1568" i="3"/>
  <c r="BO1569" i="3"/>
  <c r="BQ1569" i="3" s="1"/>
  <c r="BO1570" i="3"/>
  <c r="BO1571" i="3"/>
  <c r="BO1572" i="3"/>
  <c r="BO1573" i="3"/>
  <c r="BQ1573" i="3" s="1"/>
  <c r="BO1574" i="3"/>
  <c r="BO1575" i="3"/>
  <c r="BO1576" i="3"/>
  <c r="BO1577" i="3"/>
  <c r="BQ1577" i="3" s="1"/>
  <c r="BO1578" i="3"/>
  <c r="BO1579" i="3"/>
  <c r="BO1580" i="3"/>
  <c r="BO1581" i="3"/>
  <c r="BQ1581" i="3" s="1"/>
  <c r="BO1582" i="3"/>
  <c r="BO1583" i="3"/>
  <c r="BO1584" i="3"/>
  <c r="BO1585" i="3"/>
  <c r="BQ1585" i="3" s="1"/>
  <c r="BO1586" i="3"/>
  <c r="BO1587" i="3"/>
  <c r="BO1588" i="3"/>
  <c r="BO1589" i="3"/>
  <c r="BQ1589" i="3" s="1"/>
  <c r="BO1590" i="3"/>
  <c r="BO1591" i="3"/>
  <c r="BO1592" i="3"/>
  <c r="BO1593" i="3"/>
  <c r="BQ1593" i="3" s="1"/>
  <c r="BO1594" i="3"/>
  <c r="BO1595" i="3"/>
  <c r="BO1596" i="3"/>
  <c r="BO1597" i="3"/>
  <c r="BQ1597" i="3" s="1"/>
  <c r="BO1598" i="3"/>
  <c r="BO1599" i="3"/>
  <c r="BO1600" i="3"/>
  <c r="BO1601" i="3"/>
  <c r="BQ1601" i="3" s="1"/>
  <c r="BO1602" i="3"/>
  <c r="BO1603" i="3"/>
  <c r="BO1604" i="3"/>
  <c r="BO1605" i="3"/>
  <c r="BQ1605" i="3" s="1"/>
  <c r="BO1606" i="3"/>
  <c r="BO1607" i="3"/>
  <c r="BO1608" i="3"/>
  <c r="BO1609" i="3"/>
  <c r="BQ1609" i="3" s="1"/>
  <c r="BO1610" i="3"/>
  <c r="BO1611" i="3"/>
  <c r="BO1612" i="3"/>
  <c r="BO1613" i="3"/>
  <c r="BQ1613" i="3" s="1"/>
  <c r="BO1614" i="3"/>
  <c r="BO1615" i="3"/>
  <c r="BO1616" i="3"/>
  <c r="BO1617" i="3"/>
  <c r="BQ1617" i="3" s="1"/>
  <c r="BO1618" i="3"/>
  <c r="BO1619" i="3"/>
  <c r="BO1620" i="3"/>
  <c r="BO1621" i="3"/>
  <c r="BQ1621" i="3" s="1"/>
  <c r="BO1622" i="3"/>
  <c r="BO1623" i="3"/>
  <c r="BO1624" i="3"/>
  <c r="BO1625" i="3"/>
  <c r="BQ1625" i="3" s="1"/>
  <c r="BO1626" i="3"/>
  <c r="BO1627" i="3"/>
  <c r="BO1628" i="3"/>
  <c r="BO1629" i="3"/>
  <c r="BQ1629" i="3" s="1"/>
  <c r="BO1630" i="3"/>
  <c r="BO1631" i="3"/>
  <c r="BO1632" i="3"/>
  <c r="BO1633" i="3"/>
  <c r="BQ1633" i="3" s="1"/>
  <c r="BO1634" i="3"/>
  <c r="BO1635" i="3"/>
  <c r="BO1636" i="3"/>
  <c r="BO1637" i="3"/>
  <c r="BQ1637" i="3" s="1"/>
  <c r="BO1638" i="3"/>
  <c r="BO1639" i="3"/>
  <c r="BO1640" i="3"/>
  <c r="BO1641" i="3"/>
  <c r="BQ1641" i="3" s="1"/>
  <c r="BO1642" i="3"/>
  <c r="BO1643" i="3"/>
  <c r="BO1644" i="3"/>
  <c r="BO1645" i="3"/>
  <c r="BQ1645" i="3" s="1"/>
  <c r="BO1646" i="3"/>
  <c r="BO1647" i="3"/>
  <c r="BO1648" i="3"/>
  <c r="BO1649" i="3"/>
  <c r="BQ1649" i="3" s="1"/>
  <c r="BO1650" i="3"/>
  <c r="BO1651" i="3"/>
  <c r="BO1652" i="3"/>
  <c r="BO1653" i="3"/>
  <c r="BQ1653" i="3" s="1"/>
  <c r="BO1654" i="3"/>
  <c r="BO1655" i="3"/>
  <c r="BO1656" i="3"/>
  <c r="BO1657" i="3"/>
  <c r="BQ1657" i="3" s="1"/>
  <c r="BO1658" i="3"/>
  <c r="BO1659" i="3"/>
  <c r="BO1660" i="3"/>
  <c r="BO1661" i="3"/>
  <c r="BQ1661" i="3" s="1"/>
  <c r="BO1662" i="3"/>
  <c r="BN849" i="3"/>
  <c r="BN850" i="3"/>
  <c r="BN851" i="3"/>
  <c r="BN852" i="3"/>
  <c r="BN853" i="3"/>
  <c r="BN854" i="3"/>
  <c r="BN855" i="3"/>
  <c r="BN856" i="3"/>
  <c r="BN857" i="3"/>
  <c r="BN858" i="3"/>
  <c r="BN859" i="3"/>
  <c r="BN860" i="3"/>
  <c r="BN861" i="3"/>
  <c r="BN862" i="3"/>
  <c r="BN863" i="3"/>
  <c r="BN864" i="3"/>
  <c r="BN865" i="3"/>
  <c r="BN866" i="3"/>
  <c r="BN867" i="3"/>
  <c r="BN868" i="3"/>
  <c r="BN869" i="3"/>
  <c r="BN870" i="3"/>
  <c r="BN871" i="3"/>
  <c r="BN872" i="3"/>
  <c r="BN873" i="3"/>
  <c r="BN874" i="3"/>
  <c r="BN875" i="3"/>
  <c r="BN876" i="3"/>
  <c r="BN877" i="3"/>
  <c r="BN878" i="3"/>
  <c r="BN879" i="3"/>
  <c r="BN880" i="3"/>
  <c r="BN881" i="3"/>
  <c r="BN882" i="3"/>
  <c r="BN883" i="3"/>
  <c r="BN884" i="3"/>
  <c r="BN885" i="3"/>
  <c r="BN886" i="3"/>
  <c r="BN887" i="3"/>
  <c r="BN888" i="3"/>
  <c r="BN889" i="3"/>
  <c r="BN890" i="3"/>
  <c r="BN891" i="3"/>
  <c r="BN892" i="3"/>
  <c r="BN893" i="3"/>
  <c r="BN894" i="3"/>
  <c r="BN895" i="3"/>
  <c r="BN896" i="3"/>
  <c r="BN897" i="3"/>
  <c r="BN898" i="3"/>
  <c r="BN899" i="3"/>
  <c r="BN900" i="3"/>
  <c r="BN901" i="3"/>
  <c r="BN902" i="3"/>
  <c r="BN903" i="3"/>
  <c r="BN904" i="3"/>
  <c r="BN905" i="3"/>
  <c r="BN906" i="3"/>
  <c r="BN907" i="3"/>
  <c r="BN908" i="3"/>
  <c r="BN909" i="3"/>
  <c r="BN910" i="3"/>
  <c r="BN911" i="3"/>
  <c r="BN912" i="3"/>
  <c r="BN913" i="3"/>
  <c r="BN914" i="3"/>
  <c r="BN915" i="3"/>
  <c r="BN916" i="3"/>
  <c r="BN917" i="3"/>
  <c r="BN918" i="3"/>
  <c r="BN919" i="3"/>
  <c r="BN920" i="3"/>
  <c r="BN921" i="3"/>
  <c r="BN922" i="3"/>
  <c r="BN923" i="3"/>
  <c r="BN924" i="3"/>
  <c r="BN925" i="3"/>
  <c r="BN926" i="3"/>
  <c r="BN927" i="3"/>
  <c r="BN928" i="3"/>
  <c r="BN929" i="3"/>
  <c r="BN930" i="3"/>
  <c r="BN931" i="3"/>
  <c r="BN932" i="3"/>
  <c r="BN933" i="3"/>
  <c r="BN934" i="3"/>
  <c r="BN935" i="3"/>
  <c r="BN936" i="3"/>
  <c r="BN937" i="3"/>
  <c r="BN938" i="3"/>
  <c r="BN939" i="3"/>
  <c r="BN940" i="3"/>
  <c r="BN941" i="3"/>
  <c r="BN942" i="3"/>
  <c r="BN943" i="3"/>
  <c r="BN944" i="3"/>
  <c r="BN945" i="3"/>
  <c r="BN946" i="3"/>
  <c r="BN947" i="3"/>
  <c r="BN948" i="3"/>
  <c r="BN949" i="3"/>
  <c r="BN950" i="3"/>
  <c r="BN951" i="3"/>
  <c r="BN952" i="3"/>
  <c r="BN953" i="3"/>
  <c r="BN954" i="3"/>
  <c r="BN955" i="3"/>
  <c r="BN956" i="3"/>
  <c r="BN957" i="3"/>
  <c r="BN958" i="3"/>
  <c r="BN959" i="3"/>
  <c r="BN960" i="3"/>
  <c r="BN961" i="3"/>
  <c r="BN962" i="3"/>
  <c r="BN963" i="3"/>
  <c r="BN964" i="3"/>
  <c r="BN965" i="3"/>
  <c r="BN966" i="3"/>
  <c r="BN967" i="3"/>
  <c r="BN968" i="3"/>
  <c r="BN969" i="3"/>
  <c r="BN970" i="3"/>
  <c r="BN971" i="3"/>
  <c r="BN972" i="3"/>
  <c r="BN973" i="3"/>
  <c r="BN974" i="3"/>
  <c r="BN975" i="3"/>
  <c r="BN976" i="3"/>
  <c r="BN977" i="3"/>
  <c r="BN978" i="3"/>
  <c r="BN979" i="3"/>
  <c r="BN980" i="3"/>
  <c r="BN981" i="3"/>
  <c r="BN982" i="3"/>
  <c r="BN983" i="3"/>
  <c r="BN984" i="3"/>
  <c r="BN985" i="3"/>
  <c r="BN986" i="3"/>
  <c r="BN987" i="3"/>
  <c r="BN988" i="3"/>
  <c r="BN989" i="3"/>
  <c r="BN990" i="3"/>
  <c r="BN991" i="3"/>
  <c r="BN992" i="3"/>
  <c r="BN993" i="3"/>
  <c r="BN994" i="3"/>
  <c r="BN995" i="3"/>
  <c r="BN996" i="3"/>
  <c r="BN997" i="3"/>
  <c r="BN998" i="3"/>
  <c r="BN999" i="3"/>
  <c r="BN1000" i="3"/>
  <c r="BN1001" i="3"/>
  <c r="BN1002" i="3"/>
  <c r="BN1003" i="3"/>
  <c r="BN1004" i="3"/>
  <c r="BN1005" i="3"/>
  <c r="BN1006" i="3"/>
  <c r="BN1007" i="3"/>
  <c r="BN1008" i="3"/>
  <c r="BN1009" i="3"/>
  <c r="BN1010" i="3"/>
  <c r="BN1011" i="3"/>
  <c r="BN1012" i="3"/>
  <c r="BN1013" i="3"/>
  <c r="BN1014" i="3"/>
  <c r="BN1015" i="3"/>
  <c r="BN1016" i="3"/>
  <c r="BN1017" i="3"/>
  <c r="BN1018" i="3"/>
  <c r="BN1019" i="3"/>
  <c r="BN1020" i="3"/>
  <c r="BN1021" i="3"/>
  <c r="BN1022" i="3"/>
  <c r="BN1023" i="3"/>
  <c r="BN1024" i="3"/>
  <c r="BN1025" i="3"/>
  <c r="BN1026" i="3"/>
  <c r="BN1027" i="3"/>
  <c r="BN1028" i="3"/>
  <c r="BN1029" i="3"/>
  <c r="BN1030" i="3"/>
  <c r="BN1031" i="3"/>
  <c r="BN1032" i="3"/>
  <c r="BN1033" i="3"/>
  <c r="BN1034" i="3"/>
  <c r="BN1035" i="3"/>
  <c r="BN1036" i="3"/>
  <c r="BN1037" i="3"/>
  <c r="BN1038" i="3"/>
  <c r="BN1039" i="3"/>
  <c r="BN1040" i="3"/>
  <c r="BN1041" i="3"/>
  <c r="BN1042" i="3"/>
  <c r="BN1043" i="3"/>
  <c r="BN1044" i="3"/>
  <c r="BN1045" i="3"/>
  <c r="BN1046" i="3"/>
  <c r="BN1047" i="3"/>
  <c r="BN1048" i="3"/>
  <c r="BN1049" i="3"/>
  <c r="BN1050" i="3"/>
  <c r="BN1051" i="3"/>
  <c r="BN1052" i="3"/>
  <c r="BN1053" i="3"/>
  <c r="BN1054" i="3"/>
  <c r="BN1055" i="3"/>
  <c r="BN1056" i="3"/>
  <c r="BN1057" i="3"/>
  <c r="BN1058" i="3"/>
  <c r="BN1059" i="3"/>
  <c r="BN1060" i="3"/>
  <c r="BN1061" i="3"/>
  <c r="BN1062" i="3"/>
  <c r="BN1063" i="3"/>
  <c r="BN1064" i="3"/>
  <c r="BN1065" i="3"/>
  <c r="BN1066" i="3"/>
  <c r="BN1067" i="3"/>
  <c r="BN1068" i="3"/>
  <c r="BN1069" i="3"/>
  <c r="BN1070" i="3"/>
  <c r="BN1071" i="3"/>
  <c r="BN1072" i="3"/>
  <c r="BN1073" i="3"/>
  <c r="BN1074" i="3"/>
  <c r="BN1075" i="3"/>
  <c r="BN1076" i="3"/>
  <c r="BN1077" i="3"/>
  <c r="BN1078" i="3"/>
  <c r="BN1079" i="3"/>
  <c r="BN1080" i="3"/>
  <c r="BN1081" i="3"/>
  <c r="BN1082" i="3"/>
  <c r="BN1083" i="3"/>
  <c r="BN1084" i="3"/>
  <c r="BN1085" i="3"/>
  <c r="BN1086" i="3"/>
  <c r="BN1087" i="3"/>
  <c r="BN1088" i="3"/>
  <c r="BN1089" i="3"/>
  <c r="BN1090" i="3"/>
  <c r="BN1091" i="3"/>
  <c r="BN1092" i="3"/>
  <c r="BN1093" i="3"/>
  <c r="BN1094" i="3"/>
  <c r="BN1095" i="3"/>
  <c r="BN1096" i="3"/>
  <c r="BN1097" i="3"/>
  <c r="BN1098" i="3"/>
  <c r="BN1099" i="3"/>
  <c r="BN1100" i="3"/>
  <c r="BN1101" i="3"/>
  <c r="BN1102" i="3"/>
  <c r="BN1103" i="3"/>
  <c r="BN1104" i="3"/>
  <c r="BN1105" i="3"/>
  <c r="BN1106" i="3"/>
  <c r="BN1107" i="3"/>
  <c r="BN1108" i="3"/>
  <c r="BN1109" i="3"/>
  <c r="BN1110" i="3"/>
  <c r="BN1111" i="3"/>
  <c r="BN1112" i="3"/>
  <c r="BN1113" i="3"/>
  <c r="BN1114" i="3"/>
  <c r="BN1115" i="3"/>
  <c r="BN1116" i="3"/>
  <c r="BN1117" i="3"/>
  <c r="BN1118" i="3"/>
  <c r="BN1119" i="3"/>
  <c r="BN1120" i="3"/>
  <c r="BN1121" i="3"/>
  <c r="BN1122" i="3"/>
  <c r="BN1123" i="3"/>
  <c r="BN1124" i="3"/>
  <c r="BN1125" i="3"/>
  <c r="BN1126" i="3"/>
  <c r="BN1127" i="3"/>
  <c r="BN1128" i="3"/>
  <c r="BN1129" i="3"/>
  <c r="BN1130" i="3"/>
  <c r="BN1131" i="3"/>
  <c r="BN1132" i="3"/>
  <c r="BN1133" i="3"/>
  <c r="BN1134" i="3"/>
  <c r="BN1135" i="3"/>
  <c r="BN1136" i="3"/>
  <c r="BN1137" i="3"/>
  <c r="BN1138" i="3"/>
  <c r="BN1139" i="3"/>
  <c r="BN1140" i="3"/>
  <c r="BN1141" i="3"/>
  <c r="BN1142" i="3"/>
  <c r="BN1143" i="3"/>
  <c r="BN1144" i="3"/>
  <c r="BN1145" i="3"/>
  <c r="BN1146" i="3"/>
  <c r="BN1147" i="3"/>
  <c r="BN1148" i="3"/>
  <c r="BN1149" i="3"/>
  <c r="BN1150" i="3"/>
  <c r="BN1151" i="3"/>
  <c r="BN1152" i="3"/>
  <c r="BN1153" i="3"/>
  <c r="BN1154" i="3"/>
  <c r="BN1155" i="3"/>
  <c r="BN1156" i="3"/>
  <c r="BN1157" i="3"/>
  <c r="BN1158" i="3"/>
  <c r="BN1159" i="3"/>
  <c r="BN1160" i="3"/>
  <c r="BN1161" i="3"/>
  <c r="BN1162" i="3"/>
  <c r="BN1163" i="3"/>
  <c r="BN1164" i="3"/>
  <c r="BN1165" i="3"/>
  <c r="BN1166" i="3"/>
  <c r="BN1167" i="3"/>
  <c r="BN1168" i="3"/>
  <c r="BN1169" i="3"/>
  <c r="BN1170" i="3"/>
  <c r="BN1171" i="3"/>
  <c r="BN1172" i="3"/>
  <c r="BN1173" i="3"/>
  <c r="BN1174" i="3"/>
  <c r="BN1175" i="3"/>
  <c r="BN1176" i="3"/>
  <c r="BN1177" i="3"/>
  <c r="BN1178" i="3"/>
  <c r="BN1179" i="3"/>
  <c r="BN1180" i="3"/>
  <c r="BN1181" i="3"/>
  <c r="BN1182" i="3"/>
  <c r="BN1183" i="3"/>
  <c r="BN1184" i="3"/>
  <c r="BN1185" i="3"/>
  <c r="BN1186" i="3"/>
  <c r="BN1187" i="3"/>
  <c r="BN1188" i="3"/>
  <c r="BN1189" i="3"/>
  <c r="BN1190" i="3"/>
  <c r="BN1191" i="3"/>
  <c r="BN1192" i="3"/>
  <c r="BN1193" i="3"/>
  <c r="BN1194" i="3"/>
  <c r="BN1195" i="3"/>
  <c r="BN1196" i="3"/>
  <c r="BN1197" i="3"/>
  <c r="BN1198" i="3"/>
  <c r="BN1199" i="3"/>
  <c r="BN1200" i="3"/>
  <c r="BN1201" i="3"/>
  <c r="BN1202" i="3"/>
  <c r="BN1203" i="3"/>
  <c r="BN1204" i="3"/>
  <c r="BN1205" i="3"/>
  <c r="BN1206" i="3"/>
  <c r="BN1207" i="3"/>
  <c r="BN1208" i="3"/>
  <c r="BN1209" i="3"/>
  <c r="BN1210" i="3"/>
  <c r="BN1211" i="3"/>
  <c r="BN1212" i="3"/>
  <c r="BN1213" i="3"/>
  <c r="BN1214" i="3"/>
  <c r="BN1215" i="3"/>
  <c r="BN1216" i="3"/>
  <c r="BN1217" i="3"/>
  <c r="BN1218" i="3"/>
  <c r="BN1219" i="3"/>
  <c r="BN1220" i="3"/>
  <c r="BN1221" i="3"/>
  <c r="BN1222" i="3"/>
  <c r="BN1223" i="3"/>
  <c r="BN1224" i="3"/>
  <c r="BN1225" i="3"/>
  <c r="BN1226" i="3"/>
  <c r="BN1227" i="3"/>
  <c r="BN1228" i="3"/>
  <c r="BN1229" i="3"/>
  <c r="BN1230" i="3"/>
  <c r="BN1231" i="3"/>
  <c r="BN1232" i="3"/>
  <c r="BN1233" i="3"/>
  <c r="BN1234" i="3"/>
  <c r="BN1235" i="3"/>
  <c r="BN1236" i="3"/>
  <c r="BN1237" i="3"/>
  <c r="BN1238" i="3"/>
  <c r="BN1239" i="3"/>
  <c r="BN1240" i="3"/>
  <c r="BN1241" i="3"/>
  <c r="BN1242" i="3"/>
  <c r="BN1243" i="3"/>
  <c r="BN1244" i="3"/>
  <c r="BN1245" i="3"/>
  <c r="BN1246" i="3"/>
  <c r="BN1247" i="3"/>
  <c r="BN1248" i="3"/>
  <c r="BN1249" i="3"/>
  <c r="BN1250" i="3"/>
  <c r="BN1251" i="3"/>
  <c r="BN1252" i="3"/>
  <c r="BN1253" i="3"/>
  <c r="BN1254" i="3"/>
  <c r="BN1255" i="3"/>
  <c r="BN1256" i="3"/>
  <c r="BN1257" i="3"/>
  <c r="BN1258" i="3"/>
  <c r="BN1259" i="3"/>
  <c r="BN1260" i="3"/>
  <c r="BN1261" i="3"/>
  <c r="BN1262" i="3"/>
  <c r="BN1263" i="3"/>
  <c r="BN1264" i="3"/>
  <c r="BN1265" i="3"/>
  <c r="BN1266" i="3"/>
  <c r="BN1267" i="3"/>
  <c r="BN1268" i="3"/>
  <c r="BN1269" i="3"/>
  <c r="BN1270" i="3"/>
  <c r="BN1271" i="3"/>
  <c r="BN1272" i="3"/>
  <c r="BN1273" i="3"/>
  <c r="BN1274" i="3"/>
  <c r="BN1275" i="3"/>
  <c r="BN1276" i="3"/>
  <c r="BN1277" i="3"/>
  <c r="BN1278" i="3"/>
  <c r="BN1279" i="3"/>
  <c r="BN1280" i="3"/>
  <c r="BN1281" i="3"/>
  <c r="BN1282" i="3"/>
  <c r="BN1283" i="3"/>
  <c r="BN1284" i="3"/>
  <c r="BN1285" i="3"/>
  <c r="BN1286" i="3"/>
  <c r="BN1287" i="3"/>
  <c r="BN1288" i="3"/>
  <c r="BN1289" i="3"/>
  <c r="BN1290" i="3"/>
  <c r="BN1291" i="3"/>
  <c r="BN1292" i="3"/>
  <c r="BN1293" i="3"/>
  <c r="BN1294" i="3"/>
  <c r="BN1295" i="3"/>
  <c r="BN1296" i="3"/>
  <c r="BN1297" i="3"/>
  <c r="BN1298" i="3"/>
  <c r="BN1299" i="3"/>
  <c r="BN1300" i="3"/>
  <c r="BN1301" i="3"/>
  <c r="BN1302" i="3"/>
  <c r="BN1303" i="3"/>
  <c r="BN1304" i="3"/>
  <c r="BN1305" i="3"/>
  <c r="BN1306" i="3"/>
  <c r="BN1307" i="3"/>
  <c r="BN1308" i="3"/>
  <c r="BN1309" i="3"/>
  <c r="BN1310" i="3"/>
  <c r="BN1311" i="3"/>
  <c r="BN1312" i="3"/>
  <c r="BN1313" i="3"/>
  <c r="BN1314" i="3"/>
  <c r="BN1315" i="3"/>
  <c r="BN1316" i="3"/>
  <c r="BN1317" i="3"/>
  <c r="BN1318" i="3"/>
  <c r="BN1319" i="3"/>
  <c r="BN1320" i="3"/>
  <c r="BN1321" i="3"/>
  <c r="BN1322" i="3"/>
  <c r="BN1323" i="3"/>
  <c r="BN1324" i="3"/>
  <c r="BN1325" i="3"/>
  <c r="BN1326" i="3"/>
  <c r="BN1327" i="3"/>
  <c r="BN1328" i="3"/>
  <c r="BN1329" i="3"/>
  <c r="BN1330" i="3"/>
  <c r="BN1331" i="3"/>
  <c r="BN1332" i="3"/>
  <c r="BN1333" i="3"/>
  <c r="BN1334" i="3"/>
  <c r="BN1335" i="3"/>
  <c r="BN1336" i="3"/>
  <c r="BN1337" i="3"/>
  <c r="BN1338" i="3"/>
  <c r="BN1339" i="3"/>
  <c r="BN1340" i="3"/>
  <c r="BN1341" i="3"/>
  <c r="BN1342" i="3"/>
  <c r="BN1343" i="3"/>
  <c r="BN1344" i="3"/>
  <c r="BN1345" i="3"/>
  <c r="BN1346" i="3"/>
  <c r="BN1347" i="3"/>
  <c r="BN1348" i="3"/>
  <c r="BN1349" i="3"/>
  <c r="BN1350" i="3"/>
  <c r="BN1351" i="3"/>
  <c r="BN1352" i="3"/>
  <c r="BN1353" i="3"/>
  <c r="BN1354" i="3"/>
  <c r="BN1355" i="3"/>
  <c r="BN1356" i="3"/>
  <c r="BN1357" i="3"/>
  <c r="BN1358" i="3"/>
  <c r="BN1359" i="3"/>
  <c r="BN1360" i="3"/>
  <c r="BN1361" i="3"/>
  <c r="BN1362" i="3"/>
  <c r="BN1363" i="3"/>
  <c r="BN1364" i="3"/>
  <c r="BN1365" i="3"/>
  <c r="BN1366" i="3"/>
  <c r="BN1367" i="3"/>
  <c r="BN1368" i="3"/>
  <c r="BN1369" i="3"/>
  <c r="BN1370" i="3"/>
  <c r="BN1371" i="3"/>
  <c r="BN1372" i="3"/>
  <c r="BN1373" i="3"/>
  <c r="BN1374" i="3"/>
  <c r="BN1375" i="3"/>
  <c r="BN1376" i="3"/>
  <c r="BN1377" i="3"/>
  <c r="BN1378" i="3"/>
  <c r="BN1379" i="3"/>
  <c r="BN1380" i="3"/>
  <c r="BN1381" i="3"/>
  <c r="BN1382" i="3"/>
  <c r="BN1383" i="3"/>
  <c r="BN1384" i="3"/>
  <c r="BN1385" i="3"/>
  <c r="BN1386" i="3"/>
  <c r="BN1387" i="3"/>
  <c r="BN1388" i="3"/>
  <c r="BN1389" i="3"/>
  <c r="BN1390" i="3"/>
  <c r="BN1391" i="3"/>
  <c r="BN1392" i="3"/>
  <c r="BN1393" i="3"/>
  <c r="BN1394" i="3"/>
  <c r="BN1395" i="3"/>
  <c r="BN1396" i="3"/>
  <c r="BN1397" i="3"/>
  <c r="BN1398" i="3"/>
  <c r="BN1399" i="3"/>
  <c r="BN1400" i="3"/>
  <c r="BN1401" i="3"/>
  <c r="BN1402" i="3"/>
  <c r="BN1403" i="3"/>
  <c r="BN1404" i="3"/>
  <c r="BN1405" i="3"/>
  <c r="BN1406" i="3"/>
  <c r="BN1407" i="3"/>
  <c r="BN1408" i="3"/>
  <c r="BN1409" i="3"/>
  <c r="BN1410" i="3"/>
  <c r="BN1411" i="3"/>
  <c r="BN1412" i="3"/>
  <c r="BN1413" i="3"/>
  <c r="BN1414" i="3"/>
  <c r="BN1415" i="3"/>
  <c r="BN1416" i="3"/>
  <c r="BN1417" i="3"/>
  <c r="BN1418" i="3"/>
  <c r="BN1419" i="3"/>
  <c r="BN1420" i="3"/>
  <c r="BN1421" i="3"/>
  <c r="BN1422" i="3"/>
  <c r="BN1423" i="3"/>
  <c r="BN1424" i="3"/>
  <c r="BN1425" i="3"/>
  <c r="BN1426" i="3"/>
  <c r="BN1427" i="3"/>
  <c r="BN1428" i="3"/>
  <c r="BN1429" i="3"/>
  <c r="BN1430" i="3"/>
  <c r="BN1431" i="3"/>
  <c r="BN1432" i="3"/>
  <c r="BN1433" i="3"/>
  <c r="BN1434" i="3"/>
  <c r="BN1435" i="3"/>
  <c r="BN1436" i="3"/>
  <c r="BN1437" i="3"/>
  <c r="BN1438" i="3"/>
  <c r="BN1439" i="3"/>
  <c r="BN1440" i="3"/>
  <c r="BN1441" i="3"/>
  <c r="BN1442" i="3"/>
  <c r="BN1443" i="3"/>
  <c r="BN1444" i="3"/>
  <c r="BN1445" i="3"/>
  <c r="BN1446" i="3"/>
  <c r="BN1447" i="3"/>
  <c r="BN1448" i="3"/>
  <c r="BN1449" i="3"/>
  <c r="BN1450" i="3"/>
  <c r="BN1451" i="3"/>
  <c r="BN1452" i="3"/>
  <c r="BN1453" i="3"/>
  <c r="BN1454" i="3"/>
  <c r="BN1455" i="3"/>
  <c r="BN1456" i="3"/>
  <c r="BN1457" i="3"/>
  <c r="BN1458" i="3"/>
  <c r="BN1459" i="3"/>
  <c r="BN1460" i="3"/>
  <c r="BN1461" i="3"/>
  <c r="BN1462" i="3"/>
  <c r="BN1463" i="3"/>
  <c r="BN1464" i="3"/>
  <c r="BN1465" i="3"/>
  <c r="BN1466" i="3"/>
  <c r="BN1467" i="3"/>
  <c r="BN1468" i="3"/>
  <c r="BN1469" i="3"/>
  <c r="BN1470" i="3"/>
  <c r="BN1471" i="3"/>
  <c r="BN1472" i="3"/>
  <c r="BN1473" i="3"/>
  <c r="BN1474" i="3"/>
  <c r="BN1475" i="3"/>
  <c r="BN1476" i="3"/>
  <c r="BN1477" i="3"/>
  <c r="BN1478" i="3"/>
  <c r="BN1479" i="3"/>
  <c r="BN1480" i="3"/>
  <c r="BN1481" i="3"/>
  <c r="BN1482" i="3"/>
  <c r="BN1483" i="3"/>
  <c r="BN1484" i="3"/>
  <c r="BN1485" i="3"/>
  <c r="BN1486" i="3"/>
  <c r="BN1487" i="3"/>
  <c r="BN1488" i="3"/>
  <c r="BN1489" i="3"/>
  <c r="BN1490" i="3"/>
  <c r="BN1491" i="3"/>
  <c r="BN1492" i="3"/>
  <c r="BN1493" i="3"/>
  <c r="BN1494" i="3"/>
  <c r="BN1495" i="3"/>
  <c r="BN1496" i="3"/>
  <c r="BN1497" i="3"/>
  <c r="BN1498" i="3"/>
  <c r="BN1499" i="3"/>
  <c r="BN1500" i="3"/>
  <c r="BN1501" i="3"/>
  <c r="BN1502" i="3"/>
  <c r="BN1503" i="3"/>
  <c r="BN1504" i="3"/>
  <c r="BN1505" i="3"/>
  <c r="BN1506" i="3"/>
  <c r="BN1507" i="3"/>
  <c r="BN1508" i="3"/>
  <c r="BN1509" i="3"/>
  <c r="BN1510" i="3"/>
  <c r="BN1511" i="3"/>
  <c r="BN1512" i="3"/>
  <c r="BN1513" i="3"/>
  <c r="BN1514" i="3"/>
  <c r="BN1515" i="3"/>
  <c r="BN1516" i="3"/>
  <c r="BN1517" i="3"/>
  <c r="BN1518" i="3"/>
  <c r="BN1519" i="3"/>
  <c r="BN1520" i="3"/>
  <c r="BN1521" i="3"/>
  <c r="BN1522" i="3"/>
  <c r="BN1523" i="3"/>
  <c r="BN1524" i="3"/>
  <c r="BN1525" i="3"/>
  <c r="BN1526" i="3"/>
  <c r="BN1527" i="3"/>
  <c r="BN1528" i="3"/>
  <c r="BN1529" i="3"/>
  <c r="BN1530" i="3"/>
  <c r="BN1531" i="3"/>
  <c r="BN1532" i="3"/>
  <c r="BN1533" i="3"/>
  <c r="BN1534" i="3"/>
  <c r="BN1535" i="3"/>
  <c r="BN1536" i="3"/>
  <c r="BN1537" i="3"/>
  <c r="BN1538" i="3"/>
  <c r="BN1539" i="3"/>
  <c r="BN1540" i="3"/>
  <c r="BN1541" i="3"/>
  <c r="BN1542" i="3"/>
  <c r="BN1543" i="3"/>
  <c r="BN1544" i="3"/>
  <c r="BN1545" i="3"/>
  <c r="BN1546" i="3"/>
  <c r="BN1547" i="3"/>
  <c r="BN1548" i="3"/>
  <c r="BN1549" i="3"/>
  <c r="BN1550" i="3"/>
  <c r="BN1551" i="3"/>
  <c r="BN1552" i="3"/>
  <c r="BN1553" i="3"/>
  <c r="BN1554" i="3"/>
  <c r="BN1555" i="3"/>
  <c r="BN1556" i="3"/>
  <c r="BN1557" i="3"/>
  <c r="BN1558" i="3"/>
  <c r="BN1559" i="3"/>
  <c r="BN1560" i="3"/>
  <c r="BN1561" i="3"/>
  <c r="BN1562" i="3"/>
  <c r="BN1563" i="3"/>
  <c r="BN1564" i="3"/>
  <c r="BN1565" i="3"/>
  <c r="BN1566" i="3"/>
  <c r="BN1567" i="3"/>
  <c r="BN1568" i="3"/>
  <c r="BN1569" i="3"/>
  <c r="BN1570" i="3"/>
  <c r="BN1571" i="3"/>
  <c r="BN1572" i="3"/>
  <c r="BN1573" i="3"/>
  <c r="BN1574" i="3"/>
  <c r="BN1575" i="3"/>
  <c r="BN1576" i="3"/>
  <c r="BN1577" i="3"/>
  <c r="BN1578" i="3"/>
  <c r="BN1579" i="3"/>
  <c r="BN1580" i="3"/>
  <c r="BN1581" i="3"/>
  <c r="BN1582" i="3"/>
  <c r="BN1583" i="3"/>
  <c r="BN1584" i="3"/>
  <c r="BN1585" i="3"/>
  <c r="BN1586" i="3"/>
  <c r="BN1587" i="3"/>
  <c r="BN1588" i="3"/>
  <c r="BN1589" i="3"/>
  <c r="BN1590" i="3"/>
  <c r="BN1591" i="3"/>
  <c r="BN1592" i="3"/>
  <c r="BN1593" i="3"/>
  <c r="BN1594" i="3"/>
  <c r="BN1595" i="3"/>
  <c r="BN1596" i="3"/>
  <c r="BN1597" i="3"/>
  <c r="BN1598" i="3"/>
  <c r="BN1599" i="3"/>
  <c r="BN1600" i="3"/>
  <c r="BN1601" i="3"/>
  <c r="BN1602" i="3"/>
  <c r="BN1603" i="3"/>
  <c r="BN1604" i="3"/>
  <c r="BN1605" i="3"/>
  <c r="BN1606" i="3"/>
  <c r="BN1607" i="3"/>
  <c r="BN1608" i="3"/>
  <c r="BN1609" i="3"/>
  <c r="BN1610" i="3"/>
  <c r="BN1611" i="3"/>
  <c r="BN1612" i="3"/>
  <c r="BN1613" i="3"/>
  <c r="BN1614" i="3"/>
  <c r="BN1615" i="3"/>
  <c r="BN1616" i="3"/>
  <c r="BN1617" i="3"/>
  <c r="BN1618" i="3"/>
  <c r="BN1619" i="3"/>
  <c r="BN1620" i="3"/>
  <c r="BN1621" i="3"/>
  <c r="BN1622" i="3"/>
  <c r="BN1623" i="3"/>
  <c r="BN1624" i="3"/>
  <c r="BN1625" i="3"/>
  <c r="BN1626" i="3"/>
  <c r="BN1627" i="3"/>
  <c r="BN1628" i="3"/>
  <c r="BN1629" i="3"/>
  <c r="BN1630" i="3"/>
  <c r="BN1631" i="3"/>
  <c r="BN1632" i="3"/>
  <c r="BN1633" i="3"/>
  <c r="BN1634" i="3"/>
  <c r="BN1635" i="3"/>
  <c r="BN1636" i="3"/>
  <c r="BN1637" i="3"/>
  <c r="BN1638" i="3"/>
  <c r="BN1639" i="3"/>
  <c r="BN1640" i="3"/>
  <c r="BN1641" i="3"/>
  <c r="BN1642" i="3"/>
  <c r="BN1643" i="3"/>
  <c r="BN1644" i="3"/>
  <c r="BN1645" i="3"/>
  <c r="BN1646" i="3"/>
  <c r="BN1647" i="3"/>
  <c r="BN1648" i="3"/>
  <c r="BN1649" i="3"/>
  <c r="BN1650" i="3"/>
  <c r="BN1651" i="3"/>
  <c r="BN1652" i="3"/>
  <c r="BN1653" i="3"/>
  <c r="BN1654" i="3"/>
  <c r="BN1655" i="3"/>
  <c r="BN1656" i="3"/>
  <c r="BN1657" i="3"/>
  <c r="BN1658" i="3"/>
  <c r="BN1659" i="3"/>
  <c r="BN1660" i="3"/>
  <c r="BN1661" i="3"/>
  <c r="BN1662" i="3"/>
  <c r="BN840" i="3"/>
  <c r="BN841" i="3"/>
  <c r="BN842" i="3"/>
  <c r="BN843" i="3"/>
  <c r="BN844" i="3"/>
  <c r="BN845" i="3"/>
  <c r="BN846" i="3"/>
  <c r="BN847" i="3"/>
  <c r="BN848" i="3"/>
  <c r="K1001" i="1"/>
  <c r="J1001" i="1"/>
  <c r="I1001" i="1"/>
  <c r="F1001" i="1"/>
  <c r="K1000" i="1"/>
  <c r="J1000" i="1"/>
  <c r="I1000" i="1"/>
  <c r="F1000" i="1"/>
  <c r="K999" i="1"/>
  <c r="J999" i="1"/>
  <c r="I999" i="1"/>
  <c r="F999" i="1"/>
  <c r="K998" i="1"/>
  <c r="J998" i="1"/>
  <c r="I998" i="1"/>
  <c r="F998" i="1"/>
  <c r="K997" i="1"/>
  <c r="J997" i="1"/>
  <c r="I997" i="1"/>
  <c r="F997" i="1"/>
  <c r="K996" i="1"/>
  <c r="J996" i="1"/>
  <c r="I996" i="1"/>
  <c r="F996" i="1"/>
  <c r="K995" i="1"/>
  <c r="J995" i="1"/>
  <c r="I995" i="1"/>
  <c r="F995" i="1"/>
  <c r="K994" i="1"/>
  <c r="J994" i="1"/>
  <c r="I994" i="1"/>
  <c r="F994" i="1"/>
  <c r="K993" i="1"/>
  <c r="J993" i="1"/>
  <c r="I993" i="1"/>
  <c r="F993" i="1"/>
  <c r="K992" i="1"/>
  <c r="J992" i="1"/>
  <c r="I992" i="1"/>
  <c r="F992" i="1"/>
  <c r="K991" i="1"/>
  <c r="J991" i="1"/>
  <c r="I991" i="1"/>
  <c r="F991" i="1"/>
  <c r="K990" i="1"/>
  <c r="J990" i="1"/>
  <c r="I990" i="1"/>
  <c r="F990" i="1"/>
  <c r="K989" i="1"/>
  <c r="J989" i="1"/>
  <c r="I989" i="1"/>
  <c r="F989" i="1"/>
  <c r="K988" i="1"/>
  <c r="J988" i="1"/>
  <c r="I988" i="1"/>
  <c r="F988" i="1"/>
  <c r="K987" i="1"/>
  <c r="J987" i="1"/>
  <c r="I987" i="1"/>
  <c r="F987" i="1"/>
  <c r="K986" i="1"/>
  <c r="J986" i="1"/>
  <c r="I986" i="1"/>
  <c r="F986" i="1"/>
  <c r="K985" i="1"/>
  <c r="J985" i="1"/>
  <c r="I985" i="1"/>
  <c r="F985" i="1"/>
  <c r="K984" i="1"/>
  <c r="J984" i="1"/>
  <c r="I984" i="1"/>
  <c r="F984" i="1"/>
  <c r="K983" i="1"/>
  <c r="J983" i="1"/>
  <c r="I983" i="1"/>
  <c r="F983" i="1"/>
  <c r="K982" i="1"/>
  <c r="J982" i="1"/>
  <c r="I982" i="1"/>
  <c r="F982" i="1"/>
  <c r="K981" i="1"/>
  <c r="J981" i="1"/>
  <c r="I981" i="1"/>
  <c r="F981" i="1"/>
  <c r="K980" i="1"/>
  <c r="J980" i="1"/>
  <c r="I980" i="1"/>
  <c r="F980" i="1"/>
  <c r="K979" i="1"/>
  <c r="J979" i="1"/>
  <c r="I979" i="1"/>
  <c r="F979" i="1"/>
  <c r="K978" i="1"/>
  <c r="J978" i="1"/>
  <c r="I978" i="1"/>
  <c r="F978" i="1"/>
  <c r="K977" i="1"/>
  <c r="J977" i="1"/>
  <c r="I977" i="1"/>
  <c r="F977" i="1"/>
  <c r="K976" i="1"/>
  <c r="J976" i="1"/>
  <c r="I976" i="1"/>
  <c r="F976" i="1"/>
  <c r="K975" i="1"/>
  <c r="J975" i="1"/>
  <c r="I975" i="1"/>
  <c r="F975" i="1"/>
  <c r="K974" i="1"/>
  <c r="J974" i="1"/>
  <c r="I974" i="1"/>
  <c r="F974" i="1"/>
  <c r="K973" i="1"/>
  <c r="J973" i="1"/>
  <c r="I973" i="1"/>
  <c r="F973" i="1"/>
  <c r="K972" i="1"/>
  <c r="J972" i="1"/>
  <c r="I972" i="1"/>
  <c r="F972" i="1"/>
  <c r="K971" i="1"/>
  <c r="J971" i="1"/>
  <c r="I971" i="1"/>
  <c r="F971" i="1"/>
  <c r="K970" i="1"/>
  <c r="J970" i="1"/>
  <c r="I970" i="1"/>
  <c r="F970" i="1"/>
  <c r="K969" i="1"/>
  <c r="J969" i="1"/>
  <c r="I969" i="1"/>
  <c r="F969" i="1"/>
  <c r="K968" i="1"/>
  <c r="J968" i="1"/>
  <c r="I968" i="1"/>
  <c r="F968" i="1"/>
  <c r="K967" i="1"/>
  <c r="J967" i="1"/>
  <c r="I967" i="1"/>
  <c r="F967" i="1"/>
  <c r="K966" i="1"/>
  <c r="J966" i="1"/>
  <c r="I966" i="1"/>
  <c r="F966" i="1"/>
  <c r="K965" i="1"/>
  <c r="J965" i="1"/>
  <c r="I965" i="1"/>
  <c r="F965" i="1"/>
  <c r="K964" i="1"/>
  <c r="J964" i="1"/>
  <c r="I964" i="1"/>
  <c r="F964" i="1"/>
  <c r="K963" i="1"/>
  <c r="J963" i="1"/>
  <c r="I963" i="1"/>
  <c r="F963" i="1"/>
  <c r="K962" i="1"/>
  <c r="J962" i="1"/>
  <c r="I962" i="1"/>
  <c r="F962" i="1"/>
  <c r="K961" i="1"/>
  <c r="J961" i="1"/>
  <c r="I961" i="1"/>
  <c r="F961" i="1"/>
  <c r="K960" i="1"/>
  <c r="J960" i="1"/>
  <c r="I960" i="1"/>
  <c r="F960" i="1"/>
  <c r="K959" i="1"/>
  <c r="J959" i="1"/>
  <c r="I959" i="1"/>
  <c r="F959" i="1"/>
  <c r="K958" i="1"/>
  <c r="J958" i="1"/>
  <c r="I958" i="1"/>
  <c r="F958" i="1"/>
  <c r="K957" i="1"/>
  <c r="J957" i="1"/>
  <c r="I957" i="1"/>
  <c r="F957" i="1"/>
  <c r="K956" i="1"/>
  <c r="J956" i="1"/>
  <c r="I956" i="1"/>
  <c r="F956" i="1"/>
  <c r="K955" i="1"/>
  <c r="J955" i="1"/>
  <c r="I955" i="1"/>
  <c r="F955" i="1"/>
  <c r="K954" i="1"/>
  <c r="J954" i="1"/>
  <c r="I954" i="1"/>
  <c r="F954" i="1"/>
  <c r="K953" i="1"/>
  <c r="J953" i="1"/>
  <c r="I953" i="1"/>
  <c r="F953" i="1"/>
  <c r="K952" i="1"/>
  <c r="J952" i="1"/>
  <c r="I952" i="1"/>
  <c r="F952" i="1"/>
  <c r="K951" i="1"/>
  <c r="J951" i="1"/>
  <c r="I951" i="1"/>
  <c r="F951" i="1"/>
  <c r="K950" i="1"/>
  <c r="J950" i="1"/>
  <c r="I950" i="1"/>
  <c r="F950" i="1"/>
  <c r="K949" i="1"/>
  <c r="J949" i="1"/>
  <c r="I949" i="1"/>
  <c r="F949" i="1"/>
  <c r="K948" i="1"/>
  <c r="J948" i="1"/>
  <c r="I948" i="1"/>
  <c r="F948" i="1"/>
  <c r="K947" i="1"/>
  <c r="J947" i="1"/>
  <c r="I947" i="1"/>
  <c r="F947" i="1"/>
  <c r="K946" i="1"/>
  <c r="J946" i="1"/>
  <c r="I946" i="1"/>
  <c r="F946" i="1"/>
  <c r="K945" i="1"/>
  <c r="J945" i="1"/>
  <c r="I945" i="1"/>
  <c r="F945" i="1"/>
  <c r="K944" i="1"/>
  <c r="J944" i="1"/>
  <c r="I944" i="1"/>
  <c r="F944" i="1"/>
  <c r="K943" i="1"/>
  <c r="J943" i="1"/>
  <c r="I943" i="1"/>
  <c r="F943" i="1"/>
  <c r="K942" i="1"/>
  <c r="J942" i="1"/>
  <c r="I942" i="1"/>
  <c r="F942" i="1"/>
  <c r="K941" i="1"/>
  <c r="J941" i="1"/>
  <c r="I941" i="1"/>
  <c r="F941" i="1"/>
  <c r="K940" i="1"/>
  <c r="J940" i="1"/>
  <c r="I940" i="1"/>
  <c r="F940" i="1"/>
  <c r="K939" i="1"/>
  <c r="J939" i="1"/>
  <c r="I939" i="1"/>
  <c r="F939" i="1"/>
  <c r="K938" i="1"/>
  <c r="J938" i="1"/>
  <c r="I938" i="1"/>
  <c r="F938" i="1"/>
  <c r="K937" i="1"/>
  <c r="J937" i="1"/>
  <c r="I937" i="1"/>
  <c r="F937" i="1"/>
  <c r="K936" i="1"/>
  <c r="J936" i="1"/>
  <c r="I936" i="1"/>
  <c r="F936" i="1"/>
  <c r="K935" i="1"/>
  <c r="J935" i="1"/>
  <c r="I935" i="1"/>
  <c r="F935" i="1"/>
  <c r="K934" i="1"/>
  <c r="J934" i="1"/>
  <c r="I934" i="1"/>
  <c r="F934" i="1"/>
  <c r="K933" i="1"/>
  <c r="J933" i="1"/>
  <c r="I933" i="1"/>
  <c r="F933" i="1"/>
  <c r="K932" i="1"/>
  <c r="J932" i="1"/>
  <c r="I932" i="1"/>
  <c r="F932" i="1"/>
  <c r="K931" i="1"/>
  <c r="J931" i="1"/>
  <c r="I931" i="1"/>
  <c r="F931" i="1"/>
  <c r="K930" i="1"/>
  <c r="J930" i="1"/>
  <c r="I930" i="1"/>
  <c r="F930" i="1"/>
  <c r="K929" i="1"/>
  <c r="J929" i="1"/>
  <c r="I929" i="1"/>
  <c r="F929" i="1"/>
  <c r="K928" i="1"/>
  <c r="J928" i="1"/>
  <c r="I928" i="1"/>
  <c r="F928" i="1"/>
  <c r="K927" i="1"/>
  <c r="J927" i="1"/>
  <c r="I927" i="1"/>
  <c r="F927" i="1"/>
  <c r="K926" i="1"/>
  <c r="J926" i="1"/>
  <c r="I926" i="1"/>
  <c r="F926" i="1"/>
  <c r="K925" i="1"/>
  <c r="J925" i="1"/>
  <c r="I925" i="1"/>
  <c r="F925" i="1"/>
  <c r="K924" i="1"/>
  <c r="J924" i="1"/>
  <c r="I924" i="1"/>
  <c r="F924" i="1"/>
  <c r="K923" i="1"/>
  <c r="J923" i="1"/>
  <c r="I923" i="1"/>
  <c r="F923" i="1"/>
  <c r="K922" i="1"/>
  <c r="J922" i="1"/>
  <c r="I922" i="1"/>
  <c r="F922" i="1"/>
  <c r="K921" i="1"/>
  <c r="J921" i="1"/>
  <c r="I921" i="1"/>
  <c r="F921" i="1"/>
  <c r="K920" i="1"/>
  <c r="J920" i="1"/>
  <c r="I920" i="1"/>
  <c r="F920" i="1"/>
  <c r="K919" i="1"/>
  <c r="J919" i="1"/>
  <c r="I919" i="1"/>
  <c r="F919" i="1"/>
  <c r="K918" i="1"/>
  <c r="J918" i="1"/>
  <c r="I918" i="1"/>
  <c r="F918" i="1"/>
  <c r="K917" i="1"/>
  <c r="J917" i="1"/>
  <c r="I917" i="1"/>
  <c r="F917" i="1"/>
  <c r="K916" i="1"/>
  <c r="J916" i="1"/>
  <c r="I916" i="1"/>
  <c r="F916" i="1"/>
  <c r="K915" i="1"/>
  <c r="J915" i="1"/>
  <c r="I915" i="1"/>
  <c r="F915" i="1"/>
  <c r="K914" i="1"/>
  <c r="J914" i="1"/>
  <c r="I914" i="1"/>
  <c r="F914" i="1"/>
  <c r="K913" i="1"/>
  <c r="J913" i="1"/>
  <c r="I913" i="1"/>
  <c r="F913" i="1"/>
  <c r="K912" i="1"/>
  <c r="J912" i="1"/>
  <c r="I912" i="1"/>
  <c r="F912" i="1"/>
  <c r="K911" i="1"/>
  <c r="J911" i="1"/>
  <c r="I911" i="1"/>
  <c r="F911" i="1"/>
  <c r="K910" i="1"/>
  <c r="J910" i="1"/>
  <c r="I910" i="1"/>
  <c r="F910" i="1"/>
  <c r="K909" i="1"/>
  <c r="J909" i="1"/>
  <c r="I909" i="1"/>
  <c r="F909" i="1"/>
  <c r="K908" i="1"/>
  <c r="J908" i="1"/>
  <c r="I908" i="1"/>
  <c r="F908" i="1"/>
  <c r="K907" i="1"/>
  <c r="J907" i="1"/>
  <c r="I907" i="1"/>
  <c r="F907" i="1"/>
  <c r="K906" i="1"/>
  <c r="J906" i="1"/>
  <c r="I906" i="1"/>
  <c r="F906" i="1"/>
  <c r="K905" i="1"/>
  <c r="J905" i="1"/>
  <c r="I905" i="1"/>
  <c r="F905" i="1"/>
  <c r="K904" i="1"/>
  <c r="J904" i="1"/>
  <c r="I904" i="1"/>
  <c r="F904" i="1"/>
  <c r="K903" i="1"/>
  <c r="J903" i="1"/>
  <c r="I903" i="1"/>
  <c r="F903" i="1"/>
  <c r="K902" i="1"/>
  <c r="J902" i="1"/>
  <c r="I902" i="1"/>
  <c r="F902" i="1"/>
  <c r="K901" i="1"/>
  <c r="J901" i="1"/>
  <c r="I901" i="1"/>
  <c r="F901" i="1"/>
  <c r="K900" i="1"/>
  <c r="J900" i="1"/>
  <c r="I900" i="1"/>
  <c r="F900" i="1"/>
  <c r="K899" i="1"/>
  <c r="J899" i="1"/>
  <c r="I899" i="1"/>
  <c r="F899" i="1"/>
  <c r="K898" i="1"/>
  <c r="J898" i="1"/>
  <c r="I898" i="1"/>
  <c r="F898" i="1"/>
  <c r="K897" i="1"/>
  <c r="J897" i="1"/>
  <c r="I897" i="1"/>
  <c r="F897" i="1"/>
  <c r="K896" i="1"/>
  <c r="J896" i="1"/>
  <c r="I896" i="1"/>
  <c r="F896" i="1"/>
  <c r="K895" i="1"/>
  <c r="J895" i="1"/>
  <c r="I895" i="1"/>
  <c r="F895" i="1"/>
  <c r="K894" i="1"/>
  <c r="J894" i="1"/>
  <c r="I894" i="1"/>
  <c r="F894" i="1"/>
  <c r="K893" i="1"/>
  <c r="J893" i="1"/>
  <c r="I893" i="1"/>
  <c r="F893" i="1"/>
  <c r="K892" i="1"/>
  <c r="J892" i="1"/>
  <c r="I892" i="1"/>
  <c r="F892" i="1"/>
  <c r="K891" i="1"/>
  <c r="J891" i="1"/>
  <c r="I891" i="1"/>
  <c r="F891" i="1"/>
  <c r="K890" i="1"/>
  <c r="J890" i="1"/>
  <c r="I890" i="1"/>
  <c r="F890" i="1"/>
  <c r="K889" i="1"/>
  <c r="J889" i="1"/>
  <c r="I889" i="1"/>
  <c r="F889" i="1"/>
  <c r="K888" i="1"/>
  <c r="J888" i="1"/>
  <c r="I888" i="1"/>
  <c r="F888" i="1"/>
  <c r="K887" i="1"/>
  <c r="J887" i="1"/>
  <c r="I887" i="1"/>
  <c r="F887" i="1"/>
  <c r="K886" i="1"/>
  <c r="J886" i="1"/>
  <c r="I886" i="1"/>
  <c r="F886" i="1"/>
  <c r="K885" i="1"/>
  <c r="J885" i="1"/>
  <c r="I885" i="1"/>
  <c r="F885" i="1"/>
  <c r="K884" i="1"/>
  <c r="J884" i="1"/>
  <c r="I884" i="1"/>
  <c r="F884" i="1"/>
  <c r="K883" i="1"/>
  <c r="J883" i="1"/>
  <c r="I883" i="1"/>
  <c r="F883" i="1"/>
  <c r="K882" i="1"/>
  <c r="J882" i="1"/>
  <c r="I882" i="1"/>
  <c r="F882" i="1"/>
  <c r="K881" i="1"/>
  <c r="J881" i="1"/>
  <c r="I881" i="1"/>
  <c r="F881" i="1"/>
  <c r="K880" i="1"/>
  <c r="J880" i="1"/>
  <c r="I880" i="1"/>
  <c r="F880" i="1"/>
  <c r="K879" i="1"/>
  <c r="J879" i="1"/>
  <c r="I879" i="1"/>
  <c r="F879" i="1"/>
  <c r="K878" i="1"/>
  <c r="J878" i="1"/>
  <c r="I878" i="1"/>
  <c r="F878" i="1"/>
  <c r="K877" i="1"/>
  <c r="J877" i="1"/>
  <c r="I877" i="1"/>
  <c r="F877" i="1"/>
  <c r="K876" i="1"/>
  <c r="J876" i="1"/>
  <c r="I876" i="1"/>
  <c r="F876" i="1"/>
  <c r="K875" i="1"/>
  <c r="J875" i="1"/>
  <c r="I875" i="1"/>
  <c r="F875" i="1"/>
  <c r="K874" i="1"/>
  <c r="J874" i="1"/>
  <c r="I874" i="1"/>
  <c r="F874" i="1"/>
  <c r="K873" i="1"/>
  <c r="J873" i="1"/>
  <c r="I873" i="1"/>
  <c r="F873" i="1"/>
  <c r="K872" i="1"/>
  <c r="J872" i="1"/>
  <c r="I872" i="1"/>
  <c r="F872" i="1"/>
  <c r="K871" i="1"/>
  <c r="J871" i="1"/>
  <c r="I871" i="1"/>
  <c r="F871" i="1"/>
  <c r="K870" i="1"/>
  <c r="J870" i="1"/>
  <c r="I870" i="1"/>
  <c r="F870" i="1"/>
  <c r="K869" i="1"/>
  <c r="J869" i="1"/>
  <c r="I869" i="1"/>
  <c r="F869" i="1"/>
  <c r="K868" i="1"/>
  <c r="J868" i="1"/>
  <c r="I868" i="1"/>
  <c r="F868" i="1"/>
  <c r="K867" i="1"/>
  <c r="J867" i="1"/>
  <c r="I867" i="1"/>
  <c r="F867" i="1"/>
  <c r="K866" i="1"/>
  <c r="J866" i="1"/>
  <c r="I866" i="1"/>
  <c r="F866" i="1"/>
  <c r="K865" i="1"/>
  <c r="J865" i="1"/>
  <c r="I865" i="1"/>
  <c r="F865" i="1"/>
  <c r="K864" i="1"/>
  <c r="J864" i="1"/>
  <c r="I864" i="1"/>
  <c r="F864" i="1"/>
  <c r="K863" i="1"/>
  <c r="J863" i="1"/>
  <c r="I863" i="1"/>
  <c r="F863" i="1"/>
  <c r="K862" i="1"/>
  <c r="J862" i="1"/>
  <c r="I862" i="1"/>
  <c r="F862" i="1"/>
  <c r="K861" i="1"/>
  <c r="J861" i="1"/>
  <c r="I861" i="1"/>
  <c r="F861" i="1"/>
  <c r="K860" i="1"/>
  <c r="J860" i="1"/>
  <c r="I860" i="1"/>
  <c r="F860" i="1"/>
  <c r="K859" i="1"/>
  <c r="J859" i="1"/>
  <c r="I859" i="1"/>
  <c r="F859" i="1"/>
  <c r="K858" i="1"/>
  <c r="J858" i="1"/>
  <c r="I858" i="1"/>
  <c r="F858" i="1"/>
  <c r="K857" i="1"/>
  <c r="J857" i="1"/>
  <c r="I857" i="1"/>
  <c r="F857" i="1"/>
  <c r="K856" i="1"/>
  <c r="J856" i="1"/>
  <c r="I856" i="1"/>
  <c r="F856" i="1"/>
  <c r="K855" i="1"/>
  <c r="J855" i="1"/>
  <c r="I855" i="1"/>
  <c r="F855" i="1"/>
  <c r="K854" i="1"/>
  <c r="J854" i="1"/>
  <c r="I854" i="1"/>
  <c r="F854" i="1"/>
  <c r="K853" i="1"/>
  <c r="J853" i="1"/>
  <c r="I853" i="1"/>
  <c r="F853" i="1"/>
  <c r="K852" i="1"/>
  <c r="J852" i="1"/>
  <c r="I852" i="1"/>
  <c r="F852" i="1"/>
  <c r="K851" i="1"/>
  <c r="J851" i="1"/>
  <c r="I851" i="1"/>
  <c r="F851" i="1"/>
  <c r="K850" i="1"/>
  <c r="J850" i="1"/>
  <c r="I850" i="1"/>
  <c r="F850" i="1"/>
  <c r="K849" i="1"/>
  <c r="J849" i="1"/>
  <c r="I849" i="1"/>
  <c r="F849" i="1"/>
  <c r="K848" i="1"/>
  <c r="J848" i="1"/>
  <c r="I848" i="1"/>
  <c r="F848" i="1"/>
  <c r="K847" i="1"/>
  <c r="J847" i="1"/>
  <c r="I847" i="1"/>
  <c r="F847" i="1"/>
  <c r="K846" i="1"/>
  <c r="J846" i="1"/>
  <c r="I846" i="1"/>
  <c r="F846" i="1"/>
  <c r="K845" i="1"/>
  <c r="J845" i="1"/>
  <c r="I845" i="1"/>
  <c r="F845" i="1"/>
  <c r="K844" i="1"/>
  <c r="J844" i="1"/>
  <c r="I844" i="1"/>
  <c r="F844" i="1"/>
  <c r="K843" i="1"/>
  <c r="J843" i="1"/>
  <c r="I843" i="1"/>
  <c r="F843" i="1"/>
  <c r="K842" i="1"/>
  <c r="J842" i="1"/>
  <c r="I842" i="1"/>
  <c r="F842" i="1"/>
  <c r="K841" i="1"/>
  <c r="J841" i="1"/>
  <c r="I841" i="1"/>
  <c r="F841" i="1"/>
  <c r="K840" i="1"/>
  <c r="J840" i="1"/>
  <c r="I840" i="1"/>
  <c r="F840" i="1"/>
  <c r="K839" i="1"/>
  <c r="J839" i="1"/>
  <c r="I839" i="1"/>
  <c r="F839" i="1"/>
  <c r="K838" i="1"/>
  <c r="J838" i="1"/>
  <c r="I838" i="1"/>
  <c r="F838" i="1"/>
  <c r="K837" i="1"/>
  <c r="J837" i="1"/>
  <c r="I837" i="1"/>
  <c r="F837" i="1"/>
  <c r="K836" i="1"/>
  <c r="J836" i="1"/>
  <c r="I836" i="1"/>
  <c r="F836" i="1"/>
  <c r="K835" i="1"/>
  <c r="J835" i="1"/>
  <c r="I835" i="1"/>
  <c r="F835" i="1"/>
  <c r="K834" i="1"/>
  <c r="J834" i="1"/>
  <c r="I834" i="1"/>
  <c r="F834" i="1"/>
  <c r="K833" i="1"/>
  <c r="J833" i="1"/>
  <c r="I833" i="1"/>
  <c r="F833" i="1"/>
  <c r="K832" i="1"/>
  <c r="J832" i="1"/>
  <c r="I832" i="1"/>
  <c r="F832" i="1"/>
  <c r="K831" i="1"/>
  <c r="J831" i="1"/>
  <c r="I831" i="1"/>
  <c r="F831" i="1"/>
  <c r="K830" i="1"/>
  <c r="J830" i="1"/>
  <c r="I830" i="1"/>
  <c r="F830" i="1"/>
  <c r="K829" i="1"/>
  <c r="J829" i="1"/>
  <c r="I829" i="1"/>
  <c r="F829" i="1"/>
  <c r="K828" i="1"/>
  <c r="J828" i="1"/>
  <c r="I828" i="1"/>
  <c r="F828" i="1"/>
  <c r="K827" i="1"/>
  <c r="J827" i="1"/>
  <c r="I827" i="1"/>
  <c r="F827" i="1"/>
  <c r="K826" i="1"/>
  <c r="J826" i="1"/>
  <c r="I826" i="1"/>
  <c r="F826" i="1"/>
  <c r="K825" i="1"/>
  <c r="J825" i="1"/>
  <c r="I825" i="1"/>
  <c r="F825" i="1"/>
  <c r="K824" i="1"/>
  <c r="J824" i="1"/>
  <c r="I824" i="1"/>
  <c r="F824" i="1"/>
  <c r="K823" i="1"/>
  <c r="J823" i="1"/>
  <c r="I823" i="1"/>
  <c r="F823" i="1"/>
  <c r="K822" i="1"/>
  <c r="J822" i="1"/>
  <c r="I822" i="1"/>
  <c r="F822" i="1"/>
  <c r="K821" i="1"/>
  <c r="J821" i="1"/>
  <c r="I821" i="1"/>
  <c r="F821" i="1"/>
  <c r="K820" i="1"/>
  <c r="J820" i="1"/>
  <c r="I820" i="1"/>
  <c r="F820" i="1"/>
  <c r="K819" i="1"/>
  <c r="J819" i="1"/>
  <c r="I819" i="1"/>
  <c r="F819" i="1"/>
  <c r="K818" i="1"/>
  <c r="J818" i="1"/>
  <c r="I818" i="1"/>
  <c r="F818" i="1"/>
  <c r="K817" i="1"/>
  <c r="J817" i="1"/>
  <c r="I817" i="1"/>
  <c r="F817" i="1"/>
  <c r="K816" i="1"/>
  <c r="J816" i="1"/>
  <c r="I816" i="1"/>
  <c r="F816" i="1"/>
  <c r="K815" i="1"/>
  <c r="J815" i="1"/>
  <c r="I815" i="1"/>
  <c r="F815" i="1"/>
  <c r="K814" i="1"/>
  <c r="J814" i="1"/>
  <c r="I814" i="1"/>
  <c r="F814" i="1"/>
  <c r="K813" i="1"/>
  <c r="J813" i="1"/>
  <c r="I813" i="1"/>
  <c r="F813" i="1"/>
  <c r="K812" i="1"/>
  <c r="J812" i="1"/>
  <c r="I812" i="1"/>
  <c r="F812" i="1"/>
  <c r="K811" i="1"/>
  <c r="J811" i="1"/>
  <c r="I811" i="1"/>
  <c r="F811" i="1"/>
  <c r="K810" i="1"/>
  <c r="J810" i="1"/>
  <c r="I810" i="1"/>
  <c r="F810" i="1"/>
  <c r="K809" i="1"/>
  <c r="J809" i="1"/>
  <c r="I809" i="1"/>
  <c r="F809" i="1"/>
  <c r="K808" i="1"/>
  <c r="J808" i="1"/>
  <c r="I808" i="1"/>
  <c r="F808" i="1"/>
  <c r="K807" i="1"/>
  <c r="J807" i="1"/>
  <c r="I807" i="1"/>
  <c r="F807" i="1"/>
  <c r="K806" i="1"/>
  <c r="J806" i="1"/>
  <c r="I806" i="1"/>
  <c r="F806" i="1"/>
  <c r="K805" i="1"/>
  <c r="J805" i="1"/>
  <c r="I805" i="1"/>
  <c r="F805" i="1"/>
  <c r="K804" i="1"/>
  <c r="J804" i="1"/>
  <c r="I804" i="1"/>
  <c r="F804" i="1"/>
  <c r="K803" i="1"/>
  <c r="J803" i="1"/>
  <c r="I803" i="1"/>
  <c r="F803" i="1"/>
  <c r="K802" i="1"/>
  <c r="J802" i="1"/>
  <c r="I802" i="1"/>
  <c r="F802" i="1"/>
  <c r="K801" i="1"/>
  <c r="J801" i="1"/>
  <c r="I801" i="1"/>
  <c r="F801" i="1"/>
  <c r="K800" i="1"/>
  <c r="J800" i="1"/>
  <c r="I800" i="1"/>
  <c r="F800" i="1"/>
  <c r="K799" i="1"/>
  <c r="J799" i="1"/>
  <c r="I799" i="1"/>
  <c r="F799" i="1"/>
  <c r="K798" i="1"/>
  <c r="J798" i="1"/>
  <c r="I798" i="1"/>
  <c r="F798" i="1"/>
  <c r="K797" i="1"/>
  <c r="J797" i="1"/>
  <c r="I797" i="1"/>
  <c r="F797" i="1"/>
  <c r="K796" i="1"/>
  <c r="J796" i="1"/>
  <c r="I796" i="1"/>
  <c r="F796" i="1"/>
  <c r="K795" i="1"/>
  <c r="J795" i="1"/>
  <c r="I795" i="1"/>
  <c r="F795" i="1"/>
  <c r="K794" i="1"/>
  <c r="J794" i="1"/>
  <c r="I794" i="1"/>
  <c r="F794" i="1"/>
  <c r="K793" i="1"/>
  <c r="J793" i="1"/>
  <c r="I793" i="1"/>
  <c r="F793" i="1"/>
  <c r="K792" i="1"/>
  <c r="J792" i="1"/>
  <c r="I792" i="1"/>
  <c r="F792" i="1"/>
  <c r="K791" i="1"/>
  <c r="J791" i="1"/>
  <c r="I791" i="1"/>
  <c r="F791" i="1"/>
  <c r="K790" i="1"/>
  <c r="J790" i="1"/>
  <c r="I790" i="1"/>
  <c r="F790" i="1"/>
  <c r="K789" i="1"/>
  <c r="J789" i="1"/>
  <c r="I789" i="1"/>
  <c r="F789" i="1"/>
  <c r="K788" i="1"/>
  <c r="J788" i="1"/>
  <c r="I788" i="1"/>
  <c r="F788" i="1"/>
  <c r="K787" i="1"/>
  <c r="J787" i="1"/>
  <c r="I787" i="1"/>
  <c r="F787" i="1"/>
  <c r="K786" i="1"/>
  <c r="J786" i="1"/>
  <c r="I786" i="1"/>
  <c r="F786" i="1"/>
  <c r="K785" i="1"/>
  <c r="J785" i="1"/>
  <c r="I785" i="1"/>
  <c r="F785" i="1"/>
  <c r="K784" i="1"/>
  <c r="J784" i="1"/>
  <c r="I784" i="1"/>
  <c r="F784" i="1"/>
  <c r="K783" i="1"/>
  <c r="J783" i="1"/>
  <c r="I783" i="1"/>
  <c r="F783" i="1"/>
  <c r="K782" i="1"/>
  <c r="J782" i="1"/>
  <c r="I782" i="1"/>
  <c r="F782" i="1"/>
  <c r="K781" i="1"/>
  <c r="J781" i="1"/>
  <c r="I781" i="1"/>
  <c r="F781" i="1"/>
  <c r="K780" i="1"/>
  <c r="J780" i="1"/>
  <c r="I780" i="1"/>
  <c r="F780" i="1"/>
  <c r="K779" i="1"/>
  <c r="J779" i="1"/>
  <c r="I779" i="1"/>
  <c r="F779" i="1"/>
  <c r="K778" i="1"/>
  <c r="J778" i="1"/>
  <c r="I778" i="1"/>
  <c r="F778" i="1"/>
  <c r="K777" i="1"/>
  <c r="J777" i="1"/>
  <c r="I777" i="1"/>
  <c r="F777" i="1"/>
  <c r="K776" i="1"/>
  <c r="J776" i="1"/>
  <c r="I776" i="1"/>
  <c r="F776" i="1"/>
  <c r="K775" i="1"/>
  <c r="J775" i="1"/>
  <c r="I775" i="1"/>
  <c r="F775" i="1"/>
  <c r="K774" i="1"/>
  <c r="J774" i="1"/>
  <c r="I774" i="1"/>
  <c r="F774" i="1"/>
  <c r="K773" i="1"/>
  <c r="J773" i="1"/>
  <c r="I773" i="1"/>
  <c r="F773" i="1"/>
  <c r="K772" i="1"/>
  <c r="J772" i="1"/>
  <c r="I772" i="1"/>
  <c r="F772" i="1"/>
  <c r="K771" i="1"/>
  <c r="J771" i="1"/>
  <c r="I771" i="1"/>
  <c r="F771" i="1"/>
  <c r="K770" i="1"/>
  <c r="J770" i="1"/>
  <c r="I770" i="1"/>
  <c r="F770" i="1"/>
  <c r="K769" i="1"/>
  <c r="J769" i="1"/>
  <c r="I769" i="1"/>
  <c r="F769" i="1"/>
  <c r="K768" i="1"/>
  <c r="J768" i="1"/>
  <c r="I768" i="1"/>
  <c r="F768" i="1"/>
  <c r="K767" i="1"/>
  <c r="J767" i="1"/>
  <c r="I767" i="1"/>
  <c r="F767" i="1"/>
  <c r="K766" i="1"/>
  <c r="J766" i="1"/>
  <c r="I766" i="1"/>
  <c r="F766" i="1"/>
  <c r="K765" i="1"/>
  <c r="J765" i="1"/>
  <c r="I765" i="1"/>
  <c r="F765" i="1"/>
  <c r="K764" i="1"/>
  <c r="J764" i="1"/>
  <c r="I764" i="1"/>
  <c r="F764" i="1"/>
  <c r="K763" i="1"/>
  <c r="J763" i="1"/>
  <c r="I763" i="1"/>
  <c r="F763" i="1"/>
  <c r="K762" i="1"/>
  <c r="J762" i="1"/>
  <c r="I762" i="1"/>
  <c r="F762" i="1"/>
  <c r="K761" i="1"/>
  <c r="J761" i="1"/>
  <c r="I761" i="1"/>
  <c r="F761" i="1"/>
  <c r="K760" i="1"/>
  <c r="J760" i="1"/>
  <c r="I760" i="1"/>
  <c r="F760" i="1"/>
  <c r="K759" i="1"/>
  <c r="J759" i="1"/>
  <c r="I759" i="1"/>
  <c r="F759" i="1"/>
  <c r="K758" i="1"/>
  <c r="J758" i="1"/>
  <c r="I758" i="1"/>
  <c r="F758" i="1"/>
  <c r="K757" i="1"/>
  <c r="J757" i="1"/>
  <c r="I757" i="1"/>
  <c r="F757" i="1"/>
  <c r="K756" i="1"/>
  <c r="J756" i="1"/>
  <c r="I756" i="1"/>
  <c r="F756" i="1"/>
  <c r="K755" i="1"/>
  <c r="J755" i="1"/>
  <c r="I755" i="1"/>
  <c r="F755" i="1"/>
  <c r="K754" i="1"/>
  <c r="J754" i="1"/>
  <c r="I754" i="1"/>
  <c r="F754" i="1"/>
  <c r="K753" i="1"/>
  <c r="J753" i="1"/>
  <c r="I753" i="1"/>
  <c r="F753" i="1"/>
  <c r="K752" i="1"/>
  <c r="J752" i="1"/>
  <c r="I752" i="1"/>
  <c r="F752" i="1"/>
  <c r="K751" i="1"/>
  <c r="J751" i="1"/>
  <c r="I751" i="1"/>
  <c r="F751" i="1"/>
  <c r="K750" i="1"/>
  <c r="J750" i="1"/>
  <c r="I750" i="1"/>
  <c r="F750" i="1"/>
  <c r="K749" i="1"/>
  <c r="J749" i="1"/>
  <c r="I749" i="1"/>
  <c r="F749" i="1"/>
  <c r="K748" i="1"/>
  <c r="J748" i="1"/>
  <c r="I748" i="1"/>
  <c r="F748" i="1"/>
  <c r="K747" i="1"/>
  <c r="J747" i="1"/>
  <c r="I747" i="1"/>
  <c r="F747" i="1"/>
  <c r="K746" i="1"/>
  <c r="J746" i="1"/>
  <c r="I746" i="1"/>
  <c r="F746" i="1"/>
  <c r="K745" i="1"/>
  <c r="J745" i="1"/>
  <c r="I745" i="1"/>
  <c r="F745" i="1"/>
  <c r="K744" i="1"/>
  <c r="J744" i="1"/>
  <c r="I744" i="1"/>
  <c r="F744" i="1"/>
  <c r="K743" i="1"/>
  <c r="J743" i="1"/>
  <c r="I743" i="1"/>
  <c r="F743" i="1"/>
  <c r="K742" i="1"/>
  <c r="J742" i="1"/>
  <c r="I742" i="1"/>
  <c r="F742" i="1"/>
  <c r="K741" i="1"/>
  <c r="J741" i="1"/>
  <c r="I741" i="1"/>
  <c r="F741" i="1"/>
  <c r="K740" i="1"/>
  <c r="J740" i="1"/>
  <c r="I740" i="1"/>
  <c r="F740" i="1"/>
  <c r="K739" i="1"/>
  <c r="J739" i="1"/>
  <c r="I739" i="1"/>
  <c r="F739" i="1"/>
  <c r="K738" i="1"/>
  <c r="J738" i="1"/>
  <c r="I738" i="1"/>
  <c r="F738" i="1"/>
  <c r="K737" i="1"/>
  <c r="J737" i="1"/>
  <c r="I737" i="1"/>
  <c r="F737" i="1"/>
  <c r="K736" i="1"/>
  <c r="J736" i="1"/>
  <c r="I736" i="1"/>
  <c r="F736" i="1"/>
  <c r="K735" i="1"/>
  <c r="J735" i="1"/>
  <c r="I735" i="1"/>
  <c r="F735" i="1"/>
  <c r="K734" i="1"/>
  <c r="J734" i="1"/>
  <c r="I734" i="1"/>
  <c r="F734" i="1"/>
  <c r="K733" i="1"/>
  <c r="J733" i="1"/>
  <c r="I733" i="1"/>
  <c r="F733" i="1"/>
  <c r="K732" i="1"/>
  <c r="J732" i="1"/>
  <c r="I732" i="1"/>
  <c r="F732" i="1"/>
  <c r="K731" i="1"/>
  <c r="J731" i="1"/>
  <c r="I731" i="1"/>
  <c r="F731" i="1"/>
  <c r="K730" i="1"/>
  <c r="J730" i="1"/>
  <c r="I730" i="1"/>
  <c r="F730" i="1"/>
  <c r="K729" i="1"/>
  <c r="J729" i="1"/>
  <c r="I729" i="1"/>
  <c r="F729" i="1"/>
  <c r="K728" i="1"/>
  <c r="J728" i="1"/>
  <c r="I728" i="1"/>
  <c r="F728" i="1"/>
  <c r="K727" i="1"/>
  <c r="J727" i="1"/>
  <c r="I727" i="1"/>
  <c r="F727" i="1"/>
  <c r="K726" i="1"/>
  <c r="J726" i="1"/>
  <c r="I726" i="1"/>
  <c r="F726" i="1"/>
  <c r="K725" i="1"/>
  <c r="J725" i="1"/>
  <c r="I725" i="1"/>
  <c r="F725" i="1"/>
  <c r="K724" i="1"/>
  <c r="J724" i="1"/>
  <c r="I724" i="1"/>
  <c r="F724" i="1"/>
  <c r="K723" i="1"/>
  <c r="J723" i="1"/>
  <c r="I723" i="1"/>
  <c r="F723" i="1"/>
  <c r="K722" i="1"/>
  <c r="J722" i="1"/>
  <c r="I722" i="1"/>
  <c r="F722" i="1"/>
  <c r="K721" i="1"/>
  <c r="J721" i="1"/>
  <c r="I721" i="1"/>
  <c r="F721" i="1"/>
  <c r="K720" i="1"/>
  <c r="J720" i="1"/>
  <c r="I720" i="1"/>
  <c r="F720" i="1"/>
  <c r="K719" i="1"/>
  <c r="J719" i="1"/>
  <c r="I719" i="1"/>
  <c r="F719" i="1"/>
  <c r="K718" i="1"/>
  <c r="J718" i="1"/>
  <c r="I718" i="1"/>
  <c r="F718" i="1"/>
  <c r="K717" i="1"/>
  <c r="J717" i="1"/>
  <c r="I717" i="1"/>
  <c r="F717" i="1"/>
  <c r="K716" i="1"/>
  <c r="J716" i="1"/>
  <c r="I716" i="1"/>
  <c r="F716" i="1"/>
  <c r="K715" i="1"/>
  <c r="J715" i="1"/>
  <c r="I715" i="1"/>
  <c r="F715" i="1"/>
  <c r="K714" i="1"/>
  <c r="J714" i="1"/>
  <c r="I714" i="1"/>
  <c r="F714" i="1"/>
  <c r="K713" i="1"/>
  <c r="J713" i="1"/>
  <c r="I713" i="1"/>
  <c r="F713" i="1"/>
  <c r="K712" i="1"/>
  <c r="J712" i="1"/>
  <c r="I712" i="1"/>
  <c r="F712" i="1"/>
  <c r="K711" i="1"/>
  <c r="J711" i="1"/>
  <c r="I711" i="1"/>
  <c r="F711" i="1"/>
  <c r="K710" i="1"/>
  <c r="J710" i="1"/>
  <c r="I710" i="1"/>
  <c r="F710" i="1"/>
  <c r="K709" i="1"/>
  <c r="J709" i="1"/>
  <c r="I709" i="1"/>
  <c r="F709" i="1"/>
  <c r="K708" i="1"/>
  <c r="J708" i="1"/>
  <c r="I708" i="1"/>
  <c r="F708" i="1"/>
  <c r="K707" i="1"/>
  <c r="J707" i="1"/>
  <c r="I707" i="1"/>
  <c r="F707" i="1"/>
  <c r="K706" i="1"/>
  <c r="J706" i="1"/>
  <c r="I706" i="1"/>
  <c r="F706" i="1"/>
  <c r="K705" i="1"/>
  <c r="J705" i="1"/>
  <c r="I705" i="1"/>
  <c r="F705" i="1"/>
  <c r="K704" i="1"/>
  <c r="J704" i="1"/>
  <c r="I704" i="1"/>
  <c r="F704" i="1"/>
  <c r="K703" i="1"/>
  <c r="J703" i="1"/>
  <c r="I703" i="1"/>
  <c r="F703" i="1"/>
  <c r="K702" i="1"/>
  <c r="J702" i="1"/>
  <c r="I702" i="1"/>
  <c r="F702" i="1"/>
  <c r="K701" i="1"/>
  <c r="J701" i="1"/>
  <c r="I701" i="1"/>
  <c r="F701" i="1"/>
  <c r="K700" i="1"/>
  <c r="J700" i="1"/>
  <c r="I700" i="1"/>
  <c r="F700" i="1"/>
  <c r="K699" i="1"/>
  <c r="J699" i="1"/>
  <c r="I699" i="1"/>
  <c r="F699" i="1"/>
  <c r="K698" i="1"/>
  <c r="J698" i="1"/>
  <c r="I698" i="1"/>
  <c r="F698" i="1"/>
  <c r="K697" i="1"/>
  <c r="J697" i="1"/>
  <c r="I697" i="1"/>
  <c r="F697" i="1"/>
  <c r="K696" i="1"/>
  <c r="J696" i="1"/>
  <c r="I696" i="1"/>
  <c r="F696" i="1"/>
  <c r="K695" i="1"/>
  <c r="J695" i="1"/>
  <c r="I695" i="1"/>
  <c r="F695" i="1"/>
  <c r="K694" i="1"/>
  <c r="J694" i="1"/>
  <c r="I694" i="1"/>
  <c r="F694" i="1"/>
  <c r="K693" i="1"/>
  <c r="J693" i="1"/>
  <c r="I693" i="1"/>
  <c r="F693" i="1"/>
  <c r="K692" i="1"/>
  <c r="J692" i="1"/>
  <c r="I692" i="1"/>
  <c r="F692" i="1"/>
  <c r="K691" i="1"/>
  <c r="J691" i="1"/>
  <c r="I691" i="1"/>
  <c r="F691" i="1"/>
  <c r="K690" i="1"/>
  <c r="J690" i="1"/>
  <c r="I690" i="1"/>
  <c r="F690" i="1"/>
  <c r="K689" i="1"/>
  <c r="J689" i="1"/>
  <c r="I689" i="1"/>
  <c r="F689" i="1"/>
  <c r="K688" i="1"/>
  <c r="J688" i="1"/>
  <c r="I688" i="1"/>
  <c r="F688" i="1"/>
  <c r="K687" i="1"/>
  <c r="J687" i="1"/>
  <c r="I687" i="1"/>
  <c r="F687" i="1"/>
  <c r="K686" i="1"/>
  <c r="J686" i="1"/>
  <c r="I686" i="1"/>
  <c r="F686" i="1"/>
  <c r="K685" i="1"/>
  <c r="J685" i="1"/>
  <c r="I685" i="1"/>
  <c r="F685" i="1"/>
  <c r="K684" i="1"/>
  <c r="J684" i="1"/>
  <c r="I684" i="1"/>
  <c r="F684" i="1"/>
  <c r="K683" i="1"/>
  <c r="J683" i="1"/>
  <c r="I683" i="1"/>
  <c r="F683" i="1"/>
  <c r="K682" i="1"/>
  <c r="J682" i="1"/>
  <c r="I682" i="1"/>
  <c r="F682" i="1"/>
  <c r="K681" i="1"/>
  <c r="J681" i="1"/>
  <c r="I681" i="1"/>
  <c r="F681" i="1"/>
  <c r="K680" i="1"/>
  <c r="J680" i="1"/>
  <c r="I680" i="1"/>
  <c r="F680" i="1"/>
  <c r="K679" i="1"/>
  <c r="J679" i="1"/>
  <c r="I679" i="1"/>
  <c r="F679" i="1"/>
  <c r="K678" i="1"/>
  <c r="J678" i="1"/>
  <c r="I678" i="1"/>
  <c r="F678" i="1"/>
  <c r="K677" i="1"/>
  <c r="J677" i="1"/>
  <c r="I677" i="1"/>
  <c r="F677" i="1"/>
  <c r="K676" i="1"/>
  <c r="J676" i="1"/>
  <c r="I676" i="1"/>
  <c r="F676" i="1"/>
  <c r="K675" i="1"/>
  <c r="J675" i="1"/>
  <c r="I675" i="1"/>
  <c r="F675" i="1"/>
  <c r="K674" i="1"/>
  <c r="J674" i="1"/>
  <c r="I674" i="1"/>
  <c r="F674" i="1"/>
  <c r="K673" i="1"/>
  <c r="J673" i="1"/>
  <c r="I673" i="1"/>
  <c r="F673" i="1"/>
  <c r="K672" i="1"/>
  <c r="J672" i="1"/>
  <c r="I672" i="1"/>
  <c r="F672" i="1"/>
  <c r="K671" i="1"/>
  <c r="J671" i="1"/>
  <c r="I671" i="1"/>
  <c r="F671" i="1"/>
  <c r="K670" i="1"/>
  <c r="J670" i="1"/>
  <c r="I670" i="1"/>
  <c r="F670" i="1"/>
  <c r="K669" i="1"/>
  <c r="J669" i="1"/>
  <c r="I669" i="1"/>
  <c r="F669" i="1"/>
  <c r="K668" i="1"/>
  <c r="J668" i="1"/>
  <c r="I668" i="1"/>
  <c r="F668" i="1"/>
  <c r="K667" i="1"/>
  <c r="J667" i="1"/>
  <c r="I667" i="1"/>
  <c r="F667" i="1"/>
  <c r="K666" i="1"/>
  <c r="J666" i="1"/>
  <c r="I666" i="1"/>
  <c r="F666" i="1"/>
  <c r="K665" i="1"/>
  <c r="J665" i="1"/>
  <c r="I665" i="1"/>
  <c r="F665" i="1"/>
  <c r="K664" i="1"/>
  <c r="J664" i="1"/>
  <c r="I664" i="1"/>
  <c r="F664" i="1"/>
  <c r="K663" i="1"/>
  <c r="J663" i="1"/>
  <c r="I663" i="1"/>
  <c r="F663" i="1"/>
  <c r="K662" i="1"/>
  <c r="J662" i="1"/>
  <c r="I662" i="1"/>
  <c r="F662" i="1"/>
  <c r="K661" i="1"/>
  <c r="J661" i="1"/>
  <c r="I661" i="1"/>
  <c r="F661" i="1"/>
  <c r="K660" i="1"/>
  <c r="J660" i="1"/>
  <c r="I660" i="1"/>
  <c r="F660" i="1"/>
  <c r="K659" i="1"/>
  <c r="J659" i="1"/>
  <c r="I659" i="1"/>
  <c r="F659" i="1"/>
  <c r="K658" i="1"/>
  <c r="J658" i="1"/>
  <c r="I658" i="1"/>
  <c r="F658" i="1"/>
  <c r="K657" i="1"/>
  <c r="J657" i="1"/>
  <c r="I657" i="1"/>
  <c r="F657" i="1"/>
  <c r="K656" i="1"/>
  <c r="J656" i="1"/>
  <c r="I656" i="1"/>
  <c r="F656" i="1"/>
  <c r="K655" i="1"/>
  <c r="J655" i="1"/>
  <c r="I655" i="1"/>
  <c r="F655" i="1"/>
  <c r="K654" i="1"/>
  <c r="J654" i="1"/>
  <c r="I654" i="1"/>
  <c r="F654" i="1"/>
  <c r="K653" i="1"/>
  <c r="J653" i="1"/>
  <c r="I653" i="1"/>
  <c r="F653" i="1"/>
  <c r="K652" i="1"/>
  <c r="J652" i="1"/>
  <c r="I652" i="1"/>
  <c r="F652" i="1"/>
  <c r="K651" i="1"/>
  <c r="J651" i="1"/>
  <c r="I651" i="1"/>
  <c r="F651" i="1"/>
  <c r="K650" i="1"/>
  <c r="J650" i="1"/>
  <c r="I650" i="1"/>
  <c r="F650" i="1"/>
  <c r="K649" i="1"/>
  <c r="J649" i="1"/>
  <c r="I649" i="1"/>
  <c r="F649" i="1"/>
  <c r="K648" i="1"/>
  <c r="J648" i="1"/>
  <c r="I648" i="1"/>
  <c r="F648" i="1"/>
  <c r="K647" i="1"/>
  <c r="J647" i="1"/>
  <c r="I647" i="1"/>
  <c r="F647" i="1"/>
  <c r="K646" i="1"/>
  <c r="J646" i="1"/>
  <c r="I646" i="1"/>
  <c r="F646" i="1"/>
  <c r="K645" i="1"/>
  <c r="J645" i="1"/>
  <c r="I645" i="1"/>
  <c r="F645" i="1"/>
  <c r="K644" i="1"/>
  <c r="J644" i="1"/>
  <c r="I644" i="1"/>
  <c r="F644" i="1"/>
  <c r="K643" i="1"/>
  <c r="J643" i="1"/>
  <c r="I643" i="1"/>
  <c r="F643" i="1"/>
  <c r="K642" i="1"/>
  <c r="J642" i="1"/>
  <c r="I642" i="1"/>
  <c r="F642" i="1"/>
  <c r="K641" i="1"/>
  <c r="J641" i="1"/>
  <c r="I641" i="1"/>
  <c r="F641" i="1"/>
  <c r="K640" i="1"/>
  <c r="J640" i="1"/>
  <c r="I640" i="1"/>
  <c r="F640" i="1"/>
  <c r="K639" i="1"/>
  <c r="J639" i="1"/>
  <c r="I639" i="1"/>
  <c r="F639" i="1"/>
  <c r="K638" i="1"/>
  <c r="J638" i="1"/>
  <c r="I638" i="1"/>
  <c r="F638" i="1"/>
  <c r="K637" i="1"/>
  <c r="J637" i="1"/>
  <c r="I637" i="1"/>
  <c r="F637" i="1"/>
  <c r="K636" i="1"/>
  <c r="J636" i="1"/>
  <c r="I636" i="1"/>
  <c r="F636" i="1"/>
  <c r="K635" i="1"/>
  <c r="J635" i="1"/>
  <c r="I635" i="1"/>
  <c r="F635" i="1"/>
  <c r="K634" i="1"/>
  <c r="J634" i="1"/>
  <c r="I634" i="1"/>
  <c r="F634" i="1"/>
  <c r="K633" i="1"/>
  <c r="J633" i="1"/>
  <c r="I633" i="1"/>
  <c r="F633" i="1"/>
  <c r="K632" i="1"/>
  <c r="J632" i="1"/>
  <c r="I632" i="1"/>
  <c r="F632" i="1"/>
  <c r="K631" i="1"/>
  <c r="J631" i="1"/>
  <c r="I631" i="1"/>
  <c r="F631" i="1"/>
  <c r="K630" i="1"/>
  <c r="J630" i="1"/>
  <c r="I630" i="1"/>
  <c r="F630" i="1"/>
  <c r="K629" i="1"/>
  <c r="J629" i="1"/>
  <c r="I629" i="1"/>
  <c r="F629" i="1"/>
  <c r="K628" i="1"/>
  <c r="J628" i="1"/>
  <c r="I628" i="1"/>
  <c r="F628" i="1"/>
  <c r="K627" i="1"/>
  <c r="J627" i="1"/>
  <c r="I627" i="1"/>
  <c r="F627" i="1"/>
  <c r="K626" i="1"/>
  <c r="J626" i="1"/>
  <c r="I626" i="1"/>
  <c r="F626" i="1"/>
  <c r="K625" i="1"/>
  <c r="J625" i="1"/>
  <c r="I625" i="1"/>
  <c r="F625" i="1"/>
  <c r="K624" i="1"/>
  <c r="J624" i="1"/>
  <c r="I624" i="1"/>
  <c r="F624" i="1"/>
  <c r="K623" i="1"/>
  <c r="J623" i="1"/>
  <c r="I623" i="1"/>
  <c r="F623" i="1"/>
  <c r="K622" i="1"/>
  <c r="J622" i="1"/>
  <c r="I622" i="1"/>
  <c r="F622" i="1"/>
  <c r="K621" i="1"/>
  <c r="J621" i="1"/>
  <c r="I621" i="1"/>
  <c r="F621" i="1"/>
  <c r="K620" i="1"/>
  <c r="J620" i="1"/>
  <c r="I620" i="1"/>
  <c r="F620" i="1"/>
  <c r="K619" i="1"/>
  <c r="J619" i="1"/>
  <c r="I619" i="1"/>
  <c r="F619" i="1"/>
  <c r="K618" i="1"/>
  <c r="J618" i="1"/>
  <c r="I618" i="1"/>
  <c r="F618" i="1"/>
  <c r="K617" i="1"/>
  <c r="J617" i="1"/>
  <c r="I617" i="1"/>
  <c r="F617" i="1"/>
  <c r="K616" i="1"/>
  <c r="J616" i="1"/>
  <c r="I616" i="1"/>
  <c r="F616" i="1"/>
  <c r="K615" i="1"/>
  <c r="J615" i="1"/>
  <c r="I615" i="1"/>
  <c r="F615" i="1"/>
  <c r="K614" i="1"/>
  <c r="J614" i="1"/>
  <c r="I614" i="1"/>
  <c r="F614" i="1"/>
  <c r="K613" i="1"/>
  <c r="J613" i="1"/>
  <c r="I613" i="1"/>
  <c r="F613" i="1"/>
  <c r="K612" i="1"/>
  <c r="J612" i="1"/>
  <c r="I612" i="1"/>
  <c r="F612" i="1"/>
  <c r="K611" i="1"/>
  <c r="J611" i="1"/>
  <c r="I611" i="1"/>
  <c r="F611" i="1"/>
  <c r="K610" i="1"/>
  <c r="J610" i="1"/>
  <c r="I610" i="1"/>
  <c r="F610" i="1"/>
  <c r="K609" i="1"/>
  <c r="J609" i="1"/>
  <c r="I609" i="1"/>
  <c r="F609" i="1"/>
  <c r="K608" i="1"/>
  <c r="J608" i="1"/>
  <c r="I608" i="1"/>
  <c r="F608" i="1"/>
  <c r="K607" i="1"/>
  <c r="J607" i="1"/>
  <c r="I607" i="1"/>
  <c r="F607" i="1"/>
  <c r="K606" i="1"/>
  <c r="J606" i="1"/>
  <c r="I606" i="1"/>
  <c r="F606" i="1"/>
  <c r="K605" i="1"/>
  <c r="J605" i="1"/>
  <c r="I605" i="1"/>
  <c r="F605" i="1"/>
  <c r="K604" i="1"/>
  <c r="J604" i="1"/>
  <c r="I604" i="1"/>
  <c r="F604" i="1"/>
  <c r="K603" i="1"/>
  <c r="J603" i="1"/>
  <c r="I603" i="1"/>
  <c r="F603" i="1"/>
  <c r="K602" i="1"/>
  <c r="J602" i="1"/>
  <c r="I602" i="1"/>
  <c r="F602" i="1"/>
  <c r="K601" i="1"/>
  <c r="J601" i="1"/>
  <c r="I601" i="1"/>
  <c r="F601" i="1"/>
  <c r="K600" i="1"/>
  <c r="J600" i="1"/>
  <c r="I600" i="1"/>
  <c r="F600" i="1"/>
  <c r="K599" i="1"/>
  <c r="J599" i="1"/>
  <c r="I599" i="1"/>
  <c r="F599" i="1"/>
  <c r="K598" i="1"/>
  <c r="J598" i="1"/>
  <c r="I598" i="1"/>
  <c r="F598" i="1"/>
  <c r="K597" i="1"/>
  <c r="J597" i="1"/>
  <c r="I597" i="1"/>
  <c r="F597" i="1"/>
  <c r="K596" i="1"/>
  <c r="J596" i="1"/>
  <c r="I596" i="1"/>
  <c r="F596" i="1"/>
  <c r="K595" i="1"/>
  <c r="J595" i="1"/>
  <c r="I595" i="1"/>
  <c r="F595" i="1"/>
  <c r="K594" i="1"/>
  <c r="J594" i="1"/>
  <c r="I594" i="1"/>
  <c r="F594" i="1"/>
  <c r="K593" i="1"/>
  <c r="J593" i="1"/>
  <c r="I593" i="1"/>
  <c r="F593" i="1"/>
  <c r="K592" i="1"/>
  <c r="J592" i="1"/>
  <c r="I592" i="1"/>
  <c r="F592" i="1"/>
  <c r="K591" i="1"/>
  <c r="J591" i="1"/>
  <c r="I591" i="1"/>
  <c r="F591" i="1"/>
  <c r="K590" i="1"/>
  <c r="J590" i="1"/>
  <c r="I590" i="1"/>
  <c r="F590" i="1"/>
  <c r="K589" i="1"/>
  <c r="J589" i="1"/>
  <c r="I589" i="1"/>
  <c r="F589" i="1"/>
  <c r="K588" i="1"/>
  <c r="J588" i="1"/>
  <c r="I588" i="1"/>
  <c r="F588" i="1"/>
  <c r="K587" i="1"/>
  <c r="J587" i="1"/>
  <c r="I587" i="1"/>
  <c r="F587" i="1"/>
  <c r="K586" i="1"/>
  <c r="J586" i="1"/>
  <c r="I586" i="1"/>
  <c r="F586" i="1"/>
  <c r="K585" i="1"/>
  <c r="J585" i="1"/>
  <c r="I585" i="1"/>
  <c r="F585" i="1"/>
  <c r="K584" i="1"/>
  <c r="J584" i="1"/>
  <c r="I584" i="1"/>
  <c r="F584" i="1"/>
  <c r="K583" i="1"/>
  <c r="J583" i="1"/>
  <c r="I583" i="1"/>
  <c r="F583" i="1"/>
  <c r="K582" i="1"/>
  <c r="J582" i="1"/>
  <c r="I582" i="1"/>
  <c r="F582" i="1"/>
  <c r="K581" i="1"/>
  <c r="J581" i="1"/>
  <c r="I581" i="1"/>
  <c r="F581" i="1"/>
  <c r="K580" i="1"/>
  <c r="J580" i="1"/>
  <c r="I580" i="1"/>
  <c r="F580" i="1"/>
  <c r="K579" i="1"/>
  <c r="J579" i="1"/>
  <c r="I579" i="1"/>
  <c r="F579" i="1"/>
  <c r="K578" i="1"/>
  <c r="J578" i="1"/>
  <c r="I578" i="1"/>
  <c r="F578" i="1"/>
  <c r="K577" i="1"/>
  <c r="J577" i="1"/>
  <c r="I577" i="1"/>
  <c r="F577" i="1"/>
  <c r="K576" i="1"/>
  <c r="J576" i="1"/>
  <c r="I576" i="1"/>
  <c r="F576" i="1"/>
  <c r="K575" i="1"/>
  <c r="J575" i="1"/>
  <c r="I575" i="1"/>
  <c r="F575" i="1"/>
  <c r="K574" i="1"/>
  <c r="J574" i="1"/>
  <c r="I574" i="1"/>
  <c r="F574" i="1"/>
  <c r="K573" i="1"/>
  <c r="J573" i="1"/>
  <c r="I573" i="1"/>
  <c r="F573" i="1"/>
  <c r="K572" i="1"/>
  <c r="J572" i="1"/>
  <c r="I572" i="1"/>
  <c r="F572" i="1"/>
  <c r="K571" i="1"/>
  <c r="J571" i="1"/>
  <c r="I571" i="1"/>
  <c r="F571" i="1"/>
  <c r="K570" i="1"/>
  <c r="J570" i="1"/>
  <c r="I570" i="1"/>
  <c r="F570" i="1"/>
  <c r="K569" i="1"/>
  <c r="J569" i="1"/>
  <c r="I569" i="1"/>
  <c r="F569" i="1"/>
  <c r="K568" i="1"/>
  <c r="J568" i="1"/>
  <c r="I568" i="1"/>
  <c r="F568" i="1"/>
  <c r="K567" i="1"/>
  <c r="J567" i="1"/>
  <c r="I567" i="1"/>
  <c r="F567" i="1"/>
  <c r="K566" i="1"/>
  <c r="J566" i="1"/>
  <c r="I566" i="1"/>
  <c r="F566" i="1"/>
  <c r="K565" i="1"/>
  <c r="J565" i="1"/>
  <c r="I565" i="1"/>
  <c r="F565" i="1"/>
  <c r="K564" i="1"/>
  <c r="J564" i="1"/>
  <c r="I564" i="1"/>
  <c r="F564" i="1"/>
  <c r="K563" i="1"/>
  <c r="J563" i="1"/>
  <c r="I563" i="1"/>
  <c r="F563" i="1"/>
  <c r="K562" i="1"/>
  <c r="J562" i="1"/>
  <c r="I562" i="1"/>
  <c r="F562" i="1"/>
  <c r="K561" i="1"/>
  <c r="J561" i="1"/>
  <c r="I561" i="1"/>
  <c r="F561" i="1"/>
  <c r="K560" i="1"/>
  <c r="J560" i="1"/>
  <c r="I560" i="1"/>
  <c r="F560" i="1"/>
  <c r="K559" i="1"/>
  <c r="J559" i="1"/>
  <c r="I559" i="1"/>
  <c r="F559" i="1"/>
  <c r="K558" i="1"/>
  <c r="J558" i="1"/>
  <c r="I558" i="1"/>
  <c r="F558" i="1"/>
  <c r="K557" i="1"/>
  <c r="J557" i="1"/>
  <c r="I557" i="1"/>
  <c r="F557" i="1"/>
  <c r="K556" i="1"/>
  <c r="J556" i="1"/>
  <c r="I556" i="1"/>
  <c r="F556" i="1"/>
  <c r="K555" i="1"/>
  <c r="J555" i="1"/>
  <c r="I555" i="1"/>
  <c r="F555" i="1"/>
  <c r="K554" i="1"/>
  <c r="J554" i="1"/>
  <c r="I554" i="1"/>
  <c r="F554" i="1"/>
  <c r="K553" i="1"/>
  <c r="J553" i="1"/>
  <c r="I553" i="1"/>
  <c r="F553" i="1"/>
  <c r="K552" i="1"/>
  <c r="J552" i="1"/>
  <c r="I552" i="1"/>
  <c r="F552" i="1"/>
  <c r="K551" i="1"/>
  <c r="J551" i="1"/>
  <c r="I551" i="1"/>
  <c r="F551" i="1"/>
  <c r="K550" i="1"/>
  <c r="J550" i="1"/>
  <c r="I550" i="1"/>
  <c r="F550" i="1"/>
  <c r="K549" i="1"/>
  <c r="J549" i="1"/>
  <c r="I549" i="1"/>
  <c r="F549" i="1"/>
  <c r="K548" i="1"/>
  <c r="J548" i="1"/>
  <c r="I548" i="1"/>
  <c r="F548" i="1"/>
  <c r="K547" i="1"/>
  <c r="J547" i="1"/>
  <c r="I547" i="1"/>
  <c r="F547" i="1"/>
  <c r="K546" i="1"/>
  <c r="J546" i="1"/>
  <c r="I546" i="1"/>
  <c r="F546" i="1"/>
  <c r="K545" i="1"/>
  <c r="J545" i="1"/>
  <c r="I545" i="1"/>
  <c r="F545" i="1"/>
  <c r="K544" i="1"/>
  <c r="J544" i="1"/>
  <c r="I544" i="1"/>
  <c r="F544" i="1"/>
  <c r="K543" i="1"/>
  <c r="J543" i="1"/>
  <c r="I543" i="1"/>
  <c r="F543" i="1"/>
  <c r="K542" i="1"/>
  <c r="J542" i="1"/>
  <c r="I542" i="1"/>
  <c r="F542" i="1"/>
  <c r="K541" i="1"/>
  <c r="J541" i="1"/>
  <c r="I541" i="1"/>
  <c r="F541" i="1"/>
  <c r="K540" i="1"/>
  <c r="J540" i="1"/>
  <c r="I540" i="1"/>
  <c r="F540" i="1"/>
  <c r="K539" i="1"/>
  <c r="J539" i="1"/>
  <c r="I539" i="1"/>
  <c r="F539" i="1"/>
  <c r="K538" i="1"/>
  <c r="J538" i="1"/>
  <c r="I538" i="1"/>
  <c r="F538" i="1"/>
  <c r="K537" i="1"/>
  <c r="J537" i="1"/>
  <c r="I537" i="1"/>
  <c r="F537" i="1"/>
  <c r="K536" i="1"/>
  <c r="J536" i="1"/>
  <c r="I536" i="1"/>
  <c r="F536" i="1"/>
  <c r="K535" i="1"/>
  <c r="J535" i="1"/>
  <c r="I535" i="1"/>
  <c r="F535" i="1"/>
  <c r="K534" i="1"/>
  <c r="J534" i="1"/>
  <c r="I534" i="1"/>
  <c r="F534" i="1"/>
  <c r="K533" i="1"/>
  <c r="J533" i="1"/>
  <c r="I533" i="1"/>
  <c r="F533" i="1"/>
  <c r="K532" i="1"/>
  <c r="J532" i="1"/>
  <c r="I532" i="1"/>
  <c r="F532" i="1"/>
  <c r="K531" i="1"/>
  <c r="J531" i="1"/>
  <c r="I531" i="1"/>
  <c r="F531" i="1"/>
  <c r="K530" i="1"/>
  <c r="J530" i="1"/>
  <c r="I530" i="1"/>
  <c r="F530" i="1"/>
  <c r="K529" i="1"/>
  <c r="J529" i="1"/>
  <c r="I529" i="1"/>
  <c r="F529" i="1"/>
  <c r="K528" i="1"/>
  <c r="J528" i="1"/>
  <c r="I528" i="1"/>
  <c r="F528" i="1"/>
  <c r="K527" i="1"/>
  <c r="J527" i="1"/>
  <c r="I527" i="1"/>
  <c r="F527" i="1"/>
  <c r="K526" i="1"/>
  <c r="J526" i="1"/>
  <c r="I526" i="1"/>
  <c r="F526" i="1"/>
  <c r="K525" i="1"/>
  <c r="J525" i="1"/>
  <c r="I525" i="1"/>
  <c r="F525" i="1"/>
  <c r="K524" i="1"/>
  <c r="J524" i="1"/>
  <c r="I524" i="1"/>
  <c r="F524" i="1"/>
  <c r="K523" i="1"/>
  <c r="J523" i="1"/>
  <c r="I523" i="1"/>
  <c r="F523" i="1"/>
  <c r="K522" i="1"/>
  <c r="J522" i="1"/>
  <c r="I522" i="1"/>
  <c r="F522" i="1"/>
  <c r="K521" i="1"/>
  <c r="J521" i="1"/>
  <c r="I521" i="1"/>
  <c r="F521" i="1"/>
  <c r="K520" i="1"/>
  <c r="J520" i="1"/>
  <c r="I520" i="1"/>
  <c r="F520" i="1"/>
  <c r="K519" i="1"/>
  <c r="J519" i="1"/>
  <c r="I519" i="1"/>
  <c r="F519" i="1"/>
  <c r="K518" i="1"/>
  <c r="J518" i="1"/>
  <c r="I518" i="1"/>
  <c r="F518" i="1"/>
  <c r="K517" i="1"/>
  <c r="J517" i="1"/>
  <c r="I517" i="1"/>
  <c r="F517" i="1"/>
  <c r="K516" i="1"/>
  <c r="J516" i="1"/>
  <c r="I516" i="1"/>
  <c r="F516" i="1"/>
  <c r="K515" i="1"/>
  <c r="J515" i="1"/>
  <c r="I515" i="1"/>
  <c r="F515" i="1"/>
  <c r="K514" i="1"/>
  <c r="J514" i="1"/>
  <c r="I514" i="1"/>
  <c r="F514" i="1"/>
  <c r="K513" i="1"/>
  <c r="J513" i="1"/>
  <c r="I513" i="1"/>
  <c r="F513" i="1"/>
  <c r="K512" i="1"/>
  <c r="J512" i="1"/>
  <c r="I512" i="1"/>
  <c r="F512" i="1"/>
  <c r="K511" i="1"/>
  <c r="J511" i="1"/>
  <c r="I511" i="1"/>
  <c r="F511" i="1"/>
  <c r="K510" i="1"/>
  <c r="J510" i="1"/>
  <c r="I510" i="1"/>
  <c r="F510" i="1"/>
  <c r="K509" i="1"/>
  <c r="J509" i="1"/>
  <c r="I509" i="1"/>
  <c r="F509" i="1"/>
  <c r="K508" i="1"/>
  <c r="J508" i="1"/>
  <c r="I508" i="1"/>
  <c r="F508" i="1"/>
  <c r="K507" i="1"/>
  <c r="J507" i="1"/>
  <c r="I507" i="1"/>
  <c r="F507" i="1"/>
  <c r="K506" i="1"/>
  <c r="J506" i="1"/>
  <c r="I506" i="1"/>
  <c r="F506" i="1"/>
  <c r="K505" i="1"/>
  <c r="J505" i="1"/>
  <c r="I505" i="1"/>
  <c r="F505" i="1"/>
  <c r="K504" i="1"/>
  <c r="J504" i="1"/>
  <c r="I504" i="1"/>
  <c r="F504" i="1"/>
  <c r="K503" i="1"/>
  <c r="J503" i="1"/>
  <c r="I503" i="1"/>
  <c r="F503" i="1"/>
  <c r="K502" i="1"/>
  <c r="J502" i="1"/>
  <c r="I502" i="1"/>
  <c r="F502" i="1"/>
  <c r="K501" i="1"/>
  <c r="J501" i="1"/>
  <c r="I501" i="1"/>
  <c r="F501" i="1"/>
  <c r="K500" i="1"/>
  <c r="J500" i="1"/>
  <c r="I500" i="1"/>
  <c r="F500" i="1"/>
  <c r="K499" i="1"/>
  <c r="J499" i="1"/>
  <c r="I499" i="1"/>
  <c r="F499" i="1"/>
  <c r="K498" i="1"/>
  <c r="J498" i="1"/>
  <c r="I498" i="1"/>
  <c r="F498" i="1"/>
  <c r="K497" i="1"/>
  <c r="J497" i="1"/>
  <c r="I497" i="1"/>
  <c r="F497" i="1"/>
  <c r="K496" i="1"/>
  <c r="J496" i="1"/>
  <c r="I496" i="1"/>
  <c r="F496" i="1"/>
  <c r="K495" i="1"/>
  <c r="J495" i="1"/>
  <c r="I495" i="1"/>
  <c r="F495" i="1"/>
  <c r="K494" i="1"/>
  <c r="J494" i="1"/>
  <c r="I494" i="1"/>
  <c r="F494" i="1"/>
  <c r="K493" i="1"/>
  <c r="J493" i="1"/>
  <c r="I493" i="1"/>
  <c r="F493" i="1"/>
  <c r="K492" i="1"/>
  <c r="J492" i="1"/>
  <c r="I492" i="1"/>
  <c r="F492" i="1"/>
  <c r="K491" i="1"/>
  <c r="J491" i="1"/>
  <c r="I491" i="1"/>
  <c r="F491" i="1"/>
  <c r="K490" i="1"/>
  <c r="J490" i="1"/>
  <c r="I490" i="1"/>
  <c r="F490" i="1"/>
  <c r="K489" i="1"/>
  <c r="J489" i="1"/>
  <c r="I489" i="1"/>
  <c r="F489" i="1"/>
  <c r="K488" i="1"/>
  <c r="J488" i="1"/>
  <c r="I488" i="1"/>
  <c r="F488" i="1"/>
  <c r="K487" i="1"/>
  <c r="J487" i="1"/>
  <c r="I487" i="1"/>
  <c r="F487" i="1"/>
  <c r="K486" i="1"/>
  <c r="J486" i="1"/>
  <c r="I486" i="1"/>
  <c r="F486" i="1"/>
  <c r="K485" i="1"/>
  <c r="J485" i="1"/>
  <c r="I485" i="1"/>
  <c r="F485" i="1"/>
  <c r="K484" i="1"/>
  <c r="J484" i="1"/>
  <c r="I484" i="1"/>
  <c r="F484" i="1"/>
  <c r="K483" i="1"/>
  <c r="J483" i="1"/>
  <c r="I483" i="1"/>
  <c r="F483" i="1"/>
  <c r="K482" i="1"/>
  <c r="J482" i="1"/>
  <c r="I482" i="1"/>
  <c r="F482" i="1"/>
  <c r="K481" i="1"/>
  <c r="J481" i="1"/>
  <c r="I481" i="1"/>
  <c r="F481" i="1"/>
  <c r="K480" i="1"/>
  <c r="J480" i="1"/>
  <c r="I480" i="1"/>
  <c r="F480" i="1"/>
  <c r="K479" i="1"/>
  <c r="J479" i="1"/>
  <c r="I479" i="1"/>
  <c r="F479" i="1"/>
  <c r="K478" i="1"/>
  <c r="J478" i="1"/>
  <c r="I478" i="1"/>
  <c r="F478" i="1"/>
  <c r="K477" i="1"/>
  <c r="J477" i="1"/>
  <c r="I477" i="1"/>
  <c r="F477" i="1"/>
  <c r="K476" i="1"/>
  <c r="J476" i="1"/>
  <c r="I476" i="1"/>
  <c r="F476" i="1"/>
  <c r="K475" i="1"/>
  <c r="J475" i="1"/>
  <c r="I475" i="1"/>
  <c r="F475" i="1"/>
  <c r="K474" i="1"/>
  <c r="J474" i="1"/>
  <c r="I474" i="1"/>
  <c r="F474" i="1"/>
  <c r="K473" i="1"/>
  <c r="J473" i="1"/>
  <c r="I473" i="1"/>
  <c r="F473" i="1"/>
  <c r="K472" i="1"/>
  <c r="J472" i="1"/>
  <c r="I472" i="1"/>
  <c r="F472" i="1"/>
  <c r="K471" i="1"/>
  <c r="J471" i="1"/>
  <c r="I471" i="1"/>
  <c r="F471" i="1"/>
  <c r="K470" i="1"/>
  <c r="J470" i="1"/>
  <c r="I470" i="1"/>
  <c r="F470" i="1"/>
  <c r="K469" i="1"/>
  <c r="J469" i="1"/>
  <c r="I469" i="1"/>
  <c r="F469" i="1"/>
  <c r="K468" i="1"/>
  <c r="J468" i="1"/>
  <c r="I468" i="1"/>
  <c r="F468" i="1"/>
  <c r="K467" i="1"/>
  <c r="J467" i="1"/>
  <c r="I467" i="1"/>
  <c r="F467" i="1"/>
  <c r="K466" i="1"/>
  <c r="J466" i="1"/>
  <c r="I466" i="1"/>
  <c r="F466" i="1"/>
  <c r="K465" i="1"/>
  <c r="J465" i="1"/>
  <c r="I465" i="1"/>
  <c r="F465" i="1"/>
  <c r="K464" i="1"/>
  <c r="J464" i="1"/>
  <c r="I464" i="1"/>
  <c r="F464" i="1"/>
  <c r="K463" i="1"/>
  <c r="J463" i="1"/>
  <c r="I463" i="1"/>
  <c r="F463" i="1"/>
  <c r="K462" i="1"/>
  <c r="J462" i="1"/>
  <c r="I462" i="1"/>
  <c r="F462" i="1"/>
  <c r="K461" i="1"/>
  <c r="J461" i="1"/>
  <c r="I461" i="1"/>
  <c r="F461" i="1"/>
  <c r="K460" i="1"/>
  <c r="J460" i="1"/>
  <c r="I460" i="1"/>
  <c r="F460" i="1"/>
  <c r="K459" i="1"/>
  <c r="J459" i="1"/>
  <c r="I459" i="1"/>
  <c r="F459" i="1"/>
  <c r="K458" i="1"/>
  <c r="J458" i="1"/>
  <c r="I458" i="1"/>
  <c r="F458" i="1"/>
  <c r="K457" i="1"/>
  <c r="J457" i="1"/>
  <c r="I457" i="1"/>
  <c r="F457" i="1"/>
  <c r="K456" i="1"/>
  <c r="J456" i="1"/>
  <c r="I456" i="1"/>
  <c r="F456" i="1"/>
  <c r="K455" i="1"/>
  <c r="J455" i="1"/>
  <c r="I455" i="1"/>
  <c r="F455" i="1"/>
  <c r="K454" i="1"/>
  <c r="J454" i="1"/>
  <c r="I454" i="1"/>
  <c r="F454" i="1"/>
  <c r="K453" i="1"/>
  <c r="J453" i="1"/>
  <c r="I453" i="1"/>
  <c r="F453" i="1"/>
  <c r="K452" i="1"/>
  <c r="J452" i="1"/>
  <c r="I452" i="1"/>
  <c r="F452" i="1"/>
  <c r="K451" i="1"/>
  <c r="J451" i="1"/>
  <c r="I451" i="1"/>
  <c r="F451" i="1"/>
  <c r="K450" i="1"/>
  <c r="J450" i="1"/>
  <c r="I450" i="1"/>
  <c r="F450" i="1"/>
  <c r="K449" i="1"/>
  <c r="J449" i="1"/>
  <c r="I449" i="1"/>
  <c r="F449" i="1"/>
  <c r="K448" i="1"/>
  <c r="J448" i="1"/>
  <c r="I448" i="1"/>
  <c r="F448" i="1"/>
  <c r="K447" i="1"/>
  <c r="J447" i="1"/>
  <c r="I447" i="1"/>
  <c r="F447" i="1"/>
  <c r="K446" i="1"/>
  <c r="J446" i="1"/>
  <c r="I446" i="1"/>
  <c r="F446" i="1"/>
  <c r="K445" i="1"/>
  <c r="J445" i="1"/>
  <c r="I445" i="1"/>
  <c r="F445" i="1"/>
  <c r="K444" i="1"/>
  <c r="J444" i="1"/>
  <c r="I444" i="1"/>
  <c r="F444" i="1"/>
  <c r="K443" i="1"/>
  <c r="J443" i="1"/>
  <c r="I443" i="1"/>
  <c r="F443" i="1"/>
  <c r="K442" i="1"/>
  <c r="J442" i="1"/>
  <c r="I442" i="1"/>
  <c r="F442" i="1"/>
  <c r="K441" i="1"/>
  <c r="J441" i="1"/>
  <c r="I441" i="1"/>
  <c r="F441" i="1"/>
  <c r="K440" i="1"/>
  <c r="J440" i="1"/>
  <c r="I440" i="1"/>
  <c r="F440" i="1"/>
  <c r="K439" i="1"/>
  <c r="J439" i="1"/>
  <c r="I439" i="1"/>
  <c r="F439" i="1"/>
  <c r="K438" i="1"/>
  <c r="J438" i="1"/>
  <c r="I438" i="1"/>
  <c r="F438" i="1"/>
  <c r="K437" i="1"/>
  <c r="J437" i="1"/>
  <c r="I437" i="1"/>
  <c r="F437" i="1"/>
  <c r="K436" i="1"/>
  <c r="J436" i="1"/>
  <c r="I436" i="1"/>
  <c r="F436" i="1"/>
  <c r="K435" i="1"/>
  <c r="J435" i="1"/>
  <c r="I435" i="1"/>
  <c r="F435" i="1"/>
  <c r="K434" i="1"/>
  <c r="J434" i="1"/>
  <c r="I434" i="1"/>
  <c r="F434" i="1"/>
  <c r="K433" i="1"/>
  <c r="J433" i="1"/>
  <c r="I433" i="1"/>
  <c r="F433" i="1"/>
  <c r="K432" i="1"/>
  <c r="J432" i="1"/>
  <c r="I432" i="1"/>
  <c r="F432" i="1"/>
  <c r="K431" i="1"/>
  <c r="J431" i="1"/>
  <c r="I431" i="1"/>
  <c r="F431" i="1"/>
  <c r="K430" i="1"/>
  <c r="J430" i="1"/>
  <c r="I430" i="1"/>
  <c r="F430" i="1"/>
  <c r="K429" i="1"/>
  <c r="J429" i="1"/>
  <c r="I429" i="1"/>
  <c r="F429" i="1"/>
  <c r="K428" i="1"/>
  <c r="J428" i="1"/>
  <c r="I428" i="1"/>
  <c r="F428" i="1"/>
  <c r="K427" i="1"/>
  <c r="J427" i="1"/>
  <c r="I427" i="1"/>
  <c r="F427" i="1"/>
  <c r="K426" i="1"/>
  <c r="J426" i="1"/>
  <c r="I426" i="1"/>
  <c r="F426" i="1"/>
  <c r="K425" i="1"/>
  <c r="J425" i="1"/>
  <c r="I425" i="1"/>
  <c r="F425" i="1"/>
  <c r="K424" i="1"/>
  <c r="J424" i="1"/>
  <c r="I424" i="1"/>
  <c r="F424" i="1"/>
  <c r="K423" i="1"/>
  <c r="J423" i="1"/>
  <c r="I423" i="1"/>
  <c r="F423" i="1"/>
  <c r="K422" i="1"/>
  <c r="J422" i="1"/>
  <c r="I422" i="1"/>
  <c r="F422" i="1"/>
  <c r="K421" i="1"/>
  <c r="J421" i="1"/>
  <c r="I421" i="1"/>
  <c r="F421" i="1"/>
  <c r="K420" i="1"/>
  <c r="J420" i="1"/>
  <c r="I420" i="1"/>
  <c r="F420" i="1"/>
  <c r="K419" i="1"/>
  <c r="J419" i="1"/>
  <c r="I419" i="1"/>
  <c r="F419" i="1"/>
  <c r="K418" i="1"/>
  <c r="J418" i="1"/>
  <c r="I418" i="1"/>
  <c r="F418" i="1"/>
  <c r="K417" i="1"/>
  <c r="J417" i="1"/>
  <c r="I417" i="1"/>
  <c r="F417" i="1"/>
  <c r="K416" i="1"/>
  <c r="J416" i="1"/>
  <c r="I416" i="1"/>
  <c r="F416" i="1"/>
  <c r="K415" i="1"/>
  <c r="J415" i="1"/>
  <c r="I415" i="1"/>
  <c r="F415" i="1"/>
  <c r="K414" i="1"/>
  <c r="J414" i="1"/>
  <c r="I414" i="1"/>
  <c r="F414" i="1"/>
  <c r="K413" i="1"/>
  <c r="J413" i="1"/>
  <c r="I413" i="1"/>
  <c r="F413" i="1"/>
  <c r="K412" i="1"/>
  <c r="J412" i="1"/>
  <c r="I412" i="1"/>
  <c r="F412" i="1"/>
  <c r="K411" i="1"/>
  <c r="J411" i="1"/>
  <c r="I411" i="1"/>
  <c r="F411" i="1"/>
  <c r="K410" i="1"/>
  <c r="J410" i="1"/>
  <c r="I410" i="1"/>
  <c r="F410" i="1"/>
  <c r="K409" i="1"/>
  <c r="J409" i="1"/>
  <c r="I409" i="1"/>
  <c r="F409" i="1"/>
  <c r="K408" i="1"/>
  <c r="J408" i="1"/>
  <c r="I408" i="1"/>
  <c r="F408" i="1"/>
  <c r="K407" i="1"/>
  <c r="J407" i="1"/>
  <c r="I407" i="1"/>
  <c r="F407" i="1"/>
  <c r="K406" i="1"/>
  <c r="J406" i="1"/>
  <c r="I406" i="1"/>
  <c r="F406" i="1"/>
  <c r="K405" i="1"/>
  <c r="J405" i="1"/>
  <c r="I405" i="1"/>
  <c r="F405" i="1"/>
  <c r="K404" i="1"/>
  <c r="J404" i="1"/>
  <c r="I404" i="1"/>
  <c r="F404" i="1"/>
  <c r="K403" i="1"/>
  <c r="J403" i="1"/>
  <c r="I403" i="1"/>
  <c r="F403" i="1"/>
  <c r="K402" i="1"/>
  <c r="J402" i="1"/>
  <c r="I402" i="1"/>
  <c r="F402" i="1"/>
  <c r="K401" i="1"/>
  <c r="J401" i="1"/>
  <c r="I401" i="1"/>
  <c r="F401" i="1"/>
  <c r="K400" i="1"/>
  <c r="J400" i="1"/>
  <c r="I400" i="1"/>
  <c r="F400" i="1"/>
  <c r="K399" i="1"/>
  <c r="J399" i="1"/>
  <c r="I399" i="1"/>
  <c r="F399" i="1"/>
  <c r="K398" i="1"/>
  <c r="J398" i="1"/>
  <c r="I398" i="1"/>
  <c r="F398" i="1"/>
  <c r="K397" i="1"/>
  <c r="J397" i="1"/>
  <c r="I397" i="1"/>
  <c r="F397" i="1"/>
  <c r="K396" i="1"/>
  <c r="J396" i="1"/>
  <c r="I396" i="1"/>
  <c r="F396" i="1"/>
  <c r="K395" i="1"/>
  <c r="J395" i="1"/>
  <c r="I395" i="1"/>
  <c r="F395" i="1"/>
  <c r="K394" i="1"/>
  <c r="J394" i="1"/>
  <c r="I394" i="1"/>
  <c r="F394" i="1"/>
  <c r="K393" i="1"/>
  <c r="J393" i="1"/>
  <c r="I393" i="1"/>
  <c r="F393" i="1"/>
  <c r="K392" i="1"/>
  <c r="J392" i="1"/>
  <c r="I392" i="1"/>
  <c r="F392" i="1"/>
  <c r="K391" i="1"/>
  <c r="J391" i="1"/>
  <c r="I391" i="1"/>
  <c r="F391" i="1"/>
  <c r="K390" i="1"/>
  <c r="J390" i="1"/>
  <c r="I390" i="1"/>
  <c r="F390" i="1"/>
  <c r="K389" i="1"/>
  <c r="J389" i="1"/>
  <c r="I389" i="1"/>
  <c r="F389" i="1"/>
  <c r="K388" i="1"/>
  <c r="J388" i="1"/>
  <c r="I388" i="1"/>
  <c r="F388" i="1"/>
  <c r="K387" i="1"/>
  <c r="J387" i="1"/>
  <c r="I387" i="1"/>
  <c r="F387" i="1"/>
  <c r="K386" i="1"/>
  <c r="J386" i="1"/>
  <c r="I386" i="1"/>
  <c r="F386" i="1"/>
  <c r="K385" i="1"/>
  <c r="J385" i="1"/>
  <c r="I385" i="1"/>
  <c r="F385" i="1"/>
  <c r="K384" i="1"/>
  <c r="J384" i="1"/>
  <c r="I384" i="1"/>
  <c r="F384" i="1"/>
  <c r="K383" i="1"/>
  <c r="J383" i="1"/>
  <c r="I383" i="1"/>
  <c r="F383" i="1"/>
  <c r="K382" i="1"/>
  <c r="J382" i="1"/>
  <c r="I382" i="1"/>
  <c r="F382" i="1"/>
  <c r="K381" i="1"/>
  <c r="J381" i="1"/>
  <c r="I381" i="1"/>
  <c r="F381" i="1"/>
  <c r="K380" i="1"/>
  <c r="J380" i="1"/>
  <c r="I380" i="1"/>
  <c r="F380" i="1"/>
  <c r="K379" i="1"/>
  <c r="J379" i="1"/>
  <c r="I379" i="1"/>
  <c r="F379" i="1"/>
  <c r="K378" i="1"/>
  <c r="J378" i="1"/>
  <c r="I378" i="1"/>
  <c r="F378" i="1"/>
  <c r="K377" i="1"/>
  <c r="J377" i="1"/>
  <c r="I377" i="1"/>
  <c r="F377" i="1"/>
  <c r="K376" i="1"/>
  <c r="J376" i="1"/>
  <c r="I376" i="1"/>
  <c r="F376" i="1"/>
  <c r="K375" i="1"/>
  <c r="J375" i="1"/>
  <c r="I375" i="1"/>
  <c r="F375" i="1"/>
  <c r="K374" i="1"/>
  <c r="J374" i="1"/>
  <c r="I374" i="1"/>
  <c r="F374" i="1"/>
  <c r="K373" i="1"/>
  <c r="J373" i="1"/>
  <c r="I373" i="1"/>
  <c r="F373" i="1"/>
  <c r="K372" i="1"/>
  <c r="J372" i="1"/>
  <c r="I372" i="1"/>
  <c r="F372" i="1"/>
  <c r="K371" i="1"/>
  <c r="J371" i="1"/>
  <c r="I371" i="1"/>
  <c r="F371" i="1"/>
  <c r="K370" i="1"/>
  <c r="J370" i="1"/>
  <c r="I370" i="1"/>
  <c r="F370" i="1"/>
  <c r="K369" i="1"/>
  <c r="J369" i="1"/>
  <c r="I369" i="1"/>
  <c r="F369" i="1"/>
  <c r="K368" i="1"/>
  <c r="J368" i="1"/>
  <c r="I368" i="1"/>
  <c r="F368" i="1"/>
  <c r="K367" i="1"/>
  <c r="J367" i="1"/>
  <c r="I367" i="1"/>
  <c r="F367" i="1"/>
  <c r="K366" i="1"/>
  <c r="J366" i="1"/>
  <c r="I366" i="1"/>
  <c r="F366" i="1"/>
  <c r="K365" i="1"/>
  <c r="J365" i="1"/>
  <c r="I365" i="1"/>
  <c r="F365" i="1"/>
  <c r="K364" i="1"/>
  <c r="J364" i="1"/>
  <c r="I364" i="1"/>
  <c r="F364" i="1"/>
  <c r="K363" i="1"/>
  <c r="J363" i="1"/>
  <c r="I363" i="1"/>
  <c r="F363" i="1"/>
  <c r="K362" i="1"/>
  <c r="J362" i="1"/>
  <c r="I362" i="1"/>
  <c r="F362" i="1"/>
  <c r="K361" i="1"/>
  <c r="J361" i="1"/>
  <c r="I361" i="1"/>
  <c r="F361" i="1"/>
  <c r="K360" i="1"/>
  <c r="J360" i="1"/>
  <c r="I360" i="1"/>
  <c r="F360" i="1"/>
  <c r="K359" i="1"/>
  <c r="J359" i="1"/>
  <c r="I359" i="1"/>
  <c r="F359" i="1"/>
  <c r="K358" i="1"/>
  <c r="J358" i="1"/>
  <c r="I358" i="1"/>
  <c r="F358" i="1"/>
  <c r="K357" i="1"/>
  <c r="J357" i="1"/>
  <c r="I357" i="1"/>
  <c r="F357" i="1"/>
  <c r="K356" i="1"/>
  <c r="J356" i="1"/>
  <c r="I356" i="1"/>
  <c r="F356" i="1"/>
  <c r="K355" i="1"/>
  <c r="J355" i="1"/>
  <c r="I355" i="1"/>
  <c r="F355" i="1"/>
  <c r="K354" i="1"/>
  <c r="J354" i="1"/>
  <c r="I354" i="1"/>
  <c r="F354" i="1"/>
  <c r="K353" i="1"/>
  <c r="J353" i="1"/>
  <c r="I353" i="1"/>
  <c r="F353" i="1"/>
  <c r="K352" i="1"/>
  <c r="J352" i="1"/>
  <c r="I352" i="1"/>
  <c r="F352" i="1"/>
  <c r="K351" i="1"/>
  <c r="J351" i="1"/>
  <c r="I351" i="1"/>
  <c r="F351" i="1"/>
  <c r="K350" i="1"/>
  <c r="J350" i="1"/>
  <c r="I350" i="1"/>
  <c r="F350" i="1"/>
  <c r="K349" i="1"/>
  <c r="J349" i="1"/>
  <c r="I349" i="1"/>
  <c r="F349" i="1"/>
  <c r="K348" i="1"/>
  <c r="J348" i="1"/>
  <c r="I348" i="1"/>
  <c r="F348" i="1"/>
  <c r="K347" i="1"/>
  <c r="J347" i="1"/>
  <c r="I347" i="1"/>
  <c r="F347" i="1"/>
  <c r="K346" i="1"/>
  <c r="J346" i="1"/>
  <c r="I346" i="1"/>
  <c r="F346" i="1"/>
  <c r="K345" i="1"/>
  <c r="J345" i="1"/>
  <c r="I345" i="1"/>
  <c r="F345" i="1"/>
  <c r="K344" i="1"/>
  <c r="J344" i="1"/>
  <c r="I344" i="1"/>
  <c r="F344" i="1"/>
  <c r="K343" i="1"/>
  <c r="J343" i="1"/>
  <c r="I343" i="1"/>
  <c r="F343" i="1"/>
  <c r="K342" i="1"/>
  <c r="J342" i="1"/>
  <c r="I342" i="1"/>
  <c r="F342" i="1"/>
  <c r="K341" i="1"/>
  <c r="J341" i="1"/>
  <c r="I341" i="1"/>
  <c r="F341" i="1"/>
  <c r="K340" i="1"/>
  <c r="J340" i="1"/>
  <c r="I340" i="1"/>
  <c r="F340" i="1"/>
  <c r="K339" i="1"/>
  <c r="J339" i="1"/>
  <c r="I339" i="1"/>
  <c r="F339" i="1"/>
  <c r="K338" i="1"/>
  <c r="J338" i="1"/>
  <c r="I338" i="1"/>
  <c r="F338" i="1"/>
  <c r="K337" i="1"/>
  <c r="J337" i="1"/>
  <c r="I337" i="1"/>
  <c r="F337" i="1"/>
  <c r="K336" i="1"/>
  <c r="J336" i="1"/>
  <c r="I336" i="1"/>
  <c r="F336" i="1"/>
  <c r="K335" i="1"/>
  <c r="J335" i="1"/>
  <c r="I335" i="1"/>
  <c r="F335" i="1"/>
  <c r="K334" i="1"/>
  <c r="J334" i="1"/>
  <c r="I334" i="1"/>
  <c r="F334" i="1"/>
  <c r="K333" i="1"/>
  <c r="J333" i="1"/>
  <c r="I333" i="1"/>
  <c r="F333" i="1"/>
  <c r="K332" i="1"/>
  <c r="J332" i="1"/>
  <c r="I332" i="1"/>
  <c r="F332" i="1"/>
  <c r="K331" i="1"/>
  <c r="J331" i="1"/>
  <c r="I331" i="1"/>
  <c r="F331" i="1"/>
  <c r="K330" i="1"/>
  <c r="J330" i="1"/>
  <c r="I330" i="1"/>
  <c r="F330" i="1"/>
  <c r="K329" i="1"/>
  <c r="J329" i="1"/>
  <c r="I329" i="1"/>
  <c r="F329" i="1"/>
  <c r="K328" i="1"/>
  <c r="J328" i="1"/>
  <c r="I328" i="1"/>
  <c r="F328" i="1"/>
  <c r="K327" i="1"/>
  <c r="J327" i="1"/>
  <c r="I327" i="1"/>
  <c r="F327" i="1"/>
  <c r="K326" i="1"/>
  <c r="J326" i="1"/>
  <c r="I326" i="1"/>
  <c r="F326" i="1"/>
  <c r="K325" i="1"/>
  <c r="J325" i="1"/>
  <c r="I325" i="1"/>
  <c r="F325" i="1"/>
  <c r="K324" i="1"/>
  <c r="J324" i="1"/>
  <c r="I324" i="1"/>
  <c r="F324" i="1"/>
  <c r="K323" i="1"/>
  <c r="J323" i="1"/>
  <c r="I323" i="1"/>
  <c r="F323" i="1"/>
  <c r="K322" i="1"/>
  <c r="J322" i="1"/>
  <c r="I322" i="1"/>
  <c r="F322" i="1"/>
  <c r="K321" i="1"/>
  <c r="J321" i="1"/>
  <c r="I321" i="1"/>
  <c r="F321" i="1"/>
  <c r="K320" i="1"/>
  <c r="J320" i="1"/>
  <c r="I320" i="1"/>
  <c r="F320" i="1"/>
  <c r="K319" i="1"/>
  <c r="J319" i="1"/>
  <c r="I319" i="1"/>
  <c r="F319" i="1"/>
  <c r="K318" i="1"/>
  <c r="J318" i="1"/>
  <c r="I318" i="1"/>
  <c r="F318" i="1"/>
  <c r="K317" i="1"/>
  <c r="J317" i="1"/>
  <c r="I317" i="1"/>
  <c r="F317" i="1"/>
  <c r="K316" i="1"/>
  <c r="J316" i="1"/>
  <c r="I316" i="1"/>
  <c r="F316" i="1"/>
  <c r="K315" i="1"/>
  <c r="J315" i="1"/>
  <c r="I315" i="1"/>
  <c r="F315" i="1"/>
  <c r="K314" i="1"/>
  <c r="J314" i="1"/>
  <c r="I314" i="1"/>
  <c r="F314" i="1"/>
  <c r="K313" i="1"/>
  <c r="J313" i="1"/>
  <c r="I313" i="1"/>
  <c r="F313" i="1"/>
  <c r="K312" i="1"/>
  <c r="J312" i="1"/>
  <c r="I312" i="1"/>
  <c r="F312" i="1"/>
  <c r="K311" i="1"/>
  <c r="J311" i="1"/>
  <c r="I311" i="1"/>
  <c r="F311" i="1"/>
  <c r="K310" i="1"/>
  <c r="J310" i="1"/>
  <c r="I310" i="1"/>
  <c r="F310" i="1"/>
  <c r="K309" i="1"/>
  <c r="J309" i="1"/>
  <c r="I309" i="1"/>
  <c r="F309" i="1"/>
  <c r="K308" i="1"/>
  <c r="J308" i="1"/>
  <c r="I308" i="1"/>
  <c r="F308" i="1"/>
  <c r="K307" i="1"/>
  <c r="J307" i="1"/>
  <c r="I307" i="1"/>
  <c r="F307" i="1"/>
  <c r="K306" i="1"/>
  <c r="J306" i="1"/>
  <c r="I306" i="1"/>
  <c r="F306" i="1"/>
  <c r="K305" i="1"/>
  <c r="J305" i="1"/>
  <c r="I305" i="1"/>
  <c r="F305" i="1"/>
  <c r="K304" i="1"/>
  <c r="J304" i="1"/>
  <c r="I304" i="1"/>
  <c r="F304" i="1"/>
  <c r="K303" i="1"/>
  <c r="J303" i="1"/>
  <c r="I303" i="1"/>
  <c r="F303" i="1"/>
  <c r="K302" i="1"/>
  <c r="J302" i="1"/>
  <c r="I302" i="1"/>
  <c r="F302" i="1"/>
  <c r="K301" i="1"/>
  <c r="J301" i="1"/>
  <c r="I301" i="1"/>
  <c r="F301" i="1"/>
  <c r="K300" i="1"/>
  <c r="J300" i="1"/>
  <c r="I300" i="1"/>
  <c r="F300" i="1"/>
  <c r="K299" i="1"/>
  <c r="J299" i="1"/>
  <c r="I299" i="1"/>
  <c r="F299" i="1"/>
  <c r="K298" i="1"/>
  <c r="J298" i="1"/>
  <c r="I298" i="1"/>
  <c r="F298" i="1"/>
  <c r="K297" i="1"/>
  <c r="J297" i="1"/>
  <c r="I297" i="1"/>
  <c r="F297" i="1"/>
  <c r="K296" i="1"/>
  <c r="J296" i="1"/>
  <c r="I296" i="1"/>
  <c r="F296" i="1"/>
  <c r="K295" i="1"/>
  <c r="J295" i="1"/>
  <c r="I295" i="1"/>
  <c r="F295" i="1"/>
  <c r="K294" i="1"/>
  <c r="J294" i="1"/>
  <c r="I294" i="1"/>
  <c r="F294" i="1"/>
  <c r="K293" i="1"/>
  <c r="J293" i="1"/>
  <c r="I293" i="1"/>
  <c r="F293" i="1"/>
  <c r="K292" i="1"/>
  <c r="J292" i="1"/>
  <c r="I292" i="1"/>
  <c r="F292" i="1"/>
  <c r="K291" i="1"/>
  <c r="J291" i="1"/>
  <c r="I291" i="1"/>
  <c r="F291" i="1"/>
  <c r="K290" i="1"/>
  <c r="J290" i="1"/>
  <c r="I290" i="1"/>
  <c r="F290" i="1"/>
  <c r="K289" i="1"/>
  <c r="J289" i="1"/>
  <c r="I289" i="1"/>
  <c r="F289" i="1"/>
  <c r="K288" i="1"/>
  <c r="J288" i="1"/>
  <c r="I288" i="1"/>
  <c r="F288" i="1"/>
  <c r="K287" i="1"/>
  <c r="J287" i="1"/>
  <c r="I287" i="1"/>
  <c r="F287" i="1"/>
  <c r="K286" i="1"/>
  <c r="J286" i="1"/>
  <c r="I286" i="1"/>
  <c r="F286" i="1"/>
  <c r="K285" i="1"/>
  <c r="J285" i="1"/>
  <c r="I285" i="1"/>
  <c r="F285" i="1"/>
  <c r="K284" i="1"/>
  <c r="J284" i="1"/>
  <c r="I284" i="1"/>
  <c r="F284" i="1"/>
  <c r="K283" i="1"/>
  <c r="J283" i="1"/>
  <c r="I283" i="1"/>
  <c r="F283" i="1"/>
  <c r="K282" i="1"/>
  <c r="J282" i="1"/>
  <c r="I282" i="1"/>
  <c r="F282" i="1"/>
  <c r="K281" i="1"/>
  <c r="J281" i="1"/>
  <c r="I281" i="1"/>
  <c r="F281" i="1"/>
  <c r="K280" i="1"/>
  <c r="J280" i="1"/>
  <c r="I280" i="1"/>
  <c r="F280" i="1"/>
  <c r="K279" i="1"/>
  <c r="J279" i="1"/>
  <c r="I279" i="1"/>
  <c r="F279" i="1"/>
  <c r="K278" i="1"/>
  <c r="J278" i="1"/>
  <c r="I278" i="1"/>
  <c r="F278" i="1"/>
  <c r="K277" i="1"/>
  <c r="J277" i="1"/>
  <c r="I277" i="1"/>
  <c r="F277" i="1"/>
  <c r="K276" i="1"/>
  <c r="J276" i="1"/>
  <c r="I276" i="1"/>
  <c r="F276" i="1"/>
  <c r="K275" i="1"/>
  <c r="J275" i="1"/>
  <c r="I275" i="1"/>
  <c r="F275" i="1"/>
  <c r="K274" i="1"/>
  <c r="J274" i="1"/>
  <c r="I274" i="1"/>
  <c r="F274" i="1"/>
  <c r="K273" i="1"/>
  <c r="J273" i="1"/>
  <c r="I273" i="1"/>
  <c r="F273" i="1"/>
  <c r="K272" i="1"/>
  <c r="J272" i="1"/>
  <c r="I272" i="1"/>
  <c r="F272" i="1"/>
  <c r="K271" i="1"/>
  <c r="J271" i="1"/>
  <c r="I271" i="1"/>
  <c r="F271" i="1"/>
  <c r="K270" i="1"/>
  <c r="J270" i="1"/>
  <c r="I270" i="1"/>
  <c r="F270" i="1"/>
  <c r="K269" i="1"/>
  <c r="J269" i="1"/>
  <c r="I269" i="1"/>
  <c r="F269" i="1"/>
  <c r="K268" i="1"/>
  <c r="J268" i="1"/>
  <c r="I268" i="1"/>
  <c r="F268" i="1"/>
  <c r="K267" i="1"/>
  <c r="J267" i="1"/>
  <c r="I267" i="1"/>
  <c r="F267" i="1"/>
  <c r="K266" i="1"/>
  <c r="J266" i="1"/>
  <c r="I266" i="1"/>
  <c r="F266" i="1"/>
  <c r="K265" i="1"/>
  <c r="J265" i="1"/>
  <c r="I265" i="1"/>
  <c r="F265" i="1"/>
  <c r="K264" i="1"/>
  <c r="J264" i="1"/>
  <c r="I264" i="1"/>
  <c r="F264" i="1"/>
  <c r="K263" i="1"/>
  <c r="J263" i="1"/>
  <c r="I263" i="1"/>
  <c r="F263" i="1"/>
  <c r="K262" i="1"/>
  <c r="J262" i="1"/>
  <c r="I262" i="1"/>
  <c r="F262" i="1"/>
  <c r="K261" i="1"/>
  <c r="J261" i="1"/>
  <c r="I261" i="1"/>
  <c r="F261" i="1"/>
  <c r="K260" i="1"/>
  <c r="J260" i="1"/>
  <c r="I260" i="1"/>
  <c r="F260" i="1"/>
  <c r="K259" i="1"/>
  <c r="J259" i="1"/>
  <c r="I259" i="1"/>
  <c r="F259" i="1"/>
  <c r="K258" i="1"/>
  <c r="J258" i="1"/>
  <c r="I258" i="1"/>
  <c r="F258" i="1"/>
  <c r="K257" i="1"/>
  <c r="J257" i="1"/>
  <c r="I257" i="1"/>
  <c r="F257" i="1"/>
  <c r="K256" i="1"/>
  <c r="J256" i="1"/>
  <c r="I256" i="1"/>
  <c r="F256" i="1"/>
  <c r="K255" i="1"/>
  <c r="J255" i="1"/>
  <c r="I255" i="1"/>
  <c r="F255" i="1"/>
  <c r="K254" i="1"/>
  <c r="J254" i="1"/>
  <c r="I254" i="1"/>
  <c r="F254" i="1"/>
  <c r="K253" i="1"/>
  <c r="J253" i="1"/>
  <c r="I253" i="1"/>
  <c r="F253" i="1"/>
  <c r="K252" i="1"/>
  <c r="J252" i="1"/>
  <c r="I252" i="1"/>
  <c r="F252" i="1"/>
  <c r="K251" i="1"/>
  <c r="J251" i="1"/>
  <c r="I251" i="1"/>
  <c r="F251" i="1"/>
  <c r="K250" i="1"/>
  <c r="J250" i="1"/>
  <c r="I250" i="1"/>
  <c r="F250" i="1"/>
  <c r="K249" i="1"/>
  <c r="J249" i="1"/>
  <c r="I249" i="1"/>
  <c r="F249" i="1"/>
  <c r="K248" i="1"/>
  <c r="J248" i="1"/>
  <c r="I248" i="1"/>
  <c r="F248" i="1"/>
  <c r="K247" i="1"/>
  <c r="J247" i="1"/>
  <c r="I247" i="1"/>
  <c r="F247" i="1"/>
  <c r="K246" i="1"/>
  <c r="J246" i="1"/>
  <c r="I246" i="1"/>
  <c r="F246" i="1"/>
  <c r="K245" i="1"/>
  <c r="J245" i="1"/>
  <c r="I245" i="1"/>
  <c r="F245" i="1"/>
  <c r="K244" i="1"/>
  <c r="J244" i="1"/>
  <c r="I244" i="1"/>
  <c r="F244" i="1"/>
  <c r="K243" i="1"/>
  <c r="J243" i="1"/>
  <c r="I243" i="1"/>
  <c r="F243" i="1"/>
  <c r="K242" i="1"/>
  <c r="J242" i="1"/>
  <c r="I242" i="1"/>
  <c r="F242" i="1"/>
  <c r="K241" i="1"/>
  <c r="J241" i="1"/>
  <c r="I241" i="1"/>
  <c r="F241" i="1"/>
  <c r="K240" i="1"/>
  <c r="J240" i="1"/>
  <c r="I240" i="1"/>
  <c r="F240" i="1"/>
  <c r="K239" i="1"/>
  <c r="J239" i="1"/>
  <c r="I239" i="1"/>
  <c r="F239" i="1"/>
  <c r="K238" i="1"/>
  <c r="J238" i="1"/>
  <c r="I238" i="1"/>
  <c r="F238" i="1"/>
  <c r="K237" i="1"/>
  <c r="J237" i="1"/>
  <c r="I237" i="1"/>
  <c r="F237" i="1"/>
  <c r="K236" i="1"/>
  <c r="J236" i="1"/>
  <c r="I236" i="1"/>
  <c r="F236" i="1"/>
  <c r="K235" i="1"/>
  <c r="J235" i="1"/>
  <c r="I235" i="1"/>
  <c r="F235" i="1"/>
  <c r="K234" i="1"/>
  <c r="J234" i="1"/>
  <c r="I234" i="1"/>
  <c r="F234" i="1"/>
  <c r="K233" i="1"/>
  <c r="J233" i="1"/>
  <c r="I233" i="1"/>
  <c r="F233" i="1"/>
  <c r="K232" i="1"/>
  <c r="J232" i="1"/>
  <c r="I232" i="1"/>
  <c r="F232" i="1"/>
  <c r="K231" i="1"/>
  <c r="J231" i="1"/>
  <c r="I231" i="1"/>
  <c r="F231" i="1"/>
  <c r="K230" i="1"/>
  <c r="J230" i="1"/>
  <c r="I230" i="1"/>
  <c r="F230" i="1"/>
  <c r="K229" i="1"/>
  <c r="J229" i="1"/>
  <c r="I229" i="1"/>
  <c r="F229" i="1"/>
  <c r="K228" i="1"/>
  <c r="J228" i="1"/>
  <c r="I228" i="1"/>
  <c r="F228" i="1"/>
  <c r="K227" i="1"/>
  <c r="J227" i="1"/>
  <c r="I227" i="1"/>
  <c r="F227" i="1"/>
  <c r="K226" i="1"/>
  <c r="J226" i="1"/>
  <c r="I226" i="1"/>
  <c r="F226" i="1"/>
  <c r="K225" i="1"/>
  <c r="J225" i="1"/>
  <c r="I225" i="1"/>
  <c r="F225" i="1"/>
  <c r="K224" i="1"/>
  <c r="J224" i="1"/>
  <c r="I224" i="1"/>
  <c r="F224" i="1"/>
  <c r="K223" i="1"/>
  <c r="J223" i="1"/>
  <c r="I223" i="1"/>
  <c r="F223" i="1"/>
  <c r="K222" i="1"/>
  <c r="J222" i="1"/>
  <c r="I222" i="1"/>
  <c r="F222" i="1"/>
  <c r="K221" i="1"/>
  <c r="J221" i="1"/>
  <c r="I221" i="1"/>
  <c r="F221" i="1"/>
  <c r="K220" i="1"/>
  <c r="J220" i="1"/>
  <c r="I220" i="1"/>
  <c r="F220" i="1"/>
  <c r="K219" i="1"/>
  <c r="J219" i="1"/>
  <c r="I219" i="1"/>
  <c r="F219" i="1"/>
  <c r="K218" i="1"/>
  <c r="J218" i="1"/>
  <c r="I218" i="1"/>
  <c r="F218" i="1"/>
  <c r="K217" i="1"/>
  <c r="J217" i="1"/>
  <c r="I217" i="1"/>
  <c r="F217" i="1"/>
  <c r="K216" i="1"/>
  <c r="J216" i="1"/>
  <c r="I216" i="1"/>
  <c r="F216" i="1"/>
  <c r="K215" i="1"/>
  <c r="J215" i="1"/>
  <c r="I215" i="1"/>
  <c r="F215" i="1"/>
  <c r="K214" i="1"/>
  <c r="J214" i="1"/>
  <c r="I214" i="1"/>
  <c r="F214" i="1"/>
  <c r="K213" i="1"/>
  <c r="J213" i="1"/>
  <c r="I213" i="1"/>
  <c r="F213" i="1"/>
  <c r="K212" i="1"/>
  <c r="J212" i="1"/>
  <c r="I212" i="1"/>
  <c r="F212" i="1"/>
  <c r="K211" i="1"/>
  <c r="J211" i="1"/>
  <c r="I211" i="1"/>
  <c r="F211" i="1"/>
  <c r="K210" i="1"/>
  <c r="J210" i="1"/>
  <c r="I210" i="1"/>
  <c r="F210" i="1"/>
  <c r="K209" i="1"/>
  <c r="J209" i="1"/>
  <c r="I209" i="1"/>
  <c r="F209" i="1"/>
  <c r="K208" i="1"/>
  <c r="J208" i="1"/>
  <c r="I208" i="1"/>
  <c r="F208" i="1"/>
  <c r="K207" i="1"/>
  <c r="J207" i="1"/>
  <c r="I207" i="1"/>
  <c r="F207" i="1"/>
  <c r="K206" i="1"/>
  <c r="J206" i="1"/>
  <c r="I206" i="1"/>
  <c r="F206" i="1"/>
  <c r="K205" i="1"/>
  <c r="J205" i="1"/>
  <c r="I205" i="1"/>
  <c r="F205" i="1"/>
  <c r="K204" i="1"/>
  <c r="J204" i="1"/>
  <c r="I204" i="1"/>
  <c r="F204" i="1"/>
  <c r="K203" i="1"/>
  <c r="J203" i="1"/>
  <c r="I203" i="1"/>
  <c r="F203" i="1"/>
  <c r="K202" i="1"/>
  <c r="J202" i="1"/>
  <c r="I202" i="1"/>
  <c r="F202" i="1"/>
  <c r="K201" i="1"/>
  <c r="J201" i="1"/>
  <c r="I201" i="1"/>
  <c r="F201" i="1"/>
  <c r="K200" i="1"/>
  <c r="J200" i="1"/>
  <c r="I200" i="1"/>
  <c r="F200" i="1"/>
  <c r="K199" i="1"/>
  <c r="J199" i="1"/>
  <c r="I199" i="1"/>
  <c r="F199" i="1"/>
  <c r="K198" i="1"/>
  <c r="J198" i="1"/>
  <c r="I198" i="1"/>
  <c r="F198" i="1"/>
  <c r="K197" i="1"/>
  <c r="J197" i="1"/>
  <c r="I197" i="1"/>
  <c r="F197" i="1"/>
  <c r="K196" i="1"/>
  <c r="J196" i="1"/>
  <c r="I196" i="1"/>
  <c r="F196" i="1"/>
  <c r="K195" i="1"/>
  <c r="J195" i="1"/>
  <c r="I195" i="1"/>
  <c r="F195" i="1"/>
  <c r="K194" i="1"/>
  <c r="J194" i="1"/>
  <c r="I194" i="1"/>
  <c r="F194" i="1"/>
  <c r="K193" i="1"/>
  <c r="J193" i="1"/>
  <c r="I193" i="1"/>
  <c r="F193" i="1"/>
  <c r="K192" i="1"/>
  <c r="J192" i="1"/>
  <c r="I192" i="1"/>
  <c r="F192" i="1"/>
  <c r="K191" i="1"/>
  <c r="J191" i="1"/>
  <c r="I191" i="1"/>
  <c r="F191" i="1"/>
  <c r="K190" i="1"/>
  <c r="J190" i="1"/>
  <c r="I190" i="1"/>
  <c r="F190" i="1"/>
  <c r="K189" i="1"/>
  <c r="J189" i="1"/>
  <c r="I189" i="1"/>
  <c r="F189" i="1"/>
  <c r="K188" i="1"/>
  <c r="J188" i="1"/>
  <c r="I188" i="1"/>
  <c r="F188" i="1"/>
  <c r="K187" i="1"/>
  <c r="J187" i="1"/>
  <c r="I187" i="1"/>
  <c r="F187" i="1"/>
  <c r="K186" i="1"/>
  <c r="J186" i="1"/>
  <c r="I186" i="1"/>
  <c r="F186" i="1"/>
  <c r="K185" i="1"/>
  <c r="J185" i="1"/>
  <c r="I185" i="1"/>
  <c r="F185" i="1"/>
  <c r="K184" i="1"/>
  <c r="J184" i="1"/>
  <c r="I184" i="1"/>
  <c r="F184" i="1"/>
  <c r="K183" i="1"/>
  <c r="J183" i="1"/>
  <c r="I183" i="1"/>
  <c r="F183" i="1"/>
  <c r="K182" i="1"/>
  <c r="J182" i="1"/>
  <c r="I182" i="1"/>
  <c r="F182" i="1"/>
  <c r="K181" i="1"/>
  <c r="J181" i="1"/>
  <c r="I181" i="1"/>
  <c r="F181" i="1"/>
  <c r="K180" i="1"/>
  <c r="J180" i="1"/>
  <c r="I180" i="1"/>
  <c r="F180" i="1"/>
  <c r="K179" i="1"/>
  <c r="J179" i="1"/>
  <c r="I179" i="1"/>
  <c r="F179" i="1"/>
  <c r="K178" i="1"/>
  <c r="J178" i="1"/>
  <c r="I178" i="1"/>
  <c r="F178" i="1"/>
  <c r="K177" i="1"/>
  <c r="J177" i="1"/>
  <c r="I177" i="1"/>
  <c r="F177" i="1"/>
  <c r="K176" i="1"/>
  <c r="J176" i="1"/>
  <c r="I176" i="1"/>
  <c r="F176" i="1"/>
  <c r="K175" i="1"/>
  <c r="J175" i="1"/>
  <c r="I175" i="1"/>
  <c r="F175" i="1"/>
  <c r="K174" i="1"/>
  <c r="J174" i="1"/>
  <c r="I174" i="1"/>
  <c r="F174" i="1"/>
  <c r="K173" i="1"/>
  <c r="J173" i="1"/>
  <c r="I173" i="1"/>
  <c r="F173" i="1"/>
  <c r="K172" i="1"/>
  <c r="J172" i="1"/>
  <c r="I172" i="1"/>
  <c r="F172" i="1"/>
  <c r="K171" i="1"/>
  <c r="J171" i="1"/>
  <c r="I171" i="1"/>
  <c r="F171" i="1"/>
  <c r="K170" i="1"/>
  <c r="J170" i="1"/>
  <c r="I170" i="1"/>
  <c r="F170" i="1"/>
  <c r="K169" i="1"/>
  <c r="J169" i="1"/>
  <c r="I169" i="1"/>
  <c r="F169" i="1"/>
  <c r="K168" i="1"/>
  <c r="J168" i="1"/>
  <c r="I168" i="1"/>
  <c r="F168" i="1"/>
  <c r="K167" i="1"/>
  <c r="J167" i="1"/>
  <c r="I167" i="1"/>
  <c r="F167" i="1"/>
  <c r="K166" i="1"/>
  <c r="J166" i="1"/>
  <c r="I166" i="1"/>
  <c r="F166" i="1"/>
  <c r="K165" i="1"/>
  <c r="J165" i="1"/>
  <c r="I165" i="1"/>
  <c r="F165" i="1"/>
  <c r="K164" i="1"/>
  <c r="J164" i="1"/>
  <c r="I164" i="1"/>
  <c r="F164" i="1"/>
  <c r="K163" i="1"/>
  <c r="J163" i="1"/>
  <c r="I163" i="1"/>
  <c r="F163" i="1"/>
  <c r="K162" i="1"/>
  <c r="J162" i="1"/>
  <c r="I162" i="1"/>
  <c r="F162" i="1"/>
  <c r="K161" i="1"/>
  <c r="J161" i="1"/>
  <c r="I161" i="1"/>
  <c r="F161" i="1"/>
  <c r="K160" i="1"/>
  <c r="J160" i="1"/>
  <c r="I160" i="1"/>
  <c r="F160" i="1"/>
  <c r="K159" i="1"/>
  <c r="J159" i="1"/>
  <c r="I159" i="1"/>
  <c r="F159" i="1"/>
  <c r="K158" i="1"/>
  <c r="J158" i="1"/>
  <c r="I158" i="1"/>
  <c r="F158" i="1"/>
  <c r="K157" i="1"/>
  <c r="J157" i="1"/>
  <c r="I157" i="1"/>
  <c r="F157" i="1"/>
  <c r="K156" i="1"/>
  <c r="J156" i="1"/>
  <c r="I156" i="1"/>
  <c r="F156" i="1"/>
  <c r="K155" i="1"/>
  <c r="J155" i="1"/>
  <c r="I155" i="1"/>
  <c r="F155" i="1"/>
  <c r="K154" i="1"/>
  <c r="J154" i="1"/>
  <c r="I154" i="1"/>
  <c r="F154" i="1"/>
  <c r="K153" i="1"/>
  <c r="J153" i="1"/>
  <c r="I153" i="1"/>
  <c r="F153" i="1"/>
  <c r="K152" i="1"/>
  <c r="J152" i="1"/>
  <c r="I152" i="1"/>
  <c r="F152" i="1"/>
  <c r="K151" i="1"/>
  <c r="J151" i="1"/>
  <c r="I151" i="1"/>
  <c r="F151" i="1"/>
  <c r="K150" i="1"/>
  <c r="J150" i="1"/>
  <c r="I150" i="1"/>
  <c r="F150" i="1"/>
  <c r="K149" i="1"/>
  <c r="J149" i="1"/>
  <c r="I149" i="1"/>
  <c r="F149" i="1"/>
  <c r="K148" i="1"/>
  <c r="J148" i="1"/>
  <c r="I148" i="1"/>
  <c r="F148" i="1"/>
  <c r="K147" i="1"/>
  <c r="J147" i="1"/>
  <c r="I147" i="1"/>
  <c r="F147" i="1"/>
  <c r="K146" i="1"/>
  <c r="J146" i="1"/>
  <c r="I146" i="1"/>
  <c r="F146" i="1"/>
  <c r="K145" i="1"/>
  <c r="J145" i="1"/>
  <c r="I145" i="1"/>
  <c r="F145" i="1"/>
  <c r="K144" i="1"/>
  <c r="J144" i="1"/>
  <c r="I144" i="1"/>
  <c r="F144" i="1"/>
  <c r="K143" i="1"/>
  <c r="J143" i="1"/>
  <c r="I143" i="1"/>
  <c r="F143" i="1"/>
  <c r="K142" i="1"/>
  <c r="J142" i="1"/>
  <c r="I142" i="1"/>
  <c r="F142" i="1"/>
  <c r="K141" i="1"/>
  <c r="J141" i="1"/>
  <c r="I141" i="1"/>
  <c r="F141" i="1"/>
  <c r="K140" i="1"/>
  <c r="J140" i="1"/>
  <c r="I140" i="1"/>
  <c r="F140" i="1"/>
  <c r="K139" i="1"/>
  <c r="J139" i="1"/>
  <c r="I139" i="1"/>
  <c r="F139" i="1"/>
  <c r="K138" i="1"/>
  <c r="J138" i="1"/>
  <c r="I138" i="1"/>
  <c r="F138" i="1"/>
  <c r="K137" i="1"/>
  <c r="J137" i="1"/>
  <c r="I137" i="1"/>
  <c r="F137" i="1"/>
  <c r="K136" i="1"/>
  <c r="J136" i="1"/>
  <c r="I136" i="1"/>
  <c r="F136" i="1"/>
  <c r="K135" i="1"/>
  <c r="J135" i="1"/>
  <c r="I135" i="1"/>
  <c r="F135" i="1"/>
  <c r="K134" i="1"/>
  <c r="J134" i="1"/>
  <c r="I134" i="1"/>
  <c r="F134" i="1"/>
  <c r="K133" i="1"/>
  <c r="J133" i="1"/>
  <c r="I133" i="1"/>
  <c r="F133" i="1"/>
  <c r="K132" i="1"/>
  <c r="J132" i="1"/>
  <c r="I132" i="1"/>
  <c r="F132" i="1"/>
  <c r="K131" i="1"/>
  <c r="J131" i="1"/>
  <c r="I131" i="1"/>
  <c r="F131" i="1"/>
  <c r="K130" i="1"/>
  <c r="J130" i="1"/>
  <c r="I130" i="1"/>
  <c r="F130" i="1"/>
  <c r="K129" i="1"/>
  <c r="J129" i="1"/>
  <c r="I129" i="1"/>
  <c r="F129" i="1"/>
  <c r="K128" i="1"/>
  <c r="J128" i="1"/>
  <c r="I128" i="1"/>
  <c r="F128" i="1"/>
  <c r="K127" i="1"/>
  <c r="J127" i="1"/>
  <c r="I127" i="1"/>
  <c r="F127" i="1"/>
  <c r="K126" i="1"/>
  <c r="J126" i="1"/>
  <c r="I126" i="1"/>
  <c r="F126" i="1"/>
  <c r="K125" i="1"/>
  <c r="J125" i="1"/>
  <c r="I125" i="1"/>
  <c r="F125" i="1"/>
  <c r="K124" i="1"/>
  <c r="J124" i="1"/>
  <c r="I124" i="1"/>
  <c r="F124" i="1"/>
  <c r="K123" i="1"/>
  <c r="J123" i="1"/>
  <c r="I123" i="1"/>
  <c r="F123" i="1"/>
  <c r="K122" i="1"/>
  <c r="J122" i="1"/>
  <c r="I122" i="1"/>
  <c r="F122" i="1"/>
  <c r="K121" i="1"/>
  <c r="J121" i="1"/>
  <c r="I121" i="1"/>
  <c r="F121" i="1"/>
  <c r="K120" i="1"/>
  <c r="J120" i="1"/>
  <c r="I120" i="1"/>
  <c r="F120" i="1"/>
  <c r="K119" i="1"/>
  <c r="J119" i="1"/>
  <c r="I119" i="1"/>
  <c r="F119" i="1"/>
  <c r="K118" i="1"/>
  <c r="J118" i="1"/>
  <c r="I118" i="1"/>
  <c r="F118" i="1"/>
  <c r="K117" i="1"/>
  <c r="J117" i="1"/>
  <c r="I117" i="1"/>
  <c r="F117" i="1"/>
  <c r="K116" i="1"/>
  <c r="J116" i="1"/>
  <c r="I116" i="1"/>
  <c r="F116" i="1"/>
  <c r="K115" i="1"/>
  <c r="J115" i="1"/>
  <c r="I115" i="1"/>
  <c r="F115" i="1"/>
  <c r="K114" i="1"/>
  <c r="J114" i="1"/>
  <c r="I114" i="1"/>
  <c r="F114" i="1"/>
  <c r="K113" i="1"/>
  <c r="J113" i="1"/>
  <c r="I113" i="1"/>
  <c r="F113" i="1"/>
  <c r="K112" i="1"/>
  <c r="J112" i="1"/>
  <c r="I112" i="1"/>
  <c r="F112" i="1"/>
  <c r="K111" i="1"/>
  <c r="J111" i="1"/>
  <c r="I111" i="1"/>
  <c r="F111" i="1"/>
  <c r="K110" i="1"/>
  <c r="J110" i="1"/>
  <c r="I110" i="1"/>
  <c r="F110" i="1"/>
  <c r="K109" i="1"/>
  <c r="J109" i="1"/>
  <c r="I109" i="1"/>
  <c r="F109" i="1"/>
  <c r="K108" i="1"/>
  <c r="J108" i="1"/>
  <c r="I108" i="1"/>
  <c r="F108" i="1"/>
  <c r="K107" i="1"/>
  <c r="J107" i="1"/>
  <c r="I107" i="1"/>
  <c r="F107" i="1"/>
  <c r="K106" i="1"/>
  <c r="J106" i="1"/>
  <c r="I106" i="1"/>
  <c r="F106" i="1"/>
  <c r="K105" i="1"/>
  <c r="J105" i="1"/>
  <c r="I105" i="1"/>
  <c r="F105" i="1"/>
  <c r="K104" i="1"/>
  <c r="J104" i="1"/>
  <c r="I104" i="1"/>
  <c r="F104" i="1"/>
  <c r="K103" i="1"/>
  <c r="J103" i="1"/>
  <c r="I103" i="1"/>
  <c r="F103" i="1"/>
  <c r="K102" i="1"/>
  <c r="J102" i="1"/>
  <c r="I102" i="1"/>
  <c r="F102" i="1"/>
  <c r="K101" i="1"/>
  <c r="J101" i="1"/>
  <c r="I101" i="1"/>
  <c r="F101" i="1"/>
  <c r="K100" i="1"/>
  <c r="J100" i="1"/>
  <c r="I100" i="1"/>
  <c r="F100" i="1"/>
  <c r="K99" i="1"/>
  <c r="J99" i="1"/>
  <c r="I99" i="1"/>
  <c r="F99" i="1"/>
  <c r="K98" i="1"/>
  <c r="J98" i="1"/>
  <c r="I98" i="1"/>
  <c r="F98" i="1"/>
  <c r="K97" i="1"/>
  <c r="J97" i="1"/>
  <c r="I97" i="1"/>
  <c r="F97" i="1"/>
  <c r="K96" i="1"/>
  <c r="J96" i="1"/>
  <c r="I96" i="1"/>
  <c r="F96" i="1"/>
  <c r="K95" i="1"/>
  <c r="J95" i="1"/>
  <c r="I95" i="1"/>
  <c r="F95" i="1"/>
  <c r="K94" i="1"/>
  <c r="J94" i="1"/>
  <c r="I94" i="1"/>
  <c r="F94" i="1"/>
  <c r="K93" i="1"/>
  <c r="J93" i="1"/>
  <c r="I93" i="1"/>
  <c r="F93" i="1"/>
  <c r="K92" i="1"/>
  <c r="J92" i="1"/>
  <c r="I92" i="1"/>
  <c r="F92" i="1"/>
  <c r="K91" i="1"/>
  <c r="J91" i="1"/>
  <c r="I91" i="1"/>
  <c r="F91" i="1"/>
  <c r="K90" i="1"/>
  <c r="J90" i="1"/>
  <c r="I90" i="1"/>
  <c r="F90" i="1"/>
  <c r="K89" i="1"/>
  <c r="J89" i="1"/>
  <c r="I89" i="1"/>
  <c r="F89" i="1"/>
  <c r="K88" i="1"/>
  <c r="J88" i="1"/>
  <c r="I88" i="1"/>
  <c r="F88" i="1"/>
  <c r="K87" i="1"/>
  <c r="J87" i="1"/>
  <c r="I87" i="1"/>
  <c r="F87" i="1"/>
  <c r="K86" i="1"/>
  <c r="J86" i="1"/>
  <c r="I86" i="1"/>
  <c r="F86" i="1"/>
  <c r="K85" i="1"/>
  <c r="J85" i="1"/>
  <c r="I85" i="1"/>
  <c r="F85" i="1"/>
  <c r="K84" i="1"/>
  <c r="J84" i="1"/>
  <c r="I84" i="1"/>
  <c r="F84" i="1"/>
  <c r="K83" i="1"/>
  <c r="J83" i="1"/>
  <c r="I83" i="1"/>
  <c r="F83" i="1"/>
  <c r="K82" i="1"/>
  <c r="J82" i="1"/>
  <c r="I82" i="1"/>
  <c r="F82" i="1"/>
  <c r="K81" i="1"/>
  <c r="J81" i="1"/>
  <c r="I81" i="1"/>
  <c r="F81" i="1"/>
  <c r="K80" i="1"/>
  <c r="J80" i="1"/>
  <c r="I80" i="1"/>
  <c r="F80" i="1"/>
  <c r="K79" i="1"/>
  <c r="J79" i="1"/>
  <c r="I79" i="1"/>
  <c r="F79" i="1"/>
  <c r="K78" i="1"/>
  <c r="J78" i="1"/>
  <c r="I78" i="1"/>
  <c r="F78" i="1"/>
  <c r="K77" i="1"/>
  <c r="J77" i="1"/>
  <c r="I77" i="1"/>
  <c r="F77" i="1"/>
  <c r="K76" i="1"/>
  <c r="J76" i="1"/>
  <c r="I76" i="1"/>
  <c r="F76" i="1"/>
  <c r="K75" i="1"/>
  <c r="J75" i="1"/>
  <c r="I75" i="1"/>
  <c r="F75" i="1"/>
  <c r="K74" i="1"/>
  <c r="J74" i="1"/>
  <c r="I74" i="1"/>
  <c r="F74" i="1"/>
  <c r="K73" i="1"/>
  <c r="J73" i="1"/>
  <c r="I73" i="1"/>
  <c r="F73" i="1"/>
  <c r="K72" i="1"/>
  <c r="J72" i="1"/>
  <c r="I72" i="1"/>
  <c r="F72" i="1"/>
  <c r="K71" i="1"/>
  <c r="J71" i="1"/>
  <c r="I71" i="1"/>
  <c r="F71" i="1"/>
  <c r="K70" i="1"/>
  <c r="J70" i="1"/>
  <c r="I70" i="1"/>
  <c r="F70" i="1"/>
  <c r="K69" i="1"/>
  <c r="J69" i="1"/>
  <c r="I69" i="1"/>
  <c r="F69" i="1"/>
  <c r="K68" i="1"/>
  <c r="J68" i="1"/>
  <c r="I68" i="1"/>
  <c r="F68" i="1"/>
  <c r="K67" i="1"/>
  <c r="J67" i="1"/>
  <c r="I67" i="1"/>
  <c r="F67" i="1"/>
  <c r="K66" i="1"/>
  <c r="J66" i="1"/>
  <c r="I66" i="1"/>
  <c r="F66" i="1"/>
  <c r="K65" i="1"/>
  <c r="J65" i="1"/>
  <c r="I65" i="1"/>
  <c r="F65" i="1"/>
  <c r="K64" i="1"/>
  <c r="J64" i="1"/>
  <c r="I64" i="1"/>
  <c r="F64" i="1"/>
  <c r="K63" i="1"/>
  <c r="J63" i="1"/>
  <c r="I63" i="1"/>
  <c r="F63" i="1"/>
  <c r="K62" i="1"/>
  <c r="J62" i="1"/>
  <c r="I62" i="1"/>
  <c r="F62" i="1"/>
  <c r="K61" i="1"/>
  <c r="J61" i="1"/>
  <c r="I61" i="1"/>
  <c r="F61" i="1"/>
  <c r="K60" i="1"/>
  <c r="J60" i="1"/>
  <c r="I60" i="1"/>
  <c r="F60" i="1"/>
  <c r="K59" i="1"/>
  <c r="J59" i="1"/>
  <c r="I59" i="1"/>
  <c r="F59" i="1"/>
  <c r="K58" i="1"/>
  <c r="J58" i="1"/>
  <c r="I58" i="1"/>
  <c r="F58" i="1"/>
  <c r="K57" i="1"/>
  <c r="J57" i="1"/>
  <c r="I57" i="1"/>
  <c r="F57" i="1"/>
  <c r="K56" i="1"/>
  <c r="J56" i="1"/>
  <c r="I56" i="1"/>
  <c r="F56" i="1"/>
  <c r="K55" i="1"/>
  <c r="J55" i="1"/>
  <c r="I55" i="1"/>
  <c r="F55" i="1"/>
  <c r="K54" i="1"/>
  <c r="J54" i="1"/>
  <c r="I54" i="1"/>
  <c r="F54" i="1"/>
  <c r="K53" i="1"/>
  <c r="J53" i="1"/>
  <c r="I53" i="1"/>
  <c r="F53" i="1"/>
  <c r="K52" i="1"/>
  <c r="J52" i="1"/>
  <c r="I52" i="1"/>
  <c r="F52" i="1"/>
  <c r="K51" i="1"/>
  <c r="J51" i="1"/>
  <c r="I51" i="1"/>
  <c r="F51" i="1"/>
  <c r="K50" i="1"/>
  <c r="J50" i="1"/>
  <c r="I50" i="1"/>
  <c r="F50" i="1"/>
  <c r="K49" i="1"/>
  <c r="J49" i="1"/>
  <c r="I49" i="1"/>
  <c r="F49" i="1"/>
  <c r="K48" i="1"/>
  <c r="J48" i="1"/>
  <c r="I48" i="1"/>
  <c r="F48" i="1"/>
  <c r="K47" i="1"/>
  <c r="J47" i="1"/>
  <c r="I47" i="1"/>
  <c r="F47" i="1"/>
  <c r="K46" i="1"/>
  <c r="J46" i="1"/>
  <c r="I46" i="1"/>
  <c r="F46" i="1"/>
  <c r="K45" i="1"/>
  <c r="J45" i="1"/>
  <c r="I45" i="1"/>
  <c r="F45" i="1"/>
  <c r="K44" i="1"/>
  <c r="J44" i="1"/>
  <c r="I44" i="1"/>
  <c r="F44" i="1"/>
  <c r="K43" i="1"/>
  <c r="J43" i="1"/>
  <c r="I43" i="1"/>
  <c r="F43" i="1"/>
  <c r="K42" i="1"/>
  <c r="J42" i="1"/>
  <c r="I42" i="1"/>
  <c r="F42" i="1"/>
  <c r="K41" i="1"/>
  <c r="J41" i="1"/>
  <c r="I41" i="1"/>
  <c r="F41" i="1"/>
  <c r="K40" i="1"/>
  <c r="J40" i="1"/>
  <c r="I40" i="1"/>
  <c r="F40" i="1"/>
  <c r="K39" i="1"/>
  <c r="J39" i="1"/>
  <c r="I39" i="1"/>
  <c r="F39" i="1"/>
  <c r="K38" i="1"/>
  <c r="J38" i="1"/>
  <c r="I38" i="1"/>
  <c r="F38" i="1"/>
  <c r="K37" i="1"/>
  <c r="J37" i="1"/>
  <c r="I37" i="1"/>
  <c r="F37" i="1"/>
  <c r="K36" i="1"/>
  <c r="J36" i="1"/>
  <c r="I36" i="1"/>
  <c r="F36" i="1"/>
  <c r="K35" i="1"/>
  <c r="J35" i="1"/>
  <c r="I35" i="1"/>
  <c r="F35" i="1"/>
  <c r="K34" i="1"/>
  <c r="J34" i="1"/>
  <c r="I34" i="1"/>
  <c r="F34" i="1"/>
  <c r="K33" i="1"/>
  <c r="J33" i="1"/>
  <c r="I33" i="1"/>
  <c r="F33" i="1"/>
  <c r="K32" i="1"/>
  <c r="J32" i="1"/>
  <c r="I32" i="1"/>
  <c r="F32" i="1"/>
  <c r="K31" i="1"/>
  <c r="J31" i="1"/>
  <c r="I31" i="1"/>
  <c r="F31" i="1"/>
  <c r="K30" i="1"/>
  <c r="J30" i="1"/>
  <c r="I30" i="1"/>
  <c r="F30" i="1"/>
  <c r="K29" i="1"/>
  <c r="J29" i="1"/>
  <c r="I29" i="1"/>
  <c r="F29" i="1"/>
  <c r="K28" i="1"/>
  <c r="J28" i="1"/>
  <c r="I28" i="1"/>
  <c r="F28" i="1"/>
  <c r="K27" i="1"/>
  <c r="J27" i="1"/>
  <c r="I27" i="1"/>
  <c r="F27" i="1"/>
  <c r="K26" i="1"/>
  <c r="J26" i="1"/>
  <c r="I26" i="1"/>
  <c r="F26" i="1"/>
  <c r="K25" i="1"/>
  <c r="J25" i="1"/>
  <c r="I25" i="1"/>
  <c r="F25" i="1"/>
  <c r="K24" i="1"/>
  <c r="J24" i="1"/>
  <c r="I24" i="1"/>
  <c r="F24" i="1"/>
  <c r="K23" i="1"/>
  <c r="J23" i="1"/>
  <c r="I23" i="1"/>
  <c r="F23" i="1"/>
  <c r="K22" i="1"/>
  <c r="J22" i="1"/>
  <c r="I22" i="1"/>
  <c r="F22" i="1"/>
  <c r="K21" i="1"/>
  <c r="J21" i="1"/>
  <c r="I21" i="1"/>
  <c r="F21" i="1"/>
  <c r="K20" i="1"/>
  <c r="J20" i="1"/>
  <c r="I20" i="1"/>
  <c r="F20" i="1"/>
  <c r="K19" i="1"/>
  <c r="J19" i="1"/>
  <c r="I19" i="1"/>
  <c r="F19" i="1"/>
  <c r="K18" i="1"/>
  <c r="J18" i="1"/>
  <c r="I18" i="1"/>
  <c r="F18" i="1"/>
  <c r="K17" i="1"/>
  <c r="J17" i="1"/>
  <c r="I17" i="1"/>
  <c r="F17" i="1"/>
  <c r="K16" i="1"/>
  <c r="J16" i="1"/>
  <c r="I16" i="1"/>
  <c r="F16" i="1"/>
  <c r="K15" i="1"/>
  <c r="J15" i="1"/>
  <c r="I15" i="1"/>
  <c r="F15" i="1"/>
  <c r="K14" i="1"/>
  <c r="J14" i="1"/>
  <c r="I14" i="1"/>
  <c r="F14" i="1"/>
  <c r="K13" i="1"/>
  <c r="J13" i="1"/>
  <c r="I13" i="1"/>
  <c r="F13" i="1"/>
  <c r="K12" i="1"/>
  <c r="J12" i="1"/>
  <c r="I12" i="1"/>
  <c r="F12" i="1"/>
  <c r="K11" i="1"/>
  <c r="J11" i="1"/>
  <c r="I11" i="1"/>
  <c r="F11" i="1"/>
  <c r="K10" i="1"/>
  <c r="J10" i="1"/>
  <c r="I10" i="1"/>
  <c r="F10" i="1"/>
  <c r="K9" i="1"/>
  <c r="J9" i="1"/>
  <c r="I9" i="1"/>
  <c r="F9" i="1"/>
  <c r="K8" i="1"/>
  <c r="J8" i="1"/>
  <c r="I8" i="1"/>
  <c r="F8" i="1"/>
  <c r="K7" i="1"/>
  <c r="J7" i="1"/>
  <c r="I7" i="1"/>
  <c r="F7" i="1"/>
  <c r="K6" i="1"/>
  <c r="J6" i="1"/>
  <c r="I6" i="1"/>
  <c r="F6" i="1"/>
  <c r="K5" i="1"/>
  <c r="J5" i="1"/>
  <c r="I5" i="1"/>
  <c r="F5" i="1"/>
  <c r="K4" i="1"/>
  <c r="J4" i="1"/>
  <c r="I4" i="1"/>
  <c r="F4" i="1"/>
  <c r="K3" i="1"/>
  <c r="J3" i="1"/>
  <c r="I3" i="1"/>
  <c r="F3" i="1"/>
  <c r="M2" i="1"/>
  <c r="K2" i="1"/>
  <c r="J2" i="1"/>
  <c r="I2" i="1"/>
  <c r="F2" i="1"/>
  <c r="AE848" i="3"/>
  <c r="AC848" i="3"/>
  <c r="U848" i="3"/>
  <c r="AD845" i="3"/>
  <c r="W844" i="3"/>
  <c r="AZ842" i="3"/>
  <c r="AO842" i="3"/>
  <c r="BF841" i="3"/>
  <c r="AI840" i="3"/>
  <c r="Y835" i="3"/>
  <c r="L835" i="3"/>
  <c r="Y834" i="3"/>
  <c r="L834" i="3"/>
  <c r="Y833" i="3"/>
  <c r="L833" i="3"/>
  <c r="Y832" i="3"/>
  <c r="L832" i="3"/>
  <c r="Y831" i="3"/>
  <c r="L831" i="3"/>
  <c r="E831" i="3"/>
  <c r="Y830" i="3"/>
  <c r="L830" i="3"/>
  <c r="E830" i="3"/>
  <c r="Y829" i="3"/>
  <c r="L829" i="3"/>
  <c r="E829" i="3"/>
  <c r="Y828" i="3"/>
  <c r="L828" i="3"/>
  <c r="E828" i="3"/>
  <c r="Y827" i="3"/>
  <c r="L827" i="3"/>
  <c r="E827" i="3"/>
  <c r="Y826" i="3"/>
  <c r="L826" i="3"/>
  <c r="E826" i="3"/>
  <c r="Y825" i="3"/>
  <c r="L825" i="3"/>
  <c r="E825" i="3"/>
  <c r="Y824" i="3"/>
  <c r="L824" i="3"/>
  <c r="E824" i="3"/>
  <c r="Y823" i="3"/>
  <c r="L823" i="3"/>
  <c r="E823" i="3"/>
  <c r="Y822" i="3"/>
  <c r="L822" i="3"/>
  <c r="E822" i="3"/>
  <c r="Y821" i="3"/>
  <c r="L821" i="3"/>
  <c r="E821" i="3"/>
  <c r="Y820" i="3"/>
  <c r="L820" i="3"/>
  <c r="E820" i="3"/>
  <c r="Y819" i="3"/>
  <c r="L819" i="3"/>
  <c r="E819" i="3"/>
  <c r="Y818" i="3"/>
  <c r="L818" i="3"/>
  <c r="E818" i="3"/>
  <c r="Y817" i="3"/>
  <c r="L817" i="3"/>
  <c r="E817" i="3"/>
  <c r="Y816" i="3"/>
  <c r="L816" i="3"/>
  <c r="E816" i="3"/>
  <c r="Y815" i="3"/>
  <c r="L815" i="3"/>
  <c r="E815" i="3"/>
  <c r="Y814" i="3"/>
  <c r="L814" i="3"/>
  <c r="E814" i="3"/>
  <c r="Y813" i="3"/>
  <c r="L813" i="3"/>
  <c r="E813" i="3"/>
  <c r="Y812" i="3"/>
  <c r="L812" i="3"/>
  <c r="E812" i="3"/>
  <c r="Y811" i="3"/>
  <c r="L811" i="3"/>
  <c r="E811" i="3"/>
  <c r="Y810" i="3"/>
  <c r="L810" i="3"/>
  <c r="E810" i="3"/>
  <c r="Y809" i="3"/>
  <c r="L809" i="3"/>
  <c r="E809" i="3"/>
  <c r="Y808" i="3"/>
  <c r="L808" i="3"/>
  <c r="E808" i="3"/>
  <c r="Y807" i="3"/>
  <c r="L807" i="3"/>
  <c r="E807" i="3"/>
  <c r="Y806" i="3"/>
  <c r="L806" i="3"/>
  <c r="E806" i="3"/>
  <c r="Y805" i="3"/>
  <c r="L805" i="3"/>
  <c r="E805" i="3"/>
  <c r="Y804" i="3"/>
  <c r="L804" i="3"/>
  <c r="E804" i="3"/>
  <c r="Y803" i="3"/>
  <c r="L803" i="3"/>
  <c r="E803" i="3"/>
  <c r="Y802" i="3"/>
  <c r="L802" i="3"/>
  <c r="E802" i="3"/>
  <c r="Y801" i="3"/>
  <c r="L801" i="3"/>
  <c r="E801" i="3"/>
  <c r="Y800" i="3"/>
  <c r="L800" i="3"/>
  <c r="E800" i="3"/>
  <c r="Y799" i="3"/>
  <c r="L799" i="3"/>
  <c r="E799" i="3"/>
  <c r="Y798" i="3"/>
  <c r="L798" i="3"/>
  <c r="E798" i="3"/>
  <c r="Y797" i="3"/>
  <c r="L797" i="3"/>
  <c r="E797" i="3"/>
  <c r="Y796" i="3"/>
  <c r="L796" i="3"/>
  <c r="E796" i="3"/>
  <c r="Y795" i="3"/>
  <c r="L795" i="3"/>
  <c r="E795" i="3"/>
  <c r="Y794" i="3"/>
  <c r="L794" i="3"/>
  <c r="E794" i="3"/>
  <c r="Y793" i="3"/>
  <c r="L793" i="3"/>
  <c r="E793" i="3"/>
  <c r="Y792" i="3"/>
  <c r="L792" i="3"/>
  <c r="E792" i="3"/>
  <c r="Y791" i="3"/>
  <c r="L791" i="3"/>
  <c r="E791" i="3"/>
  <c r="Y790" i="3"/>
  <c r="L790" i="3"/>
  <c r="E790" i="3"/>
  <c r="Y789" i="3"/>
  <c r="L789" i="3"/>
  <c r="E789" i="3"/>
  <c r="Y788" i="3"/>
  <c r="L788" i="3"/>
  <c r="E788" i="3"/>
  <c r="Y787" i="3"/>
  <c r="L787" i="3"/>
  <c r="E787" i="3"/>
  <c r="Y786" i="3"/>
  <c r="L786" i="3"/>
  <c r="E786" i="3"/>
  <c r="Y785" i="3"/>
  <c r="L785" i="3"/>
  <c r="E785" i="3"/>
  <c r="Y784" i="3"/>
  <c r="L784" i="3"/>
  <c r="E784" i="3"/>
  <c r="Y783" i="3"/>
  <c r="L783" i="3"/>
  <c r="E783" i="3"/>
  <c r="Y782" i="3"/>
  <c r="L782" i="3"/>
  <c r="E782" i="3"/>
  <c r="Y781" i="3"/>
  <c r="L781" i="3"/>
  <c r="E781" i="3"/>
  <c r="Y780" i="3"/>
  <c r="L780" i="3"/>
  <c r="E780" i="3"/>
  <c r="Y779" i="3"/>
  <c r="L779" i="3"/>
  <c r="E779" i="3"/>
  <c r="Y778" i="3"/>
  <c r="L778" i="3"/>
  <c r="E778" i="3"/>
  <c r="Y777" i="3"/>
  <c r="L777" i="3"/>
  <c r="E777" i="3"/>
  <c r="Y776" i="3"/>
  <c r="L776" i="3"/>
  <c r="E776" i="3"/>
  <c r="Y775" i="3"/>
  <c r="L775" i="3"/>
  <c r="E775" i="3"/>
  <c r="Y774" i="3"/>
  <c r="L774" i="3"/>
  <c r="E774" i="3"/>
  <c r="Y773" i="3"/>
  <c r="L773" i="3"/>
  <c r="E773" i="3"/>
  <c r="Y772" i="3"/>
  <c r="L772" i="3"/>
  <c r="E772" i="3"/>
  <c r="Y771" i="3"/>
  <c r="L771" i="3"/>
  <c r="E771" i="3"/>
  <c r="Y770" i="3"/>
  <c r="L770" i="3"/>
  <c r="E770" i="3"/>
  <c r="Y769" i="3"/>
  <c r="L769" i="3"/>
  <c r="E769" i="3"/>
  <c r="Y768" i="3"/>
  <c r="L768" i="3"/>
  <c r="E768" i="3"/>
  <c r="Y767" i="3"/>
  <c r="L767" i="3"/>
  <c r="E767" i="3"/>
  <c r="Y766" i="3"/>
  <c r="L766" i="3"/>
  <c r="E766" i="3"/>
  <c r="Y765" i="3"/>
  <c r="L765" i="3"/>
  <c r="E765" i="3"/>
  <c r="Y764" i="3"/>
  <c r="L764" i="3"/>
  <c r="E764" i="3"/>
  <c r="Y763" i="3"/>
  <c r="L763" i="3"/>
  <c r="E763" i="3"/>
  <c r="Y762" i="3"/>
  <c r="L762" i="3"/>
  <c r="E762" i="3"/>
  <c r="Y761" i="3"/>
  <c r="L761" i="3"/>
  <c r="E761" i="3"/>
  <c r="Y760" i="3"/>
  <c r="L760" i="3"/>
  <c r="E760" i="3"/>
  <c r="Y759" i="3"/>
  <c r="L759" i="3"/>
  <c r="E759" i="3"/>
  <c r="Y758" i="3"/>
  <c r="L758" i="3"/>
  <c r="E758" i="3"/>
  <c r="Y757" i="3"/>
  <c r="L757" i="3"/>
  <c r="E757" i="3"/>
  <c r="Y756" i="3"/>
  <c r="L756" i="3"/>
  <c r="E756" i="3"/>
  <c r="Y755" i="3"/>
  <c r="L755" i="3"/>
  <c r="E755" i="3"/>
  <c r="Y754" i="3"/>
  <c r="L754" i="3"/>
  <c r="E754" i="3"/>
  <c r="Y753" i="3"/>
  <c r="L753" i="3"/>
  <c r="E753" i="3"/>
  <c r="Y752" i="3"/>
  <c r="L752" i="3"/>
  <c r="E752" i="3"/>
  <c r="Y751" i="3"/>
  <c r="L751" i="3"/>
  <c r="E751" i="3"/>
  <c r="Y750" i="3"/>
  <c r="L750" i="3"/>
  <c r="E750" i="3"/>
  <c r="Y749" i="3"/>
  <c r="L749" i="3"/>
  <c r="E749" i="3"/>
  <c r="Y748" i="3"/>
  <c r="L748" i="3"/>
  <c r="E748" i="3"/>
  <c r="Y747" i="3"/>
  <c r="L747" i="3"/>
  <c r="E747" i="3"/>
  <c r="Y746" i="3"/>
  <c r="L746" i="3"/>
  <c r="E746" i="3"/>
  <c r="Y745" i="3"/>
  <c r="L745" i="3"/>
  <c r="E745" i="3"/>
  <c r="Y744" i="3"/>
  <c r="L744" i="3"/>
  <c r="E744" i="3"/>
  <c r="Y743" i="3"/>
  <c r="L743" i="3"/>
  <c r="E743" i="3"/>
  <c r="Y742" i="3"/>
  <c r="L742" i="3"/>
  <c r="E742" i="3"/>
  <c r="Y741" i="3"/>
  <c r="L741" i="3"/>
  <c r="E741" i="3"/>
  <c r="Y740" i="3"/>
  <c r="L740" i="3"/>
  <c r="E740" i="3"/>
  <c r="Y739" i="3"/>
  <c r="L739" i="3"/>
  <c r="E739" i="3"/>
  <c r="Y738" i="3"/>
  <c r="L738" i="3"/>
  <c r="E738" i="3"/>
  <c r="Y737" i="3"/>
  <c r="L737" i="3"/>
  <c r="E737" i="3"/>
  <c r="Y736" i="3"/>
  <c r="L736" i="3"/>
  <c r="E736" i="3"/>
  <c r="Y735" i="3"/>
  <c r="L735" i="3"/>
  <c r="E735" i="3"/>
  <c r="Y734" i="3"/>
  <c r="L734" i="3"/>
  <c r="E734" i="3"/>
  <c r="Y733" i="3"/>
  <c r="L733" i="3"/>
  <c r="E733" i="3"/>
  <c r="Y732" i="3"/>
  <c r="L732" i="3"/>
  <c r="E732" i="3"/>
  <c r="Y731" i="3"/>
  <c r="L731" i="3"/>
  <c r="E731" i="3"/>
  <c r="Y730" i="3"/>
  <c r="L730" i="3"/>
  <c r="E730" i="3"/>
  <c r="Y729" i="3"/>
  <c r="L729" i="3"/>
  <c r="E729" i="3"/>
  <c r="Y728" i="3"/>
  <c r="L728" i="3"/>
  <c r="E728" i="3"/>
  <c r="Y727" i="3"/>
  <c r="L727" i="3"/>
  <c r="E727" i="3"/>
  <c r="Y726" i="3"/>
  <c r="L726" i="3"/>
  <c r="E726" i="3"/>
  <c r="Y725" i="3"/>
  <c r="L725" i="3"/>
  <c r="E725" i="3"/>
  <c r="Y724" i="3"/>
  <c r="L724" i="3"/>
  <c r="E724" i="3"/>
  <c r="Y723" i="3"/>
  <c r="L723" i="3"/>
  <c r="E723" i="3"/>
  <c r="Y722" i="3"/>
  <c r="L722" i="3"/>
  <c r="E722" i="3"/>
  <c r="Y721" i="3"/>
  <c r="L721" i="3"/>
  <c r="E721" i="3"/>
  <c r="Y720" i="3"/>
  <c r="L720" i="3"/>
  <c r="E720" i="3"/>
  <c r="Y719" i="3"/>
  <c r="L719" i="3"/>
  <c r="E719" i="3"/>
  <c r="Y718" i="3"/>
  <c r="L718" i="3"/>
  <c r="E718" i="3"/>
  <c r="Y717" i="3"/>
  <c r="L717" i="3"/>
  <c r="E717" i="3"/>
  <c r="Y716" i="3"/>
  <c r="L716" i="3"/>
  <c r="E716" i="3"/>
  <c r="Y715" i="3"/>
  <c r="L715" i="3"/>
  <c r="E715" i="3"/>
  <c r="Y714" i="3"/>
  <c r="L714" i="3"/>
  <c r="E714" i="3"/>
  <c r="Y713" i="3"/>
  <c r="L713" i="3"/>
  <c r="E713" i="3"/>
  <c r="Y712" i="3"/>
  <c r="L712" i="3"/>
  <c r="E712" i="3"/>
  <c r="Y711" i="3"/>
  <c r="L711" i="3"/>
  <c r="E711" i="3"/>
  <c r="Y710" i="3"/>
  <c r="L710" i="3"/>
  <c r="E710" i="3"/>
  <c r="Y709" i="3"/>
  <c r="L709" i="3"/>
  <c r="E709" i="3"/>
  <c r="Y708" i="3"/>
  <c r="L708" i="3"/>
  <c r="E708" i="3"/>
  <c r="Y707" i="3"/>
  <c r="L707" i="3"/>
  <c r="E707" i="3"/>
  <c r="Y706" i="3"/>
  <c r="L706" i="3"/>
  <c r="E706" i="3"/>
  <c r="Y705" i="3"/>
  <c r="L705" i="3"/>
  <c r="E705" i="3"/>
  <c r="Y704" i="3"/>
  <c r="L704" i="3"/>
  <c r="E704" i="3"/>
  <c r="Y703" i="3"/>
  <c r="L703" i="3"/>
  <c r="E703" i="3"/>
  <c r="Y702" i="3"/>
  <c r="L702" i="3"/>
  <c r="E702" i="3"/>
  <c r="Y701" i="3"/>
  <c r="L701" i="3"/>
  <c r="E701" i="3"/>
  <c r="Y700" i="3"/>
  <c r="L700" i="3"/>
  <c r="E700" i="3"/>
  <c r="Y699" i="3"/>
  <c r="L699" i="3"/>
  <c r="E699" i="3"/>
  <c r="Y698" i="3"/>
  <c r="L698" i="3"/>
  <c r="E698" i="3"/>
  <c r="Y697" i="3"/>
  <c r="L697" i="3"/>
  <c r="E697" i="3"/>
  <c r="Y696" i="3"/>
  <c r="L696" i="3"/>
  <c r="E696" i="3"/>
  <c r="Y695" i="3"/>
  <c r="L695" i="3"/>
  <c r="E695" i="3"/>
  <c r="Y694" i="3"/>
  <c r="L694" i="3"/>
  <c r="E694" i="3"/>
  <c r="Y693" i="3"/>
  <c r="L693" i="3"/>
  <c r="E693" i="3"/>
  <c r="Y692" i="3"/>
  <c r="L692" i="3"/>
  <c r="E692" i="3"/>
  <c r="Y691" i="3"/>
  <c r="L691" i="3"/>
  <c r="E691" i="3"/>
  <c r="Y690" i="3"/>
  <c r="L690" i="3"/>
  <c r="E690" i="3"/>
  <c r="Y689" i="3"/>
  <c r="L689" i="3"/>
  <c r="E689" i="3"/>
  <c r="Y688" i="3"/>
  <c r="L688" i="3"/>
  <c r="E688" i="3"/>
  <c r="Y687" i="3"/>
  <c r="L687" i="3"/>
  <c r="E687" i="3"/>
  <c r="Y686" i="3"/>
  <c r="L686" i="3"/>
  <c r="E686" i="3"/>
  <c r="Y685" i="3"/>
  <c r="L685" i="3"/>
  <c r="E685" i="3"/>
  <c r="Y684" i="3"/>
  <c r="L684" i="3"/>
  <c r="E684" i="3"/>
  <c r="Y683" i="3"/>
  <c r="L683" i="3"/>
  <c r="E683" i="3"/>
  <c r="Y682" i="3"/>
  <c r="L682" i="3"/>
  <c r="E682" i="3"/>
  <c r="Y681" i="3"/>
  <c r="L681" i="3"/>
  <c r="E681" i="3"/>
  <c r="Y680" i="3"/>
  <c r="L680" i="3"/>
  <c r="E680" i="3"/>
  <c r="Y679" i="3"/>
  <c r="L679" i="3"/>
  <c r="E679" i="3"/>
  <c r="Y678" i="3"/>
  <c r="L678" i="3"/>
  <c r="E678" i="3"/>
  <c r="Y677" i="3"/>
  <c r="L677" i="3"/>
  <c r="E677" i="3"/>
  <c r="Y676" i="3"/>
  <c r="L676" i="3"/>
  <c r="E676" i="3"/>
  <c r="Y675" i="3"/>
  <c r="L675" i="3"/>
  <c r="E675" i="3"/>
  <c r="Y674" i="3"/>
  <c r="L674" i="3"/>
  <c r="E674" i="3"/>
  <c r="Y673" i="3"/>
  <c r="L673" i="3"/>
  <c r="E673" i="3"/>
  <c r="Y672" i="3"/>
  <c r="L672" i="3"/>
  <c r="E672" i="3"/>
  <c r="Y671" i="3"/>
  <c r="L671" i="3"/>
  <c r="E671" i="3"/>
  <c r="Y670" i="3"/>
  <c r="L670" i="3"/>
  <c r="E670" i="3"/>
  <c r="Y669" i="3"/>
  <c r="L669" i="3"/>
  <c r="E669" i="3"/>
  <c r="Y668" i="3"/>
  <c r="L668" i="3"/>
  <c r="E668" i="3"/>
  <c r="Y667" i="3"/>
  <c r="L667" i="3"/>
  <c r="E667" i="3"/>
  <c r="Y666" i="3"/>
  <c r="L666" i="3"/>
  <c r="E666" i="3"/>
  <c r="Y665" i="3"/>
  <c r="L665" i="3"/>
  <c r="E665" i="3"/>
  <c r="Y664" i="3"/>
  <c r="L664" i="3"/>
  <c r="E664" i="3"/>
  <c r="Y663" i="3"/>
  <c r="L663" i="3"/>
  <c r="E663" i="3"/>
  <c r="Y662" i="3"/>
  <c r="L662" i="3"/>
  <c r="E662" i="3"/>
  <c r="Y661" i="3"/>
  <c r="L661" i="3"/>
  <c r="E661" i="3"/>
  <c r="Y660" i="3"/>
  <c r="L660" i="3"/>
  <c r="E660" i="3"/>
  <c r="Y659" i="3"/>
  <c r="L659" i="3"/>
  <c r="E659" i="3"/>
  <c r="Y658" i="3"/>
  <c r="L658" i="3"/>
  <c r="E658" i="3"/>
  <c r="Y657" i="3"/>
  <c r="L657" i="3"/>
  <c r="E657" i="3"/>
  <c r="Y656" i="3"/>
  <c r="L656" i="3"/>
  <c r="E656" i="3"/>
  <c r="Y655" i="3"/>
  <c r="L655" i="3"/>
  <c r="E655" i="3"/>
  <c r="Y654" i="3"/>
  <c r="L654" i="3"/>
  <c r="E654" i="3"/>
  <c r="Y653" i="3"/>
  <c r="L653" i="3"/>
  <c r="E653" i="3"/>
  <c r="Y652" i="3"/>
  <c r="L652" i="3"/>
  <c r="E652" i="3"/>
  <c r="Y651" i="3"/>
  <c r="L651" i="3"/>
  <c r="E651" i="3"/>
  <c r="Y650" i="3"/>
  <c r="L650" i="3"/>
  <c r="E650" i="3"/>
  <c r="Y649" i="3"/>
  <c r="L649" i="3"/>
  <c r="E649" i="3"/>
  <c r="Y648" i="3"/>
  <c r="L648" i="3"/>
  <c r="E648" i="3"/>
  <c r="Y647" i="3"/>
  <c r="L647" i="3"/>
  <c r="E647" i="3"/>
  <c r="Y646" i="3"/>
  <c r="L646" i="3"/>
  <c r="E646" i="3"/>
  <c r="Y645" i="3"/>
  <c r="L645" i="3"/>
  <c r="E645" i="3"/>
  <c r="Y644" i="3"/>
  <c r="L644" i="3"/>
  <c r="E644" i="3"/>
  <c r="Y643" i="3"/>
  <c r="L643" i="3"/>
  <c r="E643" i="3"/>
  <c r="Y642" i="3"/>
  <c r="L642" i="3"/>
  <c r="E642" i="3"/>
  <c r="Y641" i="3"/>
  <c r="L641" i="3"/>
  <c r="E641" i="3"/>
  <c r="Y640" i="3"/>
  <c r="L640" i="3"/>
  <c r="E640" i="3"/>
  <c r="Y639" i="3"/>
  <c r="L639" i="3"/>
  <c r="E639" i="3"/>
  <c r="Y638" i="3"/>
  <c r="L638" i="3"/>
  <c r="E638" i="3"/>
  <c r="Y637" i="3"/>
  <c r="L637" i="3"/>
  <c r="E637" i="3"/>
  <c r="Y636" i="3"/>
  <c r="L636" i="3"/>
  <c r="E636" i="3"/>
  <c r="Y635" i="3"/>
  <c r="L635" i="3"/>
  <c r="E635" i="3"/>
  <c r="Y634" i="3"/>
  <c r="L634" i="3"/>
  <c r="E634" i="3"/>
  <c r="Y633" i="3"/>
  <c r="L633" i="3"/>
  <c r="E633" i="3"/>
  <c r="Y632" i="3"/>
  <c r="L632" i="3"/>
  <c r="E632" i="3"/>
  <c r="Y631" i="3"/>
  <c r="L631" i="3"/>
  <c r="E631" i="3"/>
  <c r="Y630" i="3"/>
  <c r="L630" i="3"/>
  <c r="E630" i="3"/>
  <c r="Y629" i="3"/>
  <c r="L629" i="3"/>
  <c r="E629" i="3"/>
  <c r="Y628" i="3"/>
  <c r="L628" i="3"/>
  <c r="E628" i="3"/>
  <c r="Y627" i="3"/>
  <c r="L627" i="3"/>
  <c r="E627" i="3"/>
  <c r="Y626" i="3"/>
  <c r="L626" i="3"/>
  <c r="E626" i="3"/>
  <c r="Y625" i="3"/>
  <c r="L625" i="3"/>
  <c r="E625" i="3"/>
  <c r="Y624" i="3"/>
  <c r="L624" i="3"/>
  <c r="E624" i="3"/>
  <c r="Y623" i="3"/>
  <c r="L623" i="3"/>
  <c r="E623" i="3"/>
  <c r="Y622" i="3"/>
  <c r="L622" i="3"/>
  <c r="E622" i="3"/>
  <c r="Y621" i="3"/>
  <c r="L621" i="3"/>
  <c r="E621" i="3"/>
  <c r="Y620" i="3"/>
  <c r="L620" i="3"/>
  <c r="E620" i="3"/>
  <c r="Y619" i="3"/>
  <c r="L619" i="3"/>
  <c r="E619" i="3"/>
  <c r="Y618" i="3"/>
  <c r="L618" i="3"/>
  <c r="E618" i="3"/>
  <c r="Y617" i="3"/>
  <c r="L617" i="3"/>
  <c r="E617" i="3"/>
  <c r="Y616" i="3"/>
  <c r="L616" i="3"/>
  <c r="E616" i="3"/>
  <c r="Y615" i="3"/>
  <c r="L615" i="3"/>
  <c r="E615" i="3"/>
  <c r="Y614" i="3"/>
  <c r="L614" i="3"/>
  <c r="E614" i="3"/>
  <c r="Y613" i="3"/>
  <c r="L613" i="3"/>
  <c r="E613" i="3"/>
  <c r="Y612" i="3"/>
  <c r="L612" i="3"/>
  <c r="E612" i="3"/>
  <c r="Y611" i="3"/>
  <c r="L611" i="3"/>
  <c r="E611" i="3"/>
  <c r="Y610" i="3"/>
  <c r="L610" i="3"/>
  <c r="E610" i="3"/>
  <c r="Y609" i="3"/>
  <c r="L609" i="3"/>
  <c r="E609" i="3"/>
  <c r="Y608" i="3"/>
  <c r="L608" i="3"/>
  <c r="E608" i="3"/>
  <c r="Y607" i="3"/>
  <c r="L607" i="3"/>
  <c r="E607" i="3"/>
  <c r="Y606" i="3"/>
  <c r="L606" i="3"/>
  <c r="E606" i="3"/>
  <c r="Y605" i="3"/>
  <c r="L605" i="3"/>
  <c r="E605" i="3"/>
  <c r="Y604" i="3"/>
  <c r="L604" i="3"/>
  <c r="E604" i="3"/>
  <c r="Y603" i="3"/>
  <c r="L603" i="3"/>
  <c r="E603" i="3"/>
  <c r="Y602" i="3"/>
  <c r="L602" i="3"/>
  <c r="E602" i="3"/>
  <c r="Y601" i="3"/>
  <c r="L601" i="3"/>
  <c r="E601" i="3"/>
  <c r="Y600" i="3"/>
  <c r="L600" i="3"/>
  <c r="E600" i="3"/>
  <c r="Y599" i="3"/>
  <c r="L599" i="3"/>
  <c r="E599" i="3"/>
  <c r="Y598" i="3"/>
  <c r="L598" i="3"/>
  <c r="E598" i="3"/>
  <c r="Y597" i="3"/>
  <c r="L597" i="3"/>
  <c r="E597" i="3"/>
  <c r="Y596" i="3"/>
  <c r="L596" i="3"/>
  <c r="E596" i="3"/>
  <c r="Y595" i="3"/>
  <c r="L595" i="3"/>
  <c r="E595" i="3"/>
  <c r="Y594" i="3"/>
  <c r="L594" i="3"/>
  <c r="E594" i="3"/>
  <c r="Y593" i="3"/>
  <c r="L593" i="3"/>
  <c r="E593" i="3"/>
  <c r="Y592" i="3"/>
  <c r="L592" i="3"/>
  <c r="E592" i="3"/>
  <c r="Y591" i="3"/>
  <c r="L591" i="3"/>
  <c r="E591" i="3"/>
  <c r="Y590" i="3"/>
  <c r="L590" i="3"/>
  <c r="E590" i="3"/>
  <c r="Y589" i="3"/>
  <c r="L589" i="3"/>
  <c r="E589" i="3"/>
  <c r="Y588" i="3"/>
  <c r="L588" i="3"/>
  <c r="E588" i="3"/>
  <c r="Y587" i="3"/>
  <c r="L587" i="3"/>
  <c r="E587" i="3"/>
  <c r="Y586" i="3"/>
  <c r="L586" i="3"/>
  <c r="E586" i="3"/>
  <c r="Y585" i="3"/>
  <c r="L585" i="3"/>
  <c r="E585" i="3"/>
  <c r="Y584" i="3"/>
  <c r="L584" i="3"/>
  <c r="E584" i="3"/>
  <c r="Y583" i="3"/>
  <c r="L583" i="3"/>
  <c r="E583" i="3"/>
  <c r="Y582" i="3"/>
  <c r="L582" i="3"/>
  <c r="E582" i="3"/>
  <c r="Y581" i="3"/>
  <c r="L581" i="3"/>
  <c r="E581" i="3"/>
  <c r="Y580" i="3"/>
  <c r="L580" i="3"/>
  <c r="E580" i="3"/>
  <c r="Y579" i="3"/>
  <c r="L579" i="3"/>
  <c r="E579" i="3"/>
  <c r="Y578" i="3"/>
  <c r="L578" i="3"/>
  <c r="E578" i="3"/>
  <c r="Y577" i="3"/>
  <c r="L577" i="3"/>
  <c r="E577" i="3"/>
  <c r="Y576" i="3"/>
  <c r="L576" i="3"/>
  <c r="E576" i="3"/>
  <c r="Y575" i="3"/>
  <c r="L575" i="3"/>
  <c r="E575" i="3"/>
  <c r="Y574" i="3"/>
  <c r="L574" i="3"/>
  <c r="E574" i="3"/>
  <c r="Y573" i="3"/>
  <c r="L573" i="3"/>
  <c r="E573" i="3"/>
  <c r="Y572" i="3"/>
  <c r="L572" i="3"/>
  <c r="E572" i="3"/>
  <c r="Y571" i="3"/>
  <c r="L571" i="3"/>
  <c r="E571" i="3"/>
  <c r="Y570" i="3"/>
  <c r="L570" i="3"/>
  <c r="E570" i="3"/>
  <c r="Y569" i="3"/>
  <c r="L569" i="3"/>
  <c r="E569" i="3"/>
  <c r="Y568" i="3"/>
  <c r="L568" i="3"/>
  <c r="E568" i="3"/>
  <c r="Y567" i="3"/>
  <c r="L567" i="3"/>
  <c r="E567" i="3"/>
  <c r="Y566" i="3"/>
  <c r="L566" i="3"/>
  <c r="E566" i="3"/>
  <c r="Y565" i="3"/>
  <c r="L565" i="3"/>
  <c r="E565" i="3"/>
  <c r="Y564" i="3"/>
  <c r="L564" i="3"/>
  <c r="E564" i="3"/>
  <c r="Y563" i="3"/>
  <c r="L563" i="3"/>
  <c r="E563" i="3"/>
  <c r="Y562" i="3"/>
  <c r="L562" i="3"/>
  <c r="E562" i="3"/>
  <c r="Y561" i="3"/>
  <c r="L561" i="3"/>
  <c r="E561" i="3"/>
  <c r="Y560" i="3"/>
  <c r="L560" i="3"/>
  <c r="E560" i="3"/>
  <c r="Y559" i="3"/>
  <c r="L559" i="3"/>
  <c r="E559" i="3"/>
  <c r="Y558" i="3"/>
  <c r="L558" i="3"/>
  <c r="E558" i="3"/>
  <c r="Y557" i="3"/>
  <c r="L557" i="3"/>
  <c r="E557" i="3"/>
  <c r="Y556" i="3"/>
  <c r="L556" i="3"/>
  <c r="E556" i="3"/>
  <c r="Y555" i="3"/>
  <c r="L555" i="3"/>
  <c r="E555" i="3"/>
  <c r="Y554" i="3"/>
  <c r="L554" i="3"/>
  <c r="E554" i="3"/>
  <c r="Y553" i="3"/>
  <c r="L553" i="3"/>
  <c r="E553" i="3"/>
  <c r="Y552" i="3"/>
  <c r="L552" i="3"/>
  <c r="E552" i="3"/>
  <c r="Y551" i="3"/>
  <c r="L551" i="3"/>
  <c r="E551" i="3"/>
  <c r="Y550" i="3"/>
  <c r="L550" i="3"/>
  <c r="E550" i="3"/>
  <c r="Y549" i="3"/>
  <c r="L549" i="3"/>
  <c r="E549" i="3"/>
  <c r="Y548" i="3"/>
  <c r="L548" i="3"/>
  <c r="E548" i="3"/>
  <c r="Y547" i="3"/>
  <c r="L547" i="3"/>
  <c r="E547" i="3"/>
  <c r="Y546" i="3"/>
  <c r="L546" i="3"/>
  <c r="E546" i="3"/>
  <c r="Y545" i="3"/>
  <c r="L545" i="3"/>
  <c r="E545" i="3"/>
  <c r="Y544" i="3"/>
  <c r="L544" i="3"/>
  <c r="E544" i="3"/>
  <c r="Y543" i="3"/>
  <c r="L543" i="3"/>
  <c r="E543" i="3"/>
  <c r="Y542" i="3"/>
  <c r="L542" i="3"/>
  <c r="E542" i="3"/>
  <c r="Y541" i="3"/>
  <c r="L541" i="3"/>
  <c r="E541" i="3"/>
  <c r="Y540" i="3"/>
  <c r="L540" i="3"/>
  <c r="E540" i="3"/>
  <c r="Y539" i="3"/>
  <c r="L539" i="3"/>
  <c r="E539" i="3"/>
  <c r="Y538" i="3"/>
  <c r="L538" i="3"/>
  <c r="E538" i="3"/>
  <c r="Y537" i="3"/>
  <c r="L537" i="3"/>
  <c r="E537" i="3"/>
  <c r="Y536" i="3"/>
  <c r="L536" i="3"/>
  <c r="E536" i="3"/>
  <c r="Y535" i="3"/>
  <c r="L535" i="3"/>
  <c r="E535" i="3"/>
  <c r="Y534" i="3"/>
  <c r="L534" i="3"/>
  <c r="E534" i="3"/>
  <c r="Y533" i="3"/>
  <c r="L533" i="3"/>
  <c r="E533" i="3"/>
  <c r="Y532" i="3"/>
  <c r="L532" i="3"/>
  <c r="E532" i="3"/>
  <c r="Y531" i="3"/>
  <c r="L531" i="3"/>
  <c r="E531" i="3"/>
  <c r="Y530" i="3"/>
  <c r="L530" i="3"/>
  <c r="E530" i="3"/>
  <c r="Y529" i="3"/>
  <c r="L529" i="3"/>
  <c r="E529" i="3"/>
  <c r="Y528" i="3"/>
  <c r="L528" i="3"/>
  <c r="E528" i="3"/>
  <c r="Y527" i="3"/>
  <c r="L527" i="3"/>
  <c r="E527" i="3"/>
  <c r="Y526" i="3"/>
  <c r="L526" i="3"/>
  <c r="E526" i="3"/>
  <c r="Y525" i="3"/>
  <c r="L525" i="3"/>
  <c r="E525" i="3"/>
  <c r="Y524" i="3"/>
  <c r="L524" i="3"/>
  <c r="E524" i="3"/>
  <c r="Y523" i="3"/>
  <c r="L523" i="3"/>
  <c r="E523" i="3"/>
  <c r="Y522" i="3"/>
  <c r="L522" i="3"/>
  <c r="E522" i="3"/>
  <c r="Y521" i="3"/>
  <c r="L521" i="3"/>
  <c r="E521" i="3"/>
  <c r="Y520" i="3"/>
  <c r="L520" i="3"/>
  <c r="E520" i="3"/>
  <c r="Y519" i="3"/>
  <c r="L519" i="3"/>
  <c r="E519" i="3"/>
  <c r="Y518" i="3"/>
  <c r="L518" i="3"/>
  <c r="E518" i="3"/>
  <c r="Y517" i="3"/>
  <c r="L517" i="3"/>
  <c r="E517" i="3"/>
  <c r="Y516" i="3"/>
  <c r="L516" i="3"/>
  <c r="E516" i="3"/>
  <c r="Y515" i="3"/>
  <c r="L515" i="3"/>
  <c r="E515" i="3"/>
  <c r="Y514" i="3"/>
  <c r="L514" i="3"/>
  <c r="E514" i="3"/>
  <c r="Y513" i="3"/>
  <c r="L513" i="3"/>
  <c r="E513" i="3"/>
  <c r="Y512" i="3"/>
  <c r="L512" i="3"/>
  <c r="E512" i="3"/>
  <c r="Y511" i="3"/>
  <c r="L511" i="3"/>
  <c r="E511" i="3"/>
  <c r="Y510" i="3"/>
  <c r="L510" i="3"/>
  <c r="E510" i="3"/>
  <c r="Y509" i="3"/>
  <c r="L509" i="3"/>
  <c r="E509" i="3"/>
  <c r="Y508" i="3"/>
  <c r="L508" i="3"/>
  <c r="E508" i="3"/>
  <c r="Y507" i="3"/>
  <c r="L507" i="3"/>
  <c r="E507" i="3"/>
  <c r="Y506" i="3"/>
  <c r="L506" i="3"/>
  <c r="E506" i="3"/>
  <c r="Y505" i="3"/>
  <c r="L505" i="3"/>
  <c r="E505" i="3"/>
  <c r="Y504" i="3"/>
  <c r="L504" i="3"/>
  <c r="E504" i="3"/>
  <c r="Y503" i="3"/>
  <c r="L503" i="3"/>
  <c r="E503" i="3"/>
  <c r="Y502" i="3"/>
  <c r="L502" i="3"/>
  <c r="E502" i="3"/>
  <c r="Y501" i="3"/>
  <c r="L501" i="3"/>
  <c r="E501" i="3"/>
  <c r="Y500" i="3"/>
  <c r="L500" i="3"/>
  <c r="E500" i="3"/>
  <c r="Y499" i="3"/>
  <c r="L499" i="3"/>
  <c r="E499" i="3"/>
  <c r="Y498" i="3"/>
  <c r="L498" i="3"/>
  <c r="E498" i="3"/>
  <c r="Y497" i="3"/>
  <c r="L497" i="3"/>
  <c r="E497" i="3"/>
  <c r="Y496" i="3"/>
  <c r="L496" i="3"/>
  <c r="E496" i="3"/>
  <c r="Y495" i="3"/>
  <c r="L495" i="3"/>
  <c r="E495" i="3"/>
  <c r="Y494" i="3"/>
  <c r="L494" i="3"/>
  <c r="E494" i="3"/>
  <c r="Y493" i="3"/>
  <c r="L493" i="3"/>
  <c r="E493" i="3"/>
  <c r="Y492" i="3"/>
  <c r="L492" i="3"/>
  <c r="E492" i="3"/>
  <c r="Y491" i="3"/>
  <c r="L491" i="3"/>
  <c r="E491" i="3"/>
  <c r="Y490" i="3"/>
  <c r="L490" i="3"/>
  <c r="E490" i="3"/>
  <c r="Y489" i="3"/>
  <c r="L489" i="3"/>
  <c r="E489" i="3"/>
  <c r="Y488" i="3"/>
  <c r="L488" i="3"/>
  <c r="E488" i="3"/>
  <c r="Y487" i="3"/>
  <c r="L487" i="3"/>
  <c r="E487" i="3"/>
  <c r="Y486" i="3"/>
  <c r="L486" i="3"/>
  <c r="E486" i="3"/>
  <c r="Y485" i="3"/>
  <c r="L485" i="3"/>
  <c r="E485" i="3"/>
  <c r="Y484" i="3"/>
  <c r="L484" i="3"/>
  <c r="E484" i="3"/>
  <c r="Y483" i="3"/>
  <c r="L483" i="3"/>
  <c r="E483" i="3"/>
  <c r="Y482" i="3"/>
  <c r="L482" i="3"/>
  <c r="E482" i="3"/>
  <c r="Y481" i="3"/>
  <c r="L481" i="3"/>
  <c r="E481" i="3"/>
  <c r="Y480" i="3"/>
  <c r="L480" i="3"/>
  <c r="E480" i="3"/>
  <c r="Y479" i="3"/>
  <c r="L479" i="3"/>
  <c r="E479" i="3"/>
  <c r="Y478" i="3"/>
  <c r="L478" i="3"/>
  <c r="E478" i="3"/>
  <c r="Y477" i="3"/>
  <c r="L477" i="3"/>
  <c r="E477" i="3"/>
  <c r="Y476" i="3"/>
  <c r="L476" i="3"/>
  <c r="E476" i="3"/>
  <c r="Y475" i="3"/>
  <c r="L475" i="3"/>
  <c r="E475" i="3"/>
  <c r="Y474" i="3"/>
  <c r="L474" i="3"/>
  <c r="E474" i="3"/>
  <c r="Y473" i="3"/>
  <c r="L473" i="3"/>
  <c r="E473" i="3"/>
  <c r="Y472" i="3"/>
  <c r="L472" i="3"/>
  <c r="E472" i="3"/>
  <c r="Y471" i="3"/>
  <c r="L471" i="3"/>
  <c r="E471" i="3"/>
  <c r="Y470" i="3"/>
  <c r="L470" i="3"/>
  <c r="E470" i="3"/>
  <c r="Y469" i="3"/>
  <c r="L469" i="3"/>
  <c r="E469" i="3"/>
  <c r="Y468" i="3"/>
  <c r="L468" i="3"/>
  <c r="E468" i="3"/>
  <c r="Y467" i="3"/>
  <c r="L467" i="3"/>
  <c r="E467" i="3"/>
  <c r="Y466" i="3"/>
  <c r="L466" i="3"/>
  <c r="E466" i="3"/>
  <c r="Y465" i="3"/>
  <c r="L465" i="3"/>
  <c r="E465" i="3"/>
  <c r="Y464" i="3"/>
  <c r="L464" i="3"/>
  <c r="E464" i="3"/>
  <c r="Y463" i="3"/>
  <c r="L463" i="3"/>
  <c r="E463" i="3"/>
  <c r="Y462" i="3"/>
  <c r="L462" i="3"/>
  <c r="E462" i="3"/>
  <c r="Y461" i="3"/>
  <c r="L461" i="3"/>
  <c r="E461" i="3"/>
  <c r="Y460" i="3"/>
  <c r="L460" i="3"/>
  <c r="E460" i="3"/>
  <c r="Y459" i="3"/>
  <c r="L459" i="3"/>
  <c r="E459" i="3"/>
  <c r="Y458" i="3"/>
  <c r="L458" i="3"/>
  <c r="E458" i="3"/>
  <c r="Y457" i="3"/>
  <c r="L457" i="3"/>
  <c r="E457" i="3"/>
  <c r="Y456" i="3"/>
  <c r="L456" i="3"/>
  <c r="E456" i="3"/>
  <c r="Y455" i="3"/>
  <c r="L455" i="3"/>
  <c r="E455" i="3"/>
  <c r="Y454" i="3"/>
  <c r="L454" i="3"/>
  <c r="E454" i="3"/>
  <c r="Y453" i="3"/>
  <c r="L453" i="3"/>
  <c r="E453" i="3"/>
  <c r="Y452" i="3"/>
  <c r="L452" i="3"/>
  <c r="E452" i="3"/>
  <c r="Y451" i="3"/>
  <c r="L451" i="3"/>
  <c r="E451" i="3"/>
  <c r="Y450" i="3"/>
  <c r="L450" i="3"/>
  <c r="E450" i="3"/>
  <c r="Y449" i="3"/>
  <c r="L449" i="3"/>
  <c r="E449" i="3"/>
  <c r="Y448" i="3"/>
  <c r="L448" i="3"/>
  <c r="E448" i="3"/>
  <c r="Y447" i="3"/>
  <c r="L447" i="3"/>
  <c r="E447" i="3"/>
  <c r="Y446" i="3"/>
  <c r="L446" i="3"/>
  <c r="E446" i="3"/>
  <c r="Y445" i="3"/>
  <c r="L445" i="3"/>
  <c r="E445" i="3"/>
  <c r="Y444" i="3"/>
  <c r="L444" i="3"/>
  <c r="E444" i="3"/>
  <c r="Y443" i="3"/>
  <c r="L443" i="3"/>
  <c r="E443" i="3"/>
  <c r="Y442" i="3"/>
  <c r="L442" i="3"/>
  <c r="E442" i="3"/>
  <c r="Y441" i="3"/>
  <c r="L441" i="3"/>
  <c r="E441" i="3"/>
  <c r="Y440" i="3"/>
  <c r="L440" i="3"/>
  <c r="E440" i="3"/>
  <c r="Y439" i="3"/>
  <c r="L439" i="3"/>
  <c r="E439" i="3"/>
  <c r="Y438" i="3"/>
  <c r="L438" i="3"/>
  <c r="E438" i="3"/>
  <c r="Y437" i="3"/>
  <c r="L437" i="3"/>
  <c r="E437" i="3"/>
  <c r="Y436" i="3"/>
  <c r="L436" i="3"/>
  <c r="E436" i="3"/>
  <c r="Y435" i="3"/>
  <c r="L435" i="3"/>
  <c r="E435" i="3"/>
  <c r="Y434" i="3"/>
  <c r="L434" i="3"/>
  <c r="E434" i="3"/>
  <c r="Y433" i="3"/>
  <c r="L433" i="3"/>
  <c r="E433" i="3"/>
  <c r="Y432" i="3"/>
  <c r="L432" i="3"/>
  <c r="E432" i="3"/>
  <c r="Y431" i="3"/>
  <c r="L431" i="3"/>
  <c r="E431" i="3"/>
  <c r="Y430" i="3"/>
  <c r="L430" i="3"/>
  <c r="E430" i="3"/>
  <c r="Y429" i="3"/>
  <c r="L429" i="3"/>
  <c r="E429" i="3"/>
  <c r="Y428" i="3"/>
  <c r="L428" i="3"/>
  <c r="E428" i="3"/>
  <c r="Y427" i="3"/>
  <c r="L427" i="3"/>
  <c r="E427" i="3"/>
  <c r="Y426" i="3"/>
  <c r="L426" i="3"/>
  <c r="E426" i="3"/>
  <c r="Y425" i="3"/>
  <c r="L425" i="3"/>
  <c r="E425" i="3"/>
  <c r="Y424" i="3"/>
  <c r="L424" i="3"/>
  <c r="E424" i="3"/>
  <c r="Y423" i="3"/>
  <c r="L423" i="3"/>
  <c r="E423" i="3"/>
  <c r="Y422" i="3"/>
  <c r="L422" i="3"/>
  <c r="E422" i="3"/>
  <c r="Y421" i="3"/>
  <c r="L421" i="3"/>
  <c r="E421" i="3"/>
  <c r="Y420" i="3"/>
  <c r="L420" i="3"/>
  <c r="E420" i="3"/>
  <c r="Y419" i="3"/>
  <c r="L419" i="3"/>
  <c r="E419" i="3"/>
  <c r="Y418" i="3"/>
  <c r="L418" i="3"/>
  <c r="E418" i="3"/>
  <c r="Y417" i="3"/>
  <c r="L417" i="3"/>
  <c r="E417" i="3"/>
  <c r="Y416" i="3"/>
  <c r="L416" i="3"/>
  <c r="E416" i="3"/>
  <c r="Y415" i="3"/>
  <c r="L415" i="3"/>
  <c r="E415" i="3"/>
  <c r="Y414" i="3"/>
  <c r="L414" i="3"/>
  <c r="E414" i="3"/>
  <c r="Y413" i="3"/>
  <c r="L413" i="3"/>
  <c r="E413" i="3"/>
  <c r="Y412" i="3"/>
  <c r="L412" i="3"/>
  <c r="E412" i="3"/>
  <c r="Y411" i="3"/>
  <c r="L411" i="3"/>
  <c r="E411" i="3"/>
  <c r="Y410" i="3"/>
  <c r="L410" i="3"/>
  <c r="E410" i="3"/>
  <c r="Y409" i="3"/>
  <c r="L409" i="3"/>
  <c r="E409" i="3"/>
  <c r="Y408" i="3"/>
  <c r="L408" i="3"/>
  <c r="E408" i="3"/>
  <c r="Y407" i="3"/>
  <c r="L407" i="3"/>
  <c r="E407" i="3"/>
  <c r="Y406" i="3"/>
  <c r="L406" i="3"/>
  <c r="E406" i="3"/>
  <c r="Y405" i="3"/>
  <c r="L405" i="3"/>
  <c r="E405" i="3"/>
  <c r="Y404" i="3"/>
  <c r="L404" i="3"/>
  <c r="E404" i="3"/>
  <c r="Y403" i="3"/>
  <c r="L403" i="3"/>
  <c r="E403" i="3"/>
  <c r="Y402" i="3"/>
  <c r="L402" i="3"/>
  <c r="E402" i="3"/>
  <c r="Y401" i="3"/>
  <c r="L401" i="3"/>
  <c r="E401" i="3"/>
  <c r="Y400" i="3"/>
  <c r="L400" i="3"/>
  <c r="E400" i="3"/>
  <c r="Y399" i="3"/>
  <c r="L399" i="3"/>
  <c r="E399" i="3"/>
  <c r="Y398" i="3"/>
  <c r="L398" i="3"/>
  <c r="E398" i="3"/>
  <c r="Y397" i="3"/>
  <c r="L397" i="3"/>
  <c r="E397" i="3"/>
  <c r="Y396" i="3"/>
  <c r="L396" i="3"/>
  <c r="E396" i="3"/>
  <c r="Y395" i="3"/>
  <c r="L395" i="3"/>
  <c r="E395" i="3"/>
  <c r="Y394" i="3"/>
  <c r="L394" i="3"/>
  <c r="E394" i="3"/>
  <c r="Y393" i="3"/>
  <c r="L393" i="3"/>
  <c r="E393" i="3"/>
  <c r="Y392" i="3"/>
  <c r="L392" i="3"/>
  <c r="E392" i="3"/>
  <c r="Y391" i="3"/>
  <c r="L391" i="3"/>
  <c r="E391" i="3"/>
  <c r="Y390" i="3"/>
  <c r="L390" i="3"/>
  <c r="E390" i="3"/>
  <c r="Y389" i="3"/>
  <c r="L389" i="3"/>
  <c r="E389" i="3"/>
  <c r="Y388" i="3"/>
  <c r="L388" i="3"/>
  <c r="E388" i="3"/>
  <c r="Y387" i="3"/>
  <c r="L387" i="3"/>
  <c r="E387" i="3"/>
  <c r="Y386" i="3"/>
  <c r="L386" i="3"/>
  <c r="E386" i="3"/>
  <c r="Y385" i="3"/>
  <c r="L385" i="3"/>
  <c r="E385" i="3"/>
  <c r="Y384" i="3"/>
  <c r="L384" i="3"/>
  <c r="E384" i="3"/>
  <c r="Y383" i="3"/>
  <c r="L383" i="3"/>
  <c r="E383" i="3"/>
  <c r="Y382" i="3"/>
  <c r="L382" i="3"/>
  <c r="E382" i="3"/>
  <c r="Y381" i="3"/>
  <c r="L381" i="3"/>
  <c r="E381" i="3"/>
  <c r="Y380" i="3"/>
  <c r="L380" i="3"/>
  <c r="E380" i="3"/>
  <c r="Y379" i="3"/>
  <c r="L379" i="3"/>
  <c r="E379" i="3"/>
  <c r="Y378" i="3"/>
  <c r="L378" i="3"/>
  <c r="E378" i="3"/>
  <c r="Y377" i="3"/>
  <c r="L377" i="3"/>
  <c r="E377" i="3"/>
  <c r="Y376" i="3"/>
  <c r="L376" i="3"/>
  <c r="E376" i="3"/>
  <c r="Y375" i="3"/>
  <c r="L375" i="3"/>
  <c r="E375" i="3"/>
  <c r="Y374" i="3"/>
  <c r="L374" i="3"/>
  <c r="E374" i="3"/>
  <c r="Y373" i="3"/>
  <c r="L373" i="3"/>
  <c r="E373" i="3"/>
  <c r="Y372" i="3"/>
  <c r="L372" i="3"/>
  <c r="E372" i="3"/>
  <c r="Y371" i="3"/>
  <c r="L371" i="3"/>
  <c r="E371" i="3"/>
  <c r="Y370" i="3"/>
  <c r="L370" i="3"/>
  <c r="E370" i="3"/>
  <c r="Y369" i="3"/>
  <c r="L369" i="3"/>
  <c r="E369" i="3"/>
  <c r="Y368" i="3"/>
  <c r="L368" i="3"/>
  <c r="E368" i="3"/>
  <c r="Y367" i="3"/>
  <c r="L367" i="3"/>
  <c r="E367" i="3"/>
  <c r="Y366" i="3"/>
  <c r="L366" i="3"/>
  <c r="E366" i="3"/>
  <c r="Y365" i="3"/>
  <c r="L365" i="3"/>
  <c r="E365" i="3"/>
  <c r="Y364" i="3"/>
  <c r="L364" i="3"/>
  <c r="E364" i="3"/>
  <c r="Y363" i="3"/>
  <c r="L363" i="3"/>
  <c r="E363" i="3"/>
  <c r="Y362" i="3"/>
  <c r="L362" i="3"/>
  <c r="E362" i="3"/>
  <c r="Y361" i="3"/>
  <c r="L361" i="3"/>
  <c r="E361" i="3"/>
  <c r="Y360" i="3"/>
  <c r="L360" i="3"/>
  <c r="E360" i="3"/>
  <c r="Y359" i="3"/>
  <c r="L359" i="3"/>
  <c r="E359" i="3"/>
  <c r="Y358" i="3"/>
  <c r="L358" i="3"/>
  <c r="E358" i="3"/>
  <c r="Y357" i="3"/>
  <c r="L357" i="3"/>
  <c r="E357" i="3"/>
  <c r="Y356" i="3"/>
  <c r="L356" i="3"/>
  <c r="E356" i="3"/>
  <c r="Y355" i="3"/>
  <c r="L355" i="3"/>
  <c r="E355" i="3"/>
  <c r="Y354" i="3"/>
  <c r="L354" i="3"/>
  <c r="E354" i="3"/>
  <c r="Y353" i="3"/>
  <c r="L353" i="3"/>
  <c r="E353" i="3"/>
  <c r="Y352" i="3"/>
  <c r="L352" i="3"/>
  <c r="E352" i="3"/>
  <c r="Y351" i="3"/>
  <c r="L351" i="3"/>
  <c r="E351" i="3"/>
  <c r="Y350" i="3"/>
  <c r="L350" i="3"/>
  <c r="E350" i="3"/>
  <c r="Y349" i="3"/>
  <c r="L349" i="3"/>
  <c r="E349" i="3"/>
  <c r="Y348" i="3"/>
  <c r="L348" i="3"/>
  <c r="E348" i="3"/>
  <c r="Y347" i="3"/>
  <c r="L347" i="3"/>
  <c r="E347" i="3"/>
  <c r="Y346" i="3"/>
  <c r="L346" i="3"/>
  <c r="E346" i="3"/>
  <c r="Y345" i="3"/>
  <c r="L345" i="3"/>
  <c r="E345" i="3"/>
  <c r="Y344" i="3"/>
  <c r="L344" i="3"/>
  <c r="E344" i="3"/>
  <c r="Y343" i="3"/>
  <c r="L343" i="3"/>
  <c r="E343" i="3"/>
  <c r="Y342" i="3"/>
  <c r="L342" i="3"/>
  <c r="E342" i="3"/>
  <c r="Y341" i="3"/>
  <c r="L341" i="3"/>
  <c r="E341" i="3"/>
  <c r="Y340" i="3"/>
  <c r="L340" i="3"/>
  <c r="E340" i="3"/>
  <c r="Y339" i="3"/>
  <c r="L339" i="3"/>
  <c r="E339" i="3"/>
  <c r="Y338" i="3"/>
  <c r="L338" i="3"/>
  <c r="E338" i="3"/>
  <c r="Y337" i="3"/>
  <c r="L337" i="3"/>
  <c r="E337" i="3"/>
  <c r="Y336" i="3"/>
  <c r="L336" i="3"/>
  <c r="E336" i="3"/>
  <c r="Y335" i="3"/>
  <c r="L335" i="3"/>
  <c r="E335" i="3"/>
  <c r="Y334" i="3"/>
  <c r="L334" i="3"/>
  <c r="E334" i="3"/>
  <c r="Y333" i="3"/>
  <c r="L333" i="3"/>
  <c r="E333" i="3"/>
  <c r="Y332" i="3"/>
  <c r="L332" i="3"/>
  <c r="E332" i="3"/>
  <c r="Y331" i="3"/>
  <c r="L331" i="3"/>
  <c r="E331" i="3"/>
  <c r="Y330" i="3"/>
  <c r="L330" i="3"/>
  <c r="E330" i="3"/>
  <c r="Y329" i="3"/>
  <c r="L329" i="3"/>
  <c r="E329" i="3"/>
  <c r="Y328" i="3"/>
  <c r="L328" i="3"/>
  <c r="E328" i="3"/>
  <c r="Y327" i="3"/>
  <c r="L327" i="3"/>
  <c r="E327" i="3"/>
  <c r="Y326" i="3"/>
  <c r="L326" i="3"/>
  <c r="E326" i="3"/>
  <c r="Y325" i="3"/>
  <c r="L325" i="3"/>
  <c r="E325" i="3"/>
  <c r="Y324" i="3"/>
  <c r="L324" i="3"/>
  <c r="E324" i="3"/>
  <c r="Y323" i="3"/>
  <c r="L323" i="3"/>
  <c r="E323" i="3"/>
  <c r="Y322" i="3"/>
  <c r="L322" i="3"/>
  <c r="E322" i="3"/>
  <c r="Y321" i="3"/>
  <c r="L321" i="3"/>
  <c r="E321" i="3"/>
  <c r="Y320" i="3"/>
  <c r="L320" i="3"/>
  <c r="E320" i="3"/>
  <c r="Y319" i="3"/>
  <c r="L319" i="3"/>
  <c r="E319" i="3"/>
  <c r="Y318" i="3"/>
  <c r="L318" i="3"/>
  <c r="E318" i="3"/>
  <c r="Y317" i="3"/>
  <c r="L317" i="3"/>
  <c r="E317" i="3"/>
  <c r="Y316" i="3"/>
  <c r="L316" i="3"/>
  <c r="E316" i="3"/>
  <c r="Y315" i="3"/>
  <c r="L315" i="3"/>
  <c r="E315" i="3"/>
  <c r="Y314" i="3"/>
  <c r="L314" i="3"/>
  <c r="E314" i="3"/>
  <c r="Y313" i="3"/>
  <c r="L313" i="3"/>
  <c r="E313" i="3"/>
  <c r="Y312" i="3"/>
  <c r="L312" i="3"/>
  <c r="E312" i="3"/>
  <c r="Y311" i="3"/>
  <c r="L311" i="3"/>
  <c r="E311" i="3"/>
  <c r="Y310" i="3"/>
  <c r="L310" i="3"/>
  <c r="E310" i="3"/>
  <c r="Y309" i="3"/>
  <c r="L309" i="3"/>
  <c r="E309" i="3"/>
  <c r="Y308" i="3"/>
  <c r="L308" i="3"/>
  <c r="E308" i="3"/>
  <c r="Y307" i="3"/>
  <c r="L307" i="3"/>
  <c r="E307" i="3"/>
  <c r="Y306" i="3"/>
  <c r="L306" i="3"/>
  <c r="E306" i="3"/>
  <c r="Y305" i="3"/>
  <c r="L305" i="3"/>
  <c r="E305" i="3"/>
  <c r="Y304" i="3"/>
  <c r="L304" i="3"/>
  <c r="E304" i="3"/>
  <c r="Y303" i="3"/>
  <c r="L303" i="3"/>
  <c r="E303" i="3"/>
  <c r="Y302" i="3"/>
  <c r="L302" i="3"/>
  <c r="E302" i="3"/>
  <c r="Y301" i="3"/>
  <c r="L301" i="3"/>
  <c r="E301" i="3"/>
  <c r="Y300" i="3"/>
  <c r="L300" i="3"/>
  <c r="E300" i="3"/>
  <c r="Y299" i="3"/>
  <c r="L299" i="3"/>
  <c r="E299" i="3"/>
  <c r="Y298" i="3"/>
  <c r="L298" i="3"/>
  <c r="E298" i="3"/>
  <c r="Y297" i="3"/>
  <c r="L297" i="3"/>
  <c r="E297" i="3"/>
  <c r="Y296" i="3"/>
  <c r="L296" i="3"/>
  <c r="E296" i="3"/>
  <c r="Y295" i="3"/>
  <c r="L295" i="3"/>
  <c r="E295" i="3"/>
  <c r="Y294" i="3"/>
  <c r="L294" i="3"/>
  <c r="E294" i="3"/>
  <c r="Y293" i="3"/>
  <c r="L293" i="3"/>
  <c r="E293" i="3"/>
  <c r="Y292" i="3"/>
  <c r="L292" i="3"/>
  <c r="E292" i="3"/>
  <c r="Y291" i="3"/>
  <c r="L291" i="3"/>
  <c r="E291" i="3"/>
  <c r="Y290" i="3"/>
  <c r="L290" i="3"/>
  <c r="E290" i="3"/>
  <c r="Y289" i="3"/>
  <c r="L289" i="3"/>
  <c r="E289" i="3"/>
  <c r="Y288" i="3"/>
  <c r="L288" i="3"/>
  <c r="E288" i="3"/>
  <c r="Y287" i="3"/>
  <c r="L287" i="3"/>
  <c r="E287" i="3"/>
  <c r="Y286" i="3"/>
  <c r="L286" i="3"/>
  <c r="E286" i="3"/>
  <c r="Y285" i="3"/>
  <c r="L285" i="3"/>
  <c r="E285" i="3"/>
  <c r="Y284" i="3"/>
  <c r="L284" i="3"/>
  <c r="E284" i="3"/>
  <c r="Y283" i="3"/>
  <c r="L283" i="3"/>
  <c r="E283" i="3"/>
  <c r="Y282" i="3"/>
  <c r="L282" i="3"/>
  <c r="E282" i="3"/>
  <c r="Y281" i="3"/>
  <c r="L281" i="3"/>
  <c r="E281" i="3"/>
  <c r="Y280" i="3"/>
  <c r="L280" i="3"/>
  <c r="E280" i="3"/>
  <c r="Y279" i="3"/>
  <c r="L279" i="3"/>
  <c r="E279" i="3"/>
  <c r="Y278" i="3"/>
  <c r="L278" i="3"/>
  <c r="E278" i="3"/>
  <c r="Y277" i="3"/>
  <c r="L277" i="3"/>
  <c r="E277" i="3"/>
  <c r="Y276" i="3"/>
  <c r="L276" i="3"/>
  <c r="E276" i="3"/>
  <c r="Y275" i="3"/>
  <c r="L275" i="3"/>
  <c r="E275" i="3"/>
  <c r="Y274" i="3"/>
  <c r="L274" i="3"/>
  <c r="E274" i="3"/>
  <c r="Y273" i="3"/>
  <c r="L273" i="3"/>
  <c r="E273" i="3"/>
  <c r="Y272" i="3"/>
  <c r="L272" i="3"/>
  <c r="E272" i="3"/>
  <c r="Y271" i="3"/>
  <c r="L271" i="3"/>
  <c r="E271" i="3"/>
  <c r="Y270" i="3"/>
  <c r="L270" i="3"/>
  <c r="E270" i="3"/>
  <c r="Y269" i="3"/>
  <c r="L269" i="3"/>
  <c r="E269" i="3"/>
  <c r="Y268" i="3"/>
  <c r="L268" i="3"/>
  <c r="E268" i="3"/>
  <c r="Y267" i="3"/>
  <c r="L267" i="3"/>
  <c r="E267" i="3"/>
  <c r="Y266" i="3"/>
  <c r="L266" i="3"/>
  <c r="E266" i="3"/>
  <c r="Y265" i="3"/>
  <c r="L265" i="3"/>
  <c r="E265" i="3"/>
  <c r="Y264" i="3"/>
  <c r="L264" i="3"/>
  <c r="E264" i="3"/>
  <c r="Y263" i="3"/>
  <c r="L263" i="3"/>
  <c r="E263" i="3"/>
  <c r="Y262" i="3"/>
  <c r="L262" i="3"/>
  <c r="E262" i="3"/>
  <c r="Y261" i="3"/>
  <c r="L261" i="3"/>
  <c r="E261" i="3"/>
  <c r="Y260" i="3"/>
  <c r="L260" i="3"/>
  <c r="E260" i="3"/>
  <c r="Y259" i="3"/>
  <c r="L259" i="3"/>
  <c r="E259" i="3"/>
  <c r="Y258" i="3"/>
  <c r="L258" i="3"/>
  <c r="E258" i="3"/>
  <c r="Y257" i="3"/>
  <c r="L257" i="3"/>
  <c r="E257" i="3"/>
  <c r="Y256" i="3"/>
  <c r="L256" i="3"/>
  <c r="E256" i="3"/>
  <c r="Y255" i="3"/>
  <c r="L255" i="3"/>
  <c r="E255" i="3"/>
  <c r="Y254" i="3"/>
  <c r="L254" i="3"/>
  <c r="E254" i="3"/>
  <c r="Y253" i="3"/>
  <c r="L253" i="3"/>
  <c r="E253" i="3"/>
  <c r="Y252" i="3"/>
  <c r="L252" i="3"/>
  <c r="E252" i="3"/>
  <c r="Y251" i="3"/>
  <c r="L251" i="3"/>
  <c r="E251" i="3"/>
  <c r="Y250" i="3"/>
  <c r="L250" i="3"/>
  <c r="E250" i="3"/>
  <c r="Y249" i="3"/>
  <c r="L249" i="3"/>
  <c r="E249" i="3"/>
  <c r="Y248" i="3"/>
  <c r="L248" i="3"/>
  <c r="E248" i="3"/>
  <c r="Y247" i="3"/>
  <c r="L247" i="3"/>
  <c r="E247" i="3"/>
  <c r="Y246" i="3"/>
  <c r="L246" i="3"/>
  <c r="E246" i="3"/>
  <c r="Y245" i="3"/>
  <c r="L245" i="3"/>
  <c r="E245" i="3"/>
  <c r="Y244" i="3"/>
  <c r="L244" i="3"/>
  <c r="E244" i="3"/>
  <c r="Y243" i="3"/>
  <c r="L243" i="3"/>
  <c r="E243" i="3"/>
  <c r="Y242" i="3"/>
  <c r="L242" i="3"/>
  <c r="E242" i="3"/>
  <c r="Y241" i="3"/>
  <c r="L241" i="3"/>
  <c r="E241" i="3"/>
  <c r="Y240" i="3"/>
  <c r="L240" i="3"/>
  <c r="E240" i="3"/>
  <c r="Y239" i="3"/>
  <c r="L239" i="3"/>
  <c r="E239" i="3"/>
  <c r="Y238" i="3"/>
  <c r="L238" i="3"/>
  <c r="E238" i="3"/>
  <c r="Y237" i="3"/>
  <c r="L237" i="3"/>
  <c r="E237" i="3"/>
  <c r="Y236" i="3"/>
  <c r="L236" i="3"/>
  <c r="E236" i="3"/>
  <c r="Y235" i="3"/>
  <c r="L235" i="3"/>
  <c r="E235" i="3"/>
  <c r="Y234" i="3"/>
  <c r="L234" i="3"/>
  <c r="E234" i="3"/>
  <c r="Y233" i="3"/>
  <c r="L233" i="3"/>
  <c r="E233" i="3"/>
  <c r="Y232" i="3"/>
  <c r="L232" i="3"/>
  <c r="E232" i="3"/>
  <c r="Y231" i="3"/>
  <c r="L231" i="3"/>
  <c r="E231" i="3"/>
  <c r="Y230" i="3"/>
  <c r="L230" i="3"/>
  <c r="E230" i="3"/>
  <c r="Y229" i="3"/>
  <c r="L229" i="3"/>
  <c r="E229" i="3"/>
  <c r="Y228" i="3"/>
  <c r="L228" i="3"/>
  <c r="E228" i="3"/>
  <c r="Y227" i="3"/>
  <c r="L227" i="3"/>
  <c r="E227" i="3"/>
  <c r="Y226" i="3"/>
  <c r="L226" i="3"/>
  <c r="E226" i="3"/>
  <c r="Y225" i="3"/>
  <c r="L225" i="3"/>
  <c r="E225" i="3"/>
  <c r="Y224" i="3"/>
  <c r="L224" i="3"/>
  <c r="E224" i="3"/>
  <c r="Y223" i="3"/>
  <c r="L223" i="3"/>
  <c r="E223" i="3"/>
  <c r="Y222" i="3"/>
  <c r="L222" i="3"/>
  <c r="E222" i="3"/>
  <c r="Y221" i="3"/>
  <c r="L221" i="3"/>
  <c r="E221" i="3"/>
  <c r="Y220" i="3"/>
  <c r="L220" i="3"/>
  <c r="E220" i="3"/>
  <c r="Y219" i="3"/>
  <c r="L219" i="3"/>
  <c r="E219" i="3"/>
  <c r="Y218" i="3"/>
  <c r="L218" i="3"/>
  <c r="E218" i="3"/>
  <c r="Y217" i="3"/>
  <c r="L217" i="3"/>
  <c r="E217" i="3"/>
  <c r="Y216" i="3"/>
  <c r="L216" i="3"/>
  <c r="E216" i="3"/>
  <c r="Y215" i="3"/>
  <c r="L215" i="3"/>
  <c r="E215" i="3"/>
  <c r="Y214" i="3"/>
  <c r="L214" i="3"/>
  <c r="E214" i="3"/>
  <c r="Y213" i="3"/>
  <c r="L213" i="3"/>
  <c r="E213" i="3"/>
  <c r="Y212" i="3"/>
  <c r="L212" i="3"/>
  <c r="E212" i="3"/>
  <c r="Y211" i="3"/>
  <c r="L211" i="3"/>
  <c r="E211" i="3"/>
  <c r="Y210" i="3"/>
  <c r="L210" i="3"/>
  <c r="E210" i="3"/>
  <c r="Y209" i="3"/>
  <c r="L209" i="3"/>
  <c r="E209" i="3"/>
  <c r="Y208" i="3"/>
  <c r="L208" i="3"/>
  <c r="E208" i="3"/>
  <c r="Y207" i="3"/>
  <c r="L207" i="3"/>
  <c r="E207" i="3"/>
  <c r="Y206" i="3"/>
  <c r="L206" i="3"/>
  <c r="E206" i="3"/>
  <c r="Y205" i="3"/>
  <c r="L205" i="3"/>
  <c r="E205" i="3"/>
  <c r="Y204" i="3"/>
  <c r="L204" i="3"/>
  <c r="E204" i="3"/>
  <c r="Y203" i="3"/>
  <c r="L203" i="3"/>
  <c r="E203" i="3"/>
  <c r="Y202" i="3"/>
  <c r="L202" i="3"/>
  <c r="E202" i="3"/>
  <c r="Y201" i="3"/>
  <c r="L201" i="3"/>
  <c r="E201" i="3"/>
  <c r="Y200" i="3"/>
  <c r="L200" i="3"/>
  <c r="E200" i="3"/>
  <c r="Y199" i="3"/>
  <c r="L199" i="3"/>
  <c r="E199" i="3"/>
  <c r="Y198" i="3"/>
  <c r="L198" i="3"/>
  <c r="E198" i="3"/>
  <c r="Y197" i="3"/>
  <c r="L197" i="3"/>
  <c r="E197" i="3"/>
  <c r="Y196" i="3"/>
  <c r="L196" i="3"/>
  <c r="E196" i="3"/>
  <c r="Y195" i="3"/>
  <c r="L195" i="3"/>
  <c r="E195" i="3"/>
  <c r="Y194" i="3"/>
  <c r="L194" i="3"/>
  <c r="E194" i="3"/>
  <c r="Y193" i="3"/>
  <c r="L193" i="3"/>
  <c r="E193" i="3"/>
  <c r="Y192" i="3"/>
  <c r="L192" i="3"/>
  <c r="E192" i="3"/>
  <c r="Y191" i="3"/>
  <c r="L191" i="3"/>
  <c r="E191" i="3"/>
  <c r="Y190" i="3"/>
  <c r="L190" i="3"/>
  <c r="E190" i="3"/>
  <c r="Y189" i="3"/>
  <c r="L189" i="3"/>
  <c r="E189" i="3"/>
  <c r="Y188" i="3"/>
  <c r="L188" i="3"/>
  <c r="E188" i="3"/>
  <c r="Y187" i="3"/>
  <c r="L187" i="3"/>
  <c r="E187" i="3"/>
  <c r="Y186" i="3"/>
  <c r="L186" i="3"/>
  <c r="E186" i="3"/>
  <c r="Y185" i="3"/>
  <c r="L185" i="3"/>
  <c r="E185" i="3"/>
  <c r="Y184" i="3"/>
  <c r="L184" i="3"/>
  <c r="E184" i="3"/>
  <c r="Y183" i="3"/>
  <c r="L183" i="3"/>
  <c r="E183" i="3"/>
  <c r="Y182" i="3"/>
  <c r="L182" i="3"/>
  <c r="E182" i="3"/>
  <c r="Y181" i="3"/>
  <c r="L181" i="3"/>
  <c r="E181" i="3"/>
  <c r="Y180" i="3"/>
  <c r="L180" i="3"/>
  <c r="E180" i="3"/>
  <c r="Y179" i="3"/>
  <c r="L179" i="3"/>
  <c r="E179" i="3"/>
  <c r="Y178" i="3"/>
  <c r="L178" i="3"/>
  <c r="E178" i="3"/>
  <c r="Y177" i="3"/>
  <c r="L177" i="3"/>
  <c r="E177" i="3"/>
  <c r="Y176" i="3"/>
  <c r="L176" i="3"/>
  <c r="E176" i="3"/>
  <c r="Y175" i="3"/>
  <c r="L175" i="3"/>
  <c r="E175" i="3"/>
  <c r="Y174" i="3"/>
  <c r="L174" i="3"/>
  <c r="E174" i="3"/>
  <c r="Y173" i="3"/>
  <c r="L173" i="3"/>
  <c r="E173" i="3"/>
  <c r="Y172" i="3"/>
  <c r="L172" i="3"/>
  <c r="E172" i="3"/>
  <c r="Y171" i="3"/>
  <c r="L171" i="3"/>
  <c r="E171" i="3"/>
  <c r="Y170" i="3"/>
  <c r="L170" i="3"/>
  <c r="E170" i="3"/>
  <c r="Y169" i="3"/>
  <c r="L169" i="3"/>
  <c r="E169" i="3"/>
  <c r="Y168" i="3"/>
  <c r="L168" i="3"/>
  <c r="E168" i="3"/>
  <c r="Y167" i="3"/>
  <c r="L167" i="3"/>
  <c r="E167" i="3"/>
  <c r="Y166" i="3"/>
  <c r="L166" i="3"/>
  <c r="E166" i="3"/>
  <c r="Y165" i="3"/>
  <c r="L165" i="3"/>
  <c r="E165" i="3"/>
  <c r="Y164" i="3"/>
  <c r="L164" i="3"/>
  <c r="E164" i="3"/>
  <c r="Y163" i="3"/>
  <c r="L163" i="3"/>
  <c r="E163" i="3"/>
  <c r="Y162" i="3"/>
  <c r="L162" i="3"/>
  <c r="E162" i="3"/>
  <c r="Y161" i="3"/>
  <c r="L161" i="3"/>
  <c r="E161" i="3"/>
  <c r="Y160" i="3"/>
  <c r="L160" i="3"/>
  <c r="E160" i="3"/>
  <c r="Y159" i="3"/>
  <c r="L159" i="3"/>
  <c r="E159" i="3"/>
  <c r="Y158" i="3"/>
  <c r="L158" i="3"/>
  <c r="E158" i="3"/>
  <c r="Y157" i="3"/>
  <c r="L157" i="3"/>
  <c r="E157" i="3"/>
  <c r="Y156" i="3"/>
  <c r="L156" i="3"/>
  <c r="E156" i="3"/>
  <c r="Y155" i="3"/>
  <c r="L155" i="3"/>
  <c r="E155" i="3"/>
  <c r="Y154" i="3"/>
  <c r="L154" i="3"/>
  <c r="E154" i="3"/>
  <c r="Y153" i="3"/>
  <c r="L153" i="3"/>
  <c r="E153" i="3"/>
  <c r="Y152" i="3"/>
  <c r="L152" i="3"/>
  <c r="E152" i="3"/>
  <c r="Y151" i="3"/>
  <c r="L151" i="3"/>
  <c r="E151" i="3"/>
  <c r="Y150" i="3"/>
  <c r="L150" i="3"/>
  <c r="E150" i="3"/>
  <c r="Y149" i="3"/>
  <c r="L149" i="3"/>
  <c r="E149" i="3"/>
  <c r="Y148" i="3"/>
  <c r="L148" i="3"/>
  <c r="E148" i="3"/>
  <c r="Y147" i="3"/>
  <c r="L147" i="3"/>
  <c r="E147" i="3"/>
  <c r="Y146" i="3"/>
  <c r="L146" i="3"/>
  <c r="E146" i="3"/>
  <c r="Y145" i="3"/>
  <c r="L145" i="3"/>
  <c r="E145" i="3"/>
  <c r="Y144" i="3"/>
  <c r="L144" i="3"/>
  <c r="E144" i="3"/>
  <c r="Y143" i="3"/>
  <c r="L143" i="3"/>
  <c r="E143" i="3"/>
  <c r="Y142" i="3"/>
  <c r="L142" i="3"/>
  <c r="E142" i="3"/>
  <c r="Y141" i="3"/>
  <c r="L141" i="3"/>
  <c r="E141" i="3"/>
  <c r="Y140" i="3"/>
  <c r="L140" i="3"/>
  <c r="E140" i="3"/>
  <c r="Y139" i="3"/>
  <c r="L139" i="3"/>
  <c r="E139" i="3"/>
  <c r="Y138" i="3"/>
  <c r="L138" i="3"/>
  <c r="E138" i="3"/>
  <c r="Y137" i="3"/>
  <c r="L137" i="3"/>
  <c r="E137" i="3"/>
  <c r="Y136" i="3"/>
  <c r="L136" i="3"/>
  <c r="E136" i="3"/>
  <c r="Y135" i="3"/>
  <c r="L135" i="3"/>
  <c r="E135" i="3"/>
  <c r="Y134" i="3"/>
  <c r="L134" i="3"/>
  <c r="E134" i="3"/>
  <c r="Y133" i="3"/>
  <c r="L133" i="3"/>
  <c r="E133" i="3"/>
  <c r="Y132" i="3"/>
  <c r="L132" i="3"/>
  <c r="E132" i="3"/>
  <c r="Y131" i="3"/>
  <c r="L131" i="3"/>
  <c r="E131" i="3"/>
  <c r="Y130" i="3"/>
  <c r="L130" i="3"/>
  <c r="E130" i="3"/>
  <c r="Y129" i="3"/>
  <c r="L129" i="3"/>
  <c r="E129" i="3"/>
  <c r="Y128" i="3"/>
  <c r="L128" i="3"/>
  <c r="E128" i="3"/>
  <c r="Y127" i="3"/>
  <c r="L127" i="3"/>
  <c r="E127" i="3"/>
  <c r="Y126" i="3"/>
  <c r="L126" i="3"/>
  <c r="E126" i="3"/>
  <c r="Y125" i="3"/>
  <c r="L125" i="3"/>
  <c r="E125" i="3"/>
  <c r="Y124" i="3"/>
  <c r="L124" i="3"/>
  <c r="E124" i="3"/>
  <c r="Y123" i="3"/>
  <c r="L123" i="3"/>
  <c r="E123" i="3"/>
  <c r="Y122" i="3"/>
  <c r="L122" i="3"/>
  <c r="E122" i="3"/>
  <c r="Y121" i="3"/>
  <c r="L121" i="3"/>
  <c r="E121" i="3"/>
  <c r="Y120" i="3"/>
  <c r="L120" i="3"/>
  <c r="E120" i="3"/>
  <c r="Y119" i="3"/>
  <c r="L119" i="3"/>
  <c r="E119" i="3"/>
  <c r="Y118" i="3"/>
  <c r="L118" i="3"/>
  <c r="E118" i="3"/>
  <c r="Y117" i="3"/>
  <c r="L117" i="3"/>
  <c r="E117" i="3"/>
  <c r="Y116" i="3"/>
  <c r="L116" i="3"/>
  <c r="E116" i="3"/>
  <c r="Y115" i="3"/>
  <c r="L115" i="3"/>
  <c r="E115" i="3"/>
  <c r="Y114" i="3"/>
  <c r="L114" i="3"/>
  <c r="E114" i="3"/>
  <c r="Y113" i="3"/>
  <c r="L113" i="3"/>
  <c r="E113" i="3"/>
  <c r="Y112" i="3"/>
  <c r="L112" i="3"/>
  <c r="E112" i="3"/>
  <c r="Y111" i="3"/>
  <c r="L111" i="3"/>
  <c r="E111" i="3"/>
  <c r="Y110" i="3"/>
  <c r="L110" i="3"/>
  <c r="E110" i="3"/>
  <c r="Y109" i="3"/>
  <c r="L109" i="3"/>
  <c r="E109" i="3"/>
  <c r="Y108" i="3"/>
  <c r="L108" i="3"/>
  <c r="E108" i="3"/>
  <c r="Y107" i="3"/>
  <c r="L107" i="3"/>
  <c r="E107" i="3"/>
  <c r="Y106" i="3"/>
  <c r="L106" i="3"/>
  <c r="E106" i="3"/>
  <c r="Y105" i="3"/>
  <c r="L105" i="3"/>
  <c r="E105" i="3"/>
  <c r="Y104" i="3"/>
  <c r="L104" i="3"/>
  <c r="E104" i="3"/>
  <c r="Y103" i="3"/>
  <c r="L103" i="3"/>
  <c r="E103" i="3"/>
  <c r="Y102" i="3"/>
  <c r="L102" i="3"/>
  <c r="E102" i="3"/>
  <c r="Y101" i="3"/>
  <c r="L101" i="3"/>
  <c r="E101" i="3"/>
  <c r="Y100" i="3"/>
  <c r="L100" i="3"/>
  <c r="E100" i="3"/>
  <c r="Y99" i="3"/>
  <c r="L99" i="3"/>
  <c r="E99" i="3"/>
  <c r="Y98" i="3"/>
  <c r="L98" i="3"/>
  <c r="E98" i="3"/>
  <c r="Y97" i="3"/>
  <c r="L97" i="3"/>
  <c r="E97" i="3"/>
  <c r="Y96" i="3"/>
  <c r="L96" i="3"/>
  <c r="E96" i="3"/>
  <c r="Y95" i="3"/>
  <c r="L95" i="3"/>
  <c r="E95" i="3"/>
  <c r="Y94" i="3"/>
  <c r="L94" i="3"/>
  <c r="E94" i="3"/>
  <c r="Y93" i="3"/>
  <c r="L93" i="3"/>
  <c r="E93" i="3"/>
  <c r="Y92" i="3"/>
  <c r="L92" i="3"/>
  <c r="E92" i="3"/>
  <c r="Y91" i="3"/>
  <c r="L91" i="3"/>
  <c r="E91" i="3"/>
  <c r="Y90" i="3"/>
  <c r="L90" i="3"/>
  <c r="E90" i="3"/>
  <c r="Y89" i="3"/>
  <c r="L89" i="3"/>
  <c r="E89" i="3"/>
  <c r="Y88" i="3"/>
  <c r="L88" i="3"/>
  <c r="E88" i="3"/>
  <c r="Y87" i="3"/>
  <c r="L87" i="3"/>
  <c r="E87" i="3"/>
  <c r="Y86" i="3"/>
  <c r="L86" i="3"/>
  <c r="E86" i="3"/>
  <c r="Y85" i="3"/>
  <c r="L85" i="3"/>
  <c r="E85" i="3"/>
  <c r="Y84" i="3"/>
  <c r="L84" i="3"/>
  <c r="E84" i="3"/>
  <c r="Y83" i="3"/>
  <c r="L83" i="3"/>
  <c r="E83" i="3"/>
  <c r="Y82" i="3"/>
  <c r="L82" i="3"/>
  <c r="E82" i="3"/>
  <c r="Y81" i="3"/>
  <c r="L81" i="3"/>
  <c r="E81" i="3"/>
  <c r="Y80" i="3"/>
  <c r="L80" i="3"/>
  <c r="E80" i="3"/>
  <c r="Y79" i="3"/>
  <c r="L79" i="3"/>
  <c r="E79" i="3"/>
  <c r="Y78" i="3"/>
  <c r="L78" i="3"/>
  <c r="E78" i="3"/>
  <c r="Y77" i="3"/>
  <c r="L77" i="3"/>
  <c r="E77" i="3"/>
  <c r="Y76" i="3"/>
  <c r="L76" i="3"/>
  <c r="E76" i="3"/>
  <c r="Y75" i="3"/>
  <c r="L75" i="3"/>
  <c r="E75" i="3"/>
  <c r="Y74" i="3"/>
  <c r="L74" i="3"/>
  <c r="E74" i="3"/>
  <c r="Y73" i="3"/>
  <c r="L73" i="3"/>
  <c r="E73" i="3"/>
  <c r="Y72" i="3"/>
  <c r="L72" i="3"/>
  <c r="E72" i="3"/>
  <c r="Y71" i="3"/>
  <c r="L71" i="3"/>
  <c r="E71" i="3"/>
  <c r="Y70" i="3"/>
  <c r="L70" i="3"/>
  <c r="E70" i="3"/>
  <c r="Y69" i="3"/>
  <c r="L69" i="3"/>
  <c r="E69" i="3"/>
  <c r="Y68" i="3"/>
  <c r="L68" i="3"/>
  <c r="E68" i="3"/>
  <c r="Y67" i="3"/>
  <c r="L67" i="3"/>
  <c r="E67" i="3"/>
  <c r="Y66" i="3"/>
  <c r="L66" i="3"/>
  <c r="E66" i="3"/>
  <c r="Y65" i="3"/>
  <c r="L65" i="3"/>
  <c r="E65" i="3"/>
  <c r="Y64" i="3"/>
  <c r="L64" i="3"/>
  <c r="E64" i="3"/>
  <c r="Y63" i="3"/>
  <c r="L63" i="3"/>
  <c r="E63" i="3"/>
  <c r="Y62" i="3"/>
  <c r="L62" i="3"/>
  <c r="E62" i="3"/>
  <c r="Y61" i="3"/>
  <c r="L61" i="3"/>
  <c r="E61" i="3"/>
  <c r="Y60" i="3"/>
  <c r="L60" i="3"/>
  <c r="E60" i="3"/>
  <c r="Y59" i="3"/>
  <c r="L59" i="3"/>
  <c r="E59" i="3"/>
  <c r="Y58" i="3"/>
  <c r="L58" i="3"/>
  <c r="E58" i="3"/>
  <c r="Y57" i="3"/>
  <c r="L57" i="3"/>
  <c r="E57" i="3"/>
  <c r="Y56" i="3"/>
  <c r="L56" i="3"/>
  <c r="E56" i="3"/>
  <c r="Y55" i="3"/>
  <c r="L55" i="3"/>
  <c r="E55" i="3"/>
  <c r="Y54" i="3"/>
  <c r="L54" i="3"/>
  <c r="E54" i="3"/>
  <c r="Y53" i="3"/>
  <c r="L53" i="3"/>
  <c r="E53" i="3"/>
  <c r="Y52" i="3"/>
  <c r="L52" i="3"/>
  <c r="E52" i="3"/>
  <c r="Y51" i="3"/>
  <c r="L51" i="3"/>
  <c r="E51" i="3"/>
  <c r="Y50" i="3"/>
  <c r="L50" i="3"/>
  <c r="E50" i="3"/>
  <c r="Y49" i="3"/>
  <c r="L49" i="3"/>
  <c r="E49" i="3"/>
  <c r="Y48" i="3"/>
  <c r="L48" i="3"/>
  <c r="E48" i="3"/>
  <c r="Y47" i="3"/>
  <c r="L47" i="3"/>
  <c r="E47" i="3"/>
  <c r="Y46" i="3"/>
  <c r="L46" i="3"/>
  <c r="E46" i="3"/>
  <c r="Y45" i="3"/>
  <c r="L45" i="3"/>
  <c r="E45" i="3"/>
  <c r="Y44" i="3"/>
  <c r="L44" i="3"/>
  <c r="E44" i="3"/>
  <c r="Y43" i="3"/>
  <c r="L43" i="3"/>
  <c r="E43" i="3"/>
  <c r="Y42" i="3"/>
  <c r="L42" i="3"/>
  <c r="E42" i="3"/>
  <c r="Y41" i="3"/>
  <c r="L41" i="3"/>
  <c r="E41" i="3"/>
  <c r="Y40" i="3"/>
  <c r="L40" i="3"/>
  <c r="E40" i="3"/>
  <c r="Y39" i="3"/>
  <c r="L39" i="3"/>
  <c r="E39" i="3"/>
  <c r="Y38" i="3"/>
  <c r="L38" i="3"/>
  <c r="E38" i="3"/>
  <c r="Y37" i="3"/>
  <c r="L37" i="3"/>
  <c r="E37" i="3"/>
  <c r="Y36" i="3"/>
  <c r="L36" i="3"/>
  <c r="E36" i="3"/>
  <c r="Y35" i="3"/>
  <c r="L35" i="3"/>
  <c r="E35" i="3"/>
  <c r="Y34" i="3"/>
  <c r="L34" i="3"/>
  <c r="E34" i="3"/>
  <c r="Y33" i="3"/>
  <c r="L33" i="3"/>
  <c r="E33" i="3"/>
  <c r="Y32" i="3"/>
  <c r="L32" i="3"/>
  <c r="E32" i="3"/>
  <c r="Y31" i="3"/>
  <c r="L31" i="3"/>
  <c r="E31" i="3"/>
  <c r="Y30" i="3"/>
  <c r="L30" i="3"/>
  <c r="E30" i="3"/>
  <c r="Y29" i="3"/>
  <c r="L29" i="3"/>
  <c r="E29" i="3"/>
  <c r="Y28" i="3"/>
  <c r="L28" i="3"/>
  <c r="E28" i="3"/>
  <c r="Y27" i="3"/>
  <c r="L27" i="3"/>
  <c r="E27" i="3"/>
  <c r="Y26" i="3"/>
  <c r="L26" i="3"/>
  <c r="E26" i="3"/>
  <c r="Y25" i="3"/>
  <c r="L25" i="3"/>
  <c r="E25" i="3"/>
  <c r="Y24" i="3"/>
  <c r="L24" i="3"/>
  <c r="E24" i="3"/>
  <c r="Y23" i="3"/>
  <c r="L23" i="3"/>
  <c r="E23" i="3"/>
  <c r="Y22" i="3"/>
  <c r="L22" i="3"/>
  <c r="E22" i="3"/>
  <c r="Y21" i="3"/>
  <c r="L21" i="3"/>
  <c r="E21" i="3"/>
  <c r="Y20" i="3"/>
  <c r="L20" i="3"/>
  <c r="E20" i="3"/>
  <c r="Y19" i="3"/>
  <c r="L19" i="3"/>
  <c r="E19" i="3"/>
  <c r="Y18" i="3"/>
  <c r="L18" i="3"/>
  <c r="E18" i="3"/>
  <c r="Y17" i="3"/>
  <c r="L17" i="3"/>
  <c r="E17" i="3"/>
  <c r="Y16" i="3"/>
  <c r="L16" i="3"/>
  <c r="E16" i="3"/>
  <c r="Y15" i="3"/>
  <c r="L15" i="3"/>
  <c r="E15" i="3"/>
  <c r="Y14" i="3"/>
  <c r="L14" i="3"/>
  <c r="E14" i="3"/>
  <c r="Y13" i="3"/>
  <c r="L13" i="3"/>
  <c r="E13" i="3"/>
  <c r="Y12" i="3"/>
  <c r="E12" i="3"/>
  <c r="E11" i="3"/>
  <c r="E10" i="3"/>
  <c r="E9" i="3"/>
  <c r="E8" i="3"/>
  <c r="N845" i="3"/>
  <c r="AD841" i="3"/>
  <c r="V844" i="3"/>
  <c r="R842" i="3"/>
  <c r="O838" i="3"/>
  <c r="AF845" i="3"/>
  <c r="I841" i="3"/>
  <c r="AO837" i="3"/>
  <c r="K837" i="3"/>
  <c r="V848" i="3"/>
  <c r="AS844" i="3"/>
  <c r="M845" i="3"/>
  <c r="M843" i="3"/>
  <c r="BQ1662" i="3" l="1"/>
  <c r="BQ1658" i="3"/>
  <c r="BQ1654" i="3"/>
  <c r="BQ1650" i="3"/>
  <c r="BQ1646" i="3"/>
  <c r="BQ1642" i="3"/>
  <c r="BQ1638" i="3"/>
  <c r="BQ1634" i="3"/>
  <c r="BQ1630" i="3"/>
  <c r="BQ1626" i="3"/>
  <c r="BQ1622" i="3"/>
  <c r="BQ1618" i="3"/>
  <c r="BQ1614" i="3"/>
  <c r="BQ1610" i="3"/>
  <c r="BQ1606" i="3"/>
  <c r="BQ1602" i="3"/>
  <c r="BQ1598" i="3"/>
  <c r="BQ1594" i="3"/>
  <c r="BQ1590" i="3"/>
  <c r="BQ1586" i="3"/>
  <c r="BQ1582" i="3"/>
  <c r="BQ1578" i="3"/>
  <c r="BQ1574" i="3"/>
  <c r="BQ1570" i="3"/>
  <c r="BQ1566" i="3"/>
  <c r="BQ1562" i="3"/>
  <c r="BQ1558" i="3"/>
  <c r="BQ1554" i="3"/>
  <c r="BQ1550" i="3"/>
  <c r="BQ1546" i="3"/>
  <c r="BQ1542" i="3"/>
  <c r="BQ1538" i="3"/>
  <c r="BQ1534" i="3"/>
  <c r="BQ1530" i="3"/>
  <c r="BQ1526" i="3"/>
  <c r="BQ1522" i="3"/>
  <c r="BQ1518" i="3"/>
  <c r="BQ1514" i="3"/>
  <c r="BQ1510" i="3"/>
  <c r="BQ1506" i="3"/>
  <c r="BQ1502" i="3"/>
  <c r="BQ1498" i="3"/>
  <c r="BQ1494" i="3"/>
  <c r="BQ1490" i="3"/>
  <c r="BQ1486" i="3"/>
  <c r="BQ1482" i="3"/>
  <c r="BQ1478" i="3"/>
  <c r="BQ1474" i="3"/>
  <c r="BQ1470" i="3"/>
  <c r="BQ1466" i="3"/>
  <c r="BQ1462" i="3"/>
  <c r="BQ1458" i="3"/>
  <c r="BQ1454" i="3"/>
  <c r="BQ1450" i="3"/>
  <c r="BQ1446" i="3"/>
  <c r="BQ1442" i="3"/>
  <c r="BQ1438" i="3"/>
  <c r="BQ1434" i="3"/>
  <c r="BQ1430" i="3"/>
  <c r="BQ1426" i="3"/>
  <c r="BQ1422" i="3"/>
  <c r="BQ1418" i="3"/>
  <c r="BQ1414" i="3"/>
  <c r="BQ1410" i="3"/>
  <c r="BQ1406" i="3"/>
  <c r="BQ1402" i="3"/>
  <c r="BQ1398" i="3"/>
  <c r="BQ1394" i="3"/>
  <c r="BQ1390" i="3"/>
  <c r="BQ1386" i="3"/>
  <c r="BQ1382" i="3"/>
  <c r="BQ1378" i="3"/>
  <c r="BQ1374" i="3"/>
  <c r="BQ1370" i="3"/>
  <c r="BQ1366" i="3"/>
  <c r="BQ1362" i="3"/>
  <c r="BQ1358" i="3"/>
  <c r="BQ1354" i="3"/>
  <c r="BQ1350" i="3"/>
  <c r="BQ1346" i="3"/>
  <c r="BQ1342" i="3"/>
  <c r="BQ1338" i="3"/>
  <c r="BQ1334" i="3"/>
  <c r="BQ1330" i="3"/>
  <c r="BQ1326" i="3"/>
  <c r="BQ1322" i="3"/>
  <c r="BQ1318" i="3"/>
  <c r="BQ1314" i="3"/>
  <c r="BQ1310" i="3"/>
  <c r="BQ1306" i="3"/>
  <c r="BQ1302" i="3"/>
  <c r="BQ1298" i="3"/>
  <c r="BQ1294" i="3"/>
  <c r="BQ1290" i="3"/>
  <c r="BQ1286" i="3"/>
  <c r="BQ1282" i="3"/>
  <c r="BQ1278" i="3"/>
  <c r="BQ1274" i="3"/>
  <c r="BQ1270" i="3"/>
  <c r="BQ1266" i="3"/>
  <c r="BQ1262" i="3"/>
  <c r="BQ1258" i="3"/>
  <c r="BQ1254" i="3"/>
  <c r="BQ1250" i="3"/>
  <c r="BQ1246" i="3"/>
  <c r="BQ1242" i="3"/>
  <c r="BQ1238" i="3"/>
  <c r="BQ1234" i="3"/>
  <c r="BQ1230" i="3"/>
  <c r="BQ1226" i="3"/>
  <c r="BQ1222" i="3"/>
  <c r="BQ1218" i="3"/>
  <c r="BQ1214" i="3"/>
  <c r="BQ1210" i="3"/>
  <c r="BQ1206" i="3"/>
  <c r="BQ1202" i="3"/>
  <c r="BQ1198" i="3"/>
  <c r="BQ1194" i="3"/>
  <c r="BQ1190" i="3"/>
  <c r="BQ1186" i="3"/>
  <c r="BQ1182" i="3"/>
  <c r="BQ1659" i="3"/>
  <c r="BQ1655" i="3"/>
  <c r="BQ1651" i="3"/>
  <c r="BQ1647" i="3"/>
  <c r="BQ1643" i="3"/>
  <c r="BQ1639" i="3"/>
  <c r="BQ1635" i="3"/>
  <c r="BQ1631" i="3"/>
  <c r="BQ1627" i="3"/>
  <c r="BQ1623" i="3"/>
  <c r="BQ1619" i="3"/>
  <c r="BQ1615" i="3"/>
  <c r="BQ1611" i="3"/>
  <c r="BQ1607" i="3"/>
  <c r="BQ1603" i="3"/>
  <c r="BQ1599" i="3"/>
  <c r="BQ1595" i="3"/>
  <c r="BQ1591" i="3"/>
  <c r="BQ1587" i="3"/>
  <c r="BQ1583" i="3"/>
  <c r="BQ1579" i="3"/>
  <c r="BQ1575" i="3"/>
  <c r="BQ1571" i="3"/>
  <c r="BQ1567" i="3"/>
  <c r="BQ1563" i="3"/>
  <c r="BQ1559" i="3"/>
  <c r="BQ1555" i="3"/>
  <c r="BQ1551" i="3"/>
  <c r="BQ1547" i="3"/>
  <c r="BQ1543" i="3"/>
  <c r="BQ1539" i="3"/>
  <c r="BQ1535" i="3"/>
  <c r="BQ1531" i="3"/>
  <c r="BQ1527" i="3"/>
  <c r="BQ1523" i="3"/>
  <c r="BQ1519" i="3"/>
  <c r="BQ1515" i="3"/>
  <c r="BQ1511" i="3"/>
  <c r="BQ1507" i="3"/>
  <c r="BQ1503" i="3"/>
  <c r="BQ1499" i="3"/>
  <c r="BQ1495" i="3"/>
  <c r="BQ1491" i="3"/>
  <c r="BQ1487" i="3"/>
  <c r="BQ1483" i="3"/>
  <c r="BQ1479" i="3"/>
  <c r="BQ1475" i="3"/>
  <c r="BQ1471" i="3"/>
  <c r="BQ1467" i="3"/>
  <c r="BQ1463" i="3"/>
  <c r="BQ1459" i="3"/>
  <c r="BQ1455" i="3"/>
  <c r="BQ1451" i="3"/>
  <c r="BQ1447" i="3"/>
  <c r="BQ1443" i="3"/>
  <c r="BQ1439" i="3"/>
  <c r="BQ1435" i="3"/>
  <c r="BQ1431" i="3"/>
  <c r="BQ1427" i="3"/>
  <c r="BQ1423" i="3"/>
  <c r="BQ1419" i="3"/>
  <c r="BQ1415" i="3"/>
  <c r="BQ1411" i="3"/>
  <c r="BQ1407" i="3"/>
  <c r="BQ1403" i="3"/>
  <c r="BQ1399" i="3"/>
  <c r="BQ1395" i="3"/>
  <c r="BQ1391" i="3"/>
  <c r="BQ1387" i="3"/>
  <c r="BQ1383" i="3"/>
  <c r="BQ1379" i="3"/>
  <c r="BQ1375" i="3"/>
  <c r="BQ1371" i="3"/>
  <c r="BQ1367" i="3"/>
  <c r="BQ1363" i="3"/>
  <c r="BQ1359" i="3"/>
  <c r="BQ1355" i="3"/>
  <c r="BQ1351" i="3"/>
  <c r="BQ1347" i="3"/>
  <c r="BQ1343" i="3"/>
  <c r="BQ1339" i="3"/>
  <c r="BQ1335" i="3"/>
  <c r="BQ1331" i="3"/>
  <c r="BQ1327" i="3"/>
  <c r="BQ1323" i="3"/>
  <c r="BQ1319" i="3"/>
  <c r="BQ1315" i="3"/>
  <c r="BQ1311" i="3"/>
  <c r="BQ1307" i="3"/>
  <c r="BQ1303" i="3"/>
  <c r="BQ1299" i="3"/>
  <c r="BQ1295" i="3"/>
  <c r="BQ1291" i="3"/>
  <c r="BQ1287" i="3"/>
  <c r="BQ1283" i="3"/>
  <c r="BQ1279" i="3"/>
  <c r="BQ1275" i="3"/>
  <c r="BQ1271" i="3"/>
  <c r="BQ1267" i="3"/>
  <c r="BQ1263" i="3"/>
  <c r="BQ1259" i="3"/>
  <c r="BQ1255" i="3"/>
  <c r="BQ1251" i="3"/>
  <c r="BQ1247" i="3"/>
  <c r="BQ1243" i="3"/>
  <c r="BQ1239" i="3"/>
  <c r="BQ1235" i="3"/>
  <c r="BQ1231" i="3"/>
  <c r="BQ1227" i="3"/>
  <c r="BQ1223" i="3"/>
  <c r="BQ1219" i="3"/>
  <c r="BQ1215" i="3"/>
  <c r="BQ1211" i="3"/>
  <c r="BQ1207" i="3"/>
  <c r="BQ1203" i="3"/>
  <c r="BQ1199" i="3"/>
  <c r="BQ1195" i="3"/>
  <c r="BQ1191" i="3"/>
  <c r="BQ1187" i="3"/>
  <c r="BQ1183" i="3"/>
  <c r="BQ1179" i="3"/>
  <c r="BQ1175" i="3"/>
  <c r="BQ1171" i="3"/>
  <c r="BQ1167" i="3"/>
  <c r="BQ1163" i="3"/>
  <c r="BQ1159" i="3"/>
  <c r="BQ1155" i="3"/>
  <c r="BQ1151" i="3"/>
  <c r="BQ1147" i="3"/>
  <c r="BQ1143" i="3"/>
  <c r="BQ1139" i="3"/>
  <c r="BQ1135" i="3"/>
  <c r="BQ1131" i="3"/>
  <c r="BQ1127" i="3"/>
  <c r="BQ1123" i="3"/>
  <c r="BQ1119" i="3"/>
  <c r="BQ1115" i="3"/>
  <c r="BQ1111" i="3"/>
  <c r="BQ1107" i="3"/>
  <c r="BQ1103" i="3"/>
  <c r="BQ1099" i="3"/>
  <c r="BQ1095" i="3"/>
  <c r="BQ1091" i="3"/>
  <c r="BQ1087" i="3"/>
  <c r="BQ1083" i="3"/>
  <c r="BQ1079" i="3"/>
  <c r="BQ1075" i="3"/>
  <c r="BQ1071" i="3"/>
  <c r="BQ1067" i="3"/>
  <c r="BQ1063" i="3"/>
  <c r="BQ1059" i="3"/>
  <c r="BQ1055" i="3"/>
  <c r="BQ1051" i="3"/>
  <c r="BQ1047" i="3"/>
  <c r="BQ1043" i="3"/>
  <c r="BQ1039" i="3"/>
  <c r="BQ1035" i="3"/>
  <c r="BQ1031" i="3"/>
  <c r="BQ1027" i="3"/>
  <c r="BQ1023" i="3"/>
  <c r="BQ1019" i="3"/>
  <c r="BQ1015" i="3"/>
  <c r="BQ1011" i="3"/>
  <c r="BQ1007" i="3"/>
  <c r="BQ1003" i="3"/>
  <c r="BQ999" i="3"/>
  <c r="BQ995" i="3"/>
  <c r="BQ991" i="3"/>
  <c r="BQ987" i="3"/>
  <c r="BQ983" i="3"/>
  <c r="BQ979" i="3"/>
  <c r="BQ975" i="3"/>
  <c r="BQ971" i="3"/>
  <c r="BQ967" i="3"/>
  <c r="BQ963" i="3"/>
  <c r="BQ959" i="3"/>
  <c r="BQ955" i="3"/>
  <c r="BQ951" i="3"/>
  <c r="BQ947" i="3"/>
  <c r="BQ943" i="3"/>
  <c r="BQ939" i="3"/>
  <c r="BQ935" i="3"/>
  <c r="BQ931" i="3"/>
  <c r="BQ927" i="3"/>
  <c r="BQ923" i="3"/>
  <c r="BQ919" i="3"/>
  <c r="BQ915" i="3"/>
  <c r="BQ911" i="3"/>
  <c r="BQ907" i="3"/>
  <c r="BQ903" i="3"/>
  <c r="BQ899" i="3"/>
  <c r="BQ895" i="3"/>
  <c r="BQ891" i="3"/>
  <c r="BQ887" i="3"/>
  <c r="BQ883" i="3"/>
  <c r="BQ879" i="3"/>
  <c r="BQ875" i="3"/>
  <c r="BQ871" i="3"/>
  <c r="BQ867" i="3"/>
  <c r="BQ863" i="3"/>
  <c r="BQ859" i="3"/>
  <c r="BQ855" i="3"/>
  <c r="BQ851" i="3"/>
  <c r="BQ847" i="3"/>
  <c r="BQ843" i="3"/>
  <c r="BQ1660" i="3"/>
  <c r="BQ1656" i="3"/>
  <c r="BQ1652" i="3"/>
  <c r="BQ1648" i="3"/>
  <c r="BQ1644" i="3"/>
  <c r="BQ1640" i="3"/>
  <c r="BQ1636" i="3"/>
  <c r="BQ1632" i="3"/>
  <c r="BQ1628" i="3"/>
  <c r="BQ1624" i="3"/>
  <c r="BQ1620" i="3"/>
  <c r="BQ1616" i="3"/>
  <c r="BQ1612" i="3"/>
  <c r="BQ1608" i="3"/>
  <c r="BQ1604" i="3"/>
  <c r="BQ1600" i="3"/>
  <c r="BQ1596" i="3"/>
  <c r="BQ1592" i="3"/>
  <c r="BQ1588" i="3"/>
  <c r="BQ1584" i="3"/>
  <c r="BQ1580" i="3"/>
  <c r="BQ1576" i="3"/>
  <c r="BQ1572" i="3"/>
  <c r="BQ1568" i="3"/>
  <c r="BQ1564" i="3"/>
  <c r="BQ1560" i="3"/>
  <c r="BQ1556" i="3"/>
  <c r="BQ1552" i="3"/>
  <c r="BQ1548" i="3"/>
  <c r="BQ1544" i="3"/>
  <c r="BQ1540" i="3"/>
  <c r="BQ1536" i="3"/>
  <c r="BQ1532" i="3"/>
  <c r="BQ1528" i="3"/>
  <c r="BQ1524" i="3"/>
  <c r="BQ1520" i="3"/>
  <c r="BQ1516" i="3"/>
  <c r="BQ1512" i="3"/>
  <c r="BQ1508" i="3"/>
  <c r="BQ1504" i="3"/>
  <c r="BQ1500" i="3"/>
  <c r="BQ1496" i="3"/>
  <c r="BQ1492" i="3"/>
  <c r="BQ1488" i="3"/>
  <c r="BQ1484" i="3"/>
  <c r="BQ1480" i="3"/>
  <c r="BQ1476" i="3"/>
  <c r="BQ1472" i="3"/>
  <c r="BQ1468" i="3"/>
  <c r="BQ1464" i="3"/>
  <c r="BQ1178" i="3"/>
  <c r="BQ1174" i="3"/>
  <c r="BQ1170" i="3"/>
  <c r="BQ1166" i="3"/>
  <c r="BQ1162" i="3"/>
  <c r="BQ1158" i="3"/>
  <c r="BQ1154" i="3"/>
  <c r="BQ1150" i="3"/>
  <c r="BQ1146" i="3"/>
  <c r="BQ1142" i="3"/>
  <c r="BQ1138" i="3"/>
  <c r="BQ1134" i="3"/>
  <c r="BQ1130" i="3"/>
  <c r="BQ1126" i="3"/>
  <c r="BQ1122" i="3"/>
  <c r="BQ1118" i="3"/>
  <c r="BQ1114" i="3"/>
  <c r="BQ1110" i="3"/>
  <c r="BQ1106" i="3"/>
  <c r="BQ1102" i="3"/>
  <c r="BQ1098" i="3"/>
  <c r="BQ1094" i="3"/>
  <c r="BQ1090" i="3"/>
  <c r="BQ1086" i="3"/>
  <c r="BQ1082" i="3"/>
  <c r="BQ1078" i="3"/>
  <c r="BQ1074" i="3"/>
  <c r="BQ1070" i="3"/>
  <c r="BQ1066" i="3"/>
  <c r="BQ1062" i="3"/>
  <c r="BQ1058" i="3"/>
  <c r="BQ1054" i="3"/>
  <c r="BQ1050" i="3"/>
  <c r="BQ1046" i="3"/>
  <c r="BQ1042" i="3"/>
  <c r="BQ1038" i="3"/>
  <c r="BQ1034" i="3"/>
  <c r="BQ1030" i="3"/>
  <c r="BQ1026" i="3"/>
  <c r="BQ1022" i="3"/>
  <c r="BQ1018" i="3"/>
  <c r="BQ1014" i="3"/>
  <c r="BQ1010" i="3"/>
  <c r="BQ1006" i="3"/>
  <c r="BQ1002" i="3"/>
  <c r="BQ998" i="3"/>
  <c r="BQ994" i="3"/>
  <c r="BQ990" i="3"/>
  <c r="BQ986" i="3"/>
  <c r="BQ982" i="3"/>
  <c r="BQ978" i="3"/>
  <c r="BQ974" i="3"/>
  <c r="BQ970" i="3"/>
  <c r="BQ966" i="3"/>
  <c r="BQ962" i="3"/>
  <c r="BQ958" i="3"/>
  <c r="BQ954" i="3"/>
  <c r="BQ950" i="3"/>
  <c r="BQ946" i="3"/>
  <c r="BQ942" i="3"/>
  <c r="BQ938" i="3"/>
  <c r="BQ934" i="3"/>
  <c r="BQ930" i="3"/>
  <c r="BQ926" i="3"/>
  <c r="BQ922" i="3"/>
  <c r="BQ918" i="3"/>
  <c r="BQ914" i="3"/>
  <c r="BQ910" i="3"/>
  <c r="BQ906" i="3"/>
  <c r="BQ902" i="3"/>
  <c r="BQ898" i="3"/>
  <c r="BQ894" i="3"/>
  <c r="BQ890" i="3"/>
  <c r="BQ886" i="3"/>
  <c r="BQ882" i="3"/>
  <c r="BQ878" i="3"/>
  <c r="BQ874" i="3"/>
  <c r="BQ870" i="3"/>
  <c r="BQ866" i="3"/>
  <c r="BQ862" i="3"/>
  <c r="BQ858" i="3"/>
  <c r="BQ854" i="3"/>
  <c r="BQ850" i="3"/>
  <c r="BQ846" i="3"/>
  <c r="BQ842" i="3"/>
  <c r="BQ840" i="3"/>
  <c r="BG840" i="3"/>
  <c r="I20" i="3"/>
  <c r="AC849" i="3"/>
  <c r="AC850" i="3" s="1"/>
  <c r="C87" i="3"/>
  <c r="C11" i="3"/>
  <c r="C16" i="3"/>
  <c r="C103" i="3"/>
  <c r="I26" i="3"/>
  <c r="C40" i="3"/>
  <c r="AD9" i="3"/>
  <c r="I88" i="3"/>
  <c r="I24" i="3"/>
  <c r="M830" i="3"/>
  <c r="M828" i="3"/>
  <c r="M826" i="3"/>
  <c r="M824" i="3"/>
  <c r="M822" i="3"/>
  <c r="M820" i="3"/>
  <c r="M818" i="3"/>
  <c r="M816" i="3"/>
  <c r="M814" i="3"/>
  <c r="M812" i="3"/>
  <c r="M810" i="3"/>
  <c r="M832" i="3"/>
  <c r="M829" i="3"/>
  <c r="M821" i="3"/>
  <c r="M813" i="3"/>
  <c r="M808" i="3"/>
  <c r="M806" i="3"/>
  <c r="M804" i="3"/>
  <c r="M802" i="3"/>
  <c r="M800" i="3"/>
  <c r="M798" i="3"/>
  <c r="M796" i="3"/>
  <c r="M794" i="3"/>
  <c r="M792" i="3"/>
  <c r="M790" i="3"/>
  <c r="M788" i="3"/>
  <c r="M786" i="3"/>
  <c r="M784" i="3"/>
  <c r="M782" i="3"/>
  <c r="M780" i="3"/>
  <c r="M778" i="3"/>
  <c r="M776" i="3"/>
  <c r="M774" i="3"/>
  <c r="M772" i="3"/>
  <c r="M770" i="3"/>
  <c r="M768" i="3"/>
  <c r="M766" i="3"/>
  <c r="M764" i="3"/>
  <c r="M762" i="3"/>
  <c r="M760" i="3"/>
  <c r="M758" i="3"/>
  <c r="M756" i="3"/>
  <c r="M754" i="3"/>
  <c r="M752" i="3"/>
  <c r="M750" i="3"/>
  <c r="M748" i="3"/>
  <c r="M746" i="3"/>
  <c r="M744" i="3"/>
  <c r="M742" i="3"/>
  <c r="M740" i="3"/>
  <c r="M738" i="3"/>
  <c r="M736" i="3"/>
  <c r="M734" i="3"/>
  <c r="M732" i="3"/>
  <c r="M730" i="3"/>
  <c r="M728" i="3"/>
  <c r="M726" i="3"/>
  <c r="M724" i="3"/>
  <c r="M722" i="3"/>
  <c r="M720" i="3"/>
  <c r="M718" i="3"/>
  <c r="M716" i="3"/>
  <c r="M714" i="3"/>
  <c r="M712" i="3"/>
  <c r="M833" i="3"/>
  <c r="M827" i="3"/>
  <c r="M819" i="3"/>
  <c r="M811" i="3"/>
  <c r="M834" i="3"/>
  <c r="M825" i="3"/>
  <c r="M817" i="3"/>
  <c r="M809" i="3"/>
  <c r="M807" i="3"/>
  <c r="M805" i="3"/>
  <c r="M803" i="3"/>
  <c r="M801" i="3"/>
  <c r="M799" i="3"/>
  <c r="M797" i="3"/>
  <c r="M795" i="3"/>
  <c r="M793" i="3"/>
  <c r="M791" i="3"/>
  <c r="M789" i="3"/>
  <c r="M787" i="3"/>
  <c r="M835" i="3"/>
  <c r="M831" i="3"/>
  <c r="M823" i="3"/>
  <c r="M815" i="3"/>
  <c r="M781" i="3"/>
  <c r="M773" i="3"/>
  <c r="M765" i="3"/>
  <c r="M757" i="3"/>
  <c r="M749" i="3"/>
  <c r="M741" i="3"/>
  <c r="M733" i="3"/>
  <c r="M725" i="3"/>
  <c r="M717" i="3"/>
  <c r="M710" i="3"/>
  <c r="M708" i="3"/>
  <c r="M706" i="3"/>
  <c r="M704" i="3"/>
  <c r="M702" i="3"/>
  <c r="M700" i="3"/>
  <c r="M698" i="3"/>
  <c r="M696" i="3"/>
  <c r="M694" i="3"/>
  <c r="M692" i="3"/>
  <c r="M690" i="3"/>
  <c r="M688" i="3"/>
  <c r="M686" i="3"/>
  <c r="M684" i="3"/>
  <c r="M682" i="3"/>
  <c r="M680" i="3"/>
  <c r="M678" i="3"/>
  <c r="M676" i="3"/>
  <c r="M674" i="3"/>
  <c r="M672" i="3"/>
  <c r="M670" i="3"/>
  <c r="M779" i="3"/>
  <c r="M771" i="3"/>
  <c r="M763" i="3"/>
  <c r="M755" i="3"/>
  <c r="M747" i="3"/>
  <c r="M739" i="3"/>
  <c r="M731" i="3"/>
  <c r="M723" i="3"/>
  <c r="M715" i="3"/>
  <c r="M785" i="3"/>
  <c r="M777" i="3"/>
  <c r="M769" i="3"/>
  <c r="M761" i="3"/>
  <c r="M753" i="3"/>
  <c r="M745" i="3"/>
  <c r="M737" i="3"/>
  <c r="M729" i="3"/>
  <c r="M721" i="3"/>
  <c r="M713" i="3"/>
  <c r="M709" i="3"/>
  <c r="M707" i="3"/>
  <c r="M705" i="3"/>
  <c r="M703" i="3"/>
  <c r="M701" i="3"/>
  <c r="M699" i="3"/>
  <c r="M697" i="3"/>
  <c r="M695" i="3"/>
  <c r="M693" i="3"/>
  <c r="M691" i="3"/>
  <c r="M689" i="3"/>
  <c r="M687" i="3"/>
  <c r="M685" i="3"/>
  <c r="M683" i="3"/>
  <c r="M681" i="3"/>
  <c r="M679" i="3"/>
  <c r="M677" i="3"/>
  <c r="M675" i="3"/>
  <c r="M673" i="3"/>
  <c r="M671" i="3"/>
  <c r="M669" i="3"/>
  <c r="M667" i="3"/>
  <c r="M665" i="3"/>
  <c r="M663" i="3"/>
  <c r="M661" i="3"/>
  <c r="M659" i="3"/>
  <c r="M657" i="3"/>
  <c r="M655" i="3"/>
  <c r="M653" i="3"/>
  <c r="M651" i="3"/>
  <c r="M649" i="3"/>
  <c r="M647" i="3"/>
  <c r="M645" i="3"/>
  <c r="M643" i="3"/>
  <c r="M641" i="3"/>
  <c r="M639" i="3"/>
  <c r="M637" i="3"/>
  <c r="M635" i="3"/>
  <c r="M633" i="3"/>
  <c r="M631" i="3"/>
  <c r="M629" i="3"/>
  <c r="M627" i="3"/>
  <c r="M625" i="3"/>
  <c r="M623" i="3"/>
  <c r="M621" i="3"/>
  <c r="M619" i="3"/>
  <c r="M617" i="3"/>
  <c r="M783" i="3"/>
  <c r="M775" i="3"/>
  <c r="M767" i="3"/>
  <c r="M759" i="3"/>
  <c r="M751" i="3"/>
  <c r="M743" i="3"/>
  <c r="M735" i="3"/>
  <c r="M727" i="3"/>
  <c r="M719" i="3"/>
  <c r="M711" i="3"/>
  <c r="M668" i="3"/>
  <c r="M660" i="3"/>
  <c r="M652" i="3"/>
  <c r="M644" i="3"/>
  <c r="M636" i="3"/>
  <c r="M628" i="3"/>
  <c r="M620" i="3"/>
  <c r="M615" i="3"/>
  <c r="M613" i="3"/>
  <c r="M611" i="3"/>
  <c r="M609" i="3"/>
  <c r="M607" i="3"/>
  <c r="M605" i="3"/>
  <c r="M603" i="3"/>
  <c r="M601" i="3"/>
  <c r="M599" i="3"/>
  <c r="M597" i="3"/>
  <c r="M595" i="3"/>
  <c r="M593" i="3"/>
  <c r="M591" i="3"/>
  <c r="M589" i="3"/>
  <c r="M587" i="3"/>
  <c r="M585" i="3"/>
  <c r="M583" i="3"/>
  <c r="M581" i="3"/>
  <c r="M579" i="3"/>
  <c r="M577" i="3"/>
  <c r="M575" i="3"/>
  <c r="M573" i="3"/>
  <c r="M571" i="3"/>
  <c r="M569" i="3"/>
  <c r="M567" i="3"/>
  <c r="M565" i="3"/>
  <c r="M563" i="3"/>
  <c r="M561" i="3"/>
  <c r="M559" i="3"/>
  <c r="M557" i="3"/>
  <c r="M555" i="3"/>
  <c r="M553" i="3"/>
  <c r="M551" i="3"/>
  <c r="M549" i="3"/>
  <c r="M547" i="3"/>
  <c r="M666" i="3"/>
  <c r="M658" i="3"/>
  <c r="M650" i="3"/>
  <c r="M642" i="3"/>
  <c r="M634" i="3"/>
  <c r="M626" i="3"/>
  <c r="M618" i="3"/>
  <c r="M664" i="3"/>
  <c r="M656" i="3"/>
  <c r="M648" i="3"/>
  <c r="M640" i="3"/>
  <c r="M632" i="3"/>
  <c r="M624" i="3"/>
  <c r="M616" i="3"/>
  <c r="M614" i="3"/>
  <c r="M612" i="3"/>
  <c r="M610" i="3"/>
  <c r="M608" i="3"/>
  <c r="M606" i="3"/>
  <c r="M604" i="3"/>
  <c r="M602" i="3"/>
  <c r="M600" i="3"/>
  <c r="M598" i="3"/>
  <c r="M596" i="3"/>
  <c r="M594" i="3"/>
  <c r="M592" i="3"/>
  <c r="M590" i="3"/>
  <c r="M588" i="3"/>
  <c r="M586" i="3"/>
  <c r="M584" i="3"/>
  <c r="M582" i="3"/>
  <c r="M580" i="3"/>
  <c r="M578" i="3"/>
  <c r="M576" i="3"/>
  <c r="M574" i="3"/>
  <c r="M572" i="3"/>
  <c r="M570" i="3"/>
  <c r="M568" i="3"/>
  <c r="M566" i="3"/>
  <c r="M564" i="3"/>
  <c r="M562" i="3"/>
  <c r="M560" i="3"/>
  <c r="M558" i="3"/>
  <c r="M556" i="3"/>
  <c r="M554" i="3"/>
  <c r="M552" i="3"/>
  <c r="M550" i="3"/>
  <c r="M548" i="3"/>
  <c r="M546" i="3"/>
  <c r="M544" i="3"/>
  <c r="M542" i="3"/>
  <c r="M540" i="3"/>
  <c r="M538" i="3"/>
  <c r="M536" i="3"/>
  <c r="M534" i="3"/>
  <c r="M532" i="3"/>
  <c r="M530" i="3"/>
  <c r="M528" i="3"/>
  <c r="M526" i="3"/>
  <c r="M524" i="3"/>
  <c r="M522" i="3"/>
  <c r="M520" i="3"/>
  <c r="M518" i="3"/>
  <c r="M516" i="3"/>
  <c r="M514" i="3"/>
  <c r="M512" i="3"/>
  <c r="M510" i="3"/>
  <c r="M508" i="3"/>
  <c r="M506" i="3"/>
  <c r="M504" i="3"/>
  <c r="M502" i="3"/>
  <c r="M500" i="3"/>
  <c r="M498" i="3"/>
  <c r="M496" i="3"/>
  <c r="M494" i="3"/>
  <c r="M492" i="3"/>
  <c r="M490" i="3"/>
  <c r="M488" i="3"/>
  <c r="M486" i="3"/>
  <c r="M484" i="3"/>
  <c r="M482" i="3"/>
  <c r="M480" i="3"/>
  <c r="M478" i="3"/>
  <c r="M476" i="3"/>
  <c r="M474" i="3"/>
  <c r="M472" i="3"/>
  <c r="M470" i="3"/>
  <c r="M468" i="3"/>
  <c r="M466" i="3"/>
  <c r="M464" i="3"/>
  <c r="M462" i="3"/>
  <c r="M460" i="3"/>
  <c r="M458" i="3"/>
  <c r="M456" i="3"/>
  <c r="M454" i="3"/>
  <c r="M452" i="3"/>
  <c r="M450" i="3"/>
  <c r="M448" i="3"/>
  <c r="M446" i="3"/>
  <c r="M444" i="3"/>
  <c r="M442" i="3"/>
  <c r="M440" i="3"/>
  <c r="M438" i="3"/>
  <c r="M436" i="3"/>
  <c r="M434" i="3"/>
  <c r="M432" i="3"/>
  <c r="M430" i="3"/>
  <c r="M428" i="3"/>
  <c r="M426" i="3"/>
  <c r="M424" i="3"/>
  <c r="M422" i="3"/>
  <c r="M420" i="3"/>
  <c r="M418" i="3"/>
  <c r="M416" i="3"/>
  <c r="M414" i="3"/>
  <c r="M412" i="3"/>
  <c r="M410" i="3"/>
  <c r="M408" i="3"/>
  <c r="M406" i="3"/>
  <c r="M404" i="3"/>
  <c r="M662" i="3"/>
  <c r="M654" i="3"/>
  <c r="M646" i="3"/>
  <c r="M638" i="3"/>
  <c r="M630" i="3"/>
  <c r="M622" i="3"/>
  <c r="M539" i="3"/>
  <c r="M531" i="3"/>
  <c r="M523" i="3"/>
  <c r="M515" i="3"/>
  <c r="M507" i="3"/>
  <c r="M499" i="3"/>
  <c r="M491" i="3"/>
  <c r="M483" i="3"/>
  <c r="M475" i="3"/>
  <c r="M467" i="3"/>
  <c r="M459" i="3"/>
  <c r="M451" i="3"/>
  <c r="M443" i="3"/>
  <c r="M435" i="3"/>
  <c r="M427" i="3"/>
  <c r="M419" i="3"/>
  <c r="M411" i="3"/>
  <c r="M403" i="3"/>
  <c r="M401" i="3"/>
  <c r="M399" i="3"/>
  <c r="M397" i="3"/>
  <c r="M395" i="3"/>
  <c r="M393" i="3"/>
  <c r="M391" i="3"/>
  <c r="M389" i="3"/>
  <c r="M387" i="3"/>
  <c r="M385" i="3"/>
  <c r="M383" i="3"/>
  <c r="M381" i="3"/>
  <c r="M379" i="3"/>
  <c r="M377" i="3"/>
  <c r="M375" i="3"/>
  <c r="M373" i="3"/>
  <c r="M371" i="3"/>
  <c r="M369" i="3"/>
  <c r="M367" i="3"/>
  <c r="M365" i="3"/>
  <c r="M363" i="3"/>
  <c r="M361" i="3"/>
  <c r="M359" i="3"/>
  <c r="M357" i="3"/>
  <c r="M355" i="3"/>
  <c r="M353" i="3"/>
  <c r="M351" i="3"/>
  <c r="M545" i="3"/>
  <c r="M537" i="3"/>
  <c r="M529" i="3"/>
  <c r="M521" i="3"/>
  <c r="M513" i="3"/>
  <c r="M505" i="3"/>
  <c r="M497" i="3"/>
  <c r="M489" i="3"/>
  <c r="M481" i="3"/>
  <c r="M473" i="3"/>
  <c r="M465" i="3"/>
  <c r="M543" i="3"/>
  <c r="M535" i="3"/>
  <c r="M527" i="3"/>
  <c r="M519" i="3"/>
  <c r="M511" i="3"/>
  <c r="M503" i="3"/>
  <c r="M495" i="3"/>
  <c r="M487" i="3"/>
  <c r="M479" i="3"/>
  <c r="M471" i="3"/>
  <c r="M463" i="3"/>
  <c r="M525" i="3"/>
  <c r="M493" i="3"/>
  <c r="M441" i="3"/>
  <c r="M439" i="3"/>
  <c r="M437" i="3"/>
  <c r="M533" i="3"/>
  <c r="M501" i="3"/>
  <c r="M469" i="3"/>
  <c r="M461" i="3"/>
  <c r="M433" i="3"/>
  <c r="M431" i="3"/>
  <c r="M429" i="3"/>
  <c r="M402" i="3"/>
  <c r="M394" i="3"/>
  <c r="M386" i="3"/>
  <c r="M378" i="3"/>
  <c r="M370" i="3"/>
  <c r="M362" i="3"/>
  <c r="M354" i="3"/>
  <c r="M541" i="3"/>
  <c r="M509" i="3"/>
  <c r="M477" i="3"/>
  <c r="M457" i="3"/>
  <c r="M455" i="3"/>
  <c r="M453" i="3"/>
  <c r="M425" i="3"/>
  <c r="M423" i="3"/>
  <c r="M421" i="3"/>
  <c r="M400" i="3"/>
  <c r="M392" i="3"/>
  <c r="M384" i="3"/>
  <c r="M376" i="3"/>
  <c r="M368" i="3"/>
  <c r="M360" i="3"/>
  <c r="M352" i="3"/>
  <c r="M348" i="3"/>
  <c r="M346" i="3"/>
  <c r="M344" i="3"/>
  <c r="M342" i="3"/>
  <c r="M340" i="3"/>
  <c r="M338" i="3"/>
  <c r="M336" i="3"/>
  <c r="M334" i="3"/>
  <c r="M332" i="3"/>
  <c r="M330" i="3"/>
  <c r="M328" i="3"/>
  <c r="M326" i="3"/>
  <c r="M324" i="3"/>
  <c r="M322" i="3"/>
  <c r="M320" i="3"/>
  <c r="M318" i="3"/>
  <c r="M316" i="3"/>
  <c r="M314" i="3"/>
  <c r="M312" i="3"/>
  <c r="M310" i="3"/>
  <c r="M308" i="3"/>
  <c r="M306" i="3"/>
  <c r="M304" i="3"/>
  <c r="M302" i="3"/>
  <c r="M300" i="3"/>
  <c r="M298" i="3"/>
  <c r="M296" i="3"/>
  <c r="M294" i="3"/>
  <c r="M292" i="3"/>
  <c r="M290" i="3"/>
  <c r="M288" i="3"/>
  <c r="M286" i="3"/>
  <c r="M284" i="3"/>
  <c r="M282" i="3"/>
  <c r="M280" i="3"/>
  <c r="M278" i="3"/>
  <c r="M276" i="3"/>
  <c r="M274" i="3"/>
  <c r="M272" i="3"/>
  <c r="M270" i="3"/>
  <c r="M268" i="3"/>
  <c r="M266" i="3"/>
  <c r="M264" i="3"/>
  <c r="M262" i="3"/>
  <c r="M260" i="3"/>
  <c r="M258" i="3"/>
  <c r="M256" i="3"/>
  <c r="M254" i="3"/>
  <c r="M252" i="3"/>
  <c r="M250" i="3"/>
  <c r="M248" i="3"/>
  <c r="M246" i="3"/>
  <c r="M244" i="3"/>
  <c r="M242" i="3"/>
  <c r="M240" i="3"/>
  <c r="M238" i="3"/>
  <c r="M236" i="3"/>
  <c r="M234" i="3"/>
  <c r="M232" i="3"/>
  <c r="M230" i="3"/>
  <c r="M228" i="3"/>
  <c r="M226" i="3"/>
  <c r="M224" i="3"/>
  <c r="M222" i="3"/>
  <c r="M220" i="3"/>
  <c r="M218" i="3"/>
  <c r="M216" i="3"/>
  <c r="M214" i="3"/>
  <c r="M212" i="3"/>
  <c r="M210" i="3"/>
  <c r="M208" i="3"/>
  <c r="M206" i="3"/>
  <c r="M204" i="3"/>
  <c r="M202" i="3"/>
  <c r="M200" i="3"/>
  <c r="M198" i="3"/>
  <c r="M196" i="3"/>
  <c r="M194" i="3"/>
  <c r="M192" i="3"/>
  <c r="M190" i="3"/>
  <c r="M188" i="3"/>
  <c r="M186" i="3"/>
  <c r="M184" i="3"/>
  <c r="M182" i="3"/>
  <c r="M180" i="3"/>
  <c r="M178" i="3"/>
  <c r="M176" i="3"/>
  <c r="M174" i="3"/>
  <c r="M172" i="3"/>
  <c r="M170" i="3"/>
  <c r="M168" i="3"/>
  <c r="M166" i="3"/>
  <c r="M164" i="3"/>
  <c r="M162" i="3"/>
  <c r="M160" i="3"/>
  <c r="M158" i="3"/>
  <c r="M156" i="3"/>
  <c r="M154" i="3"/>
  <c r="M152" i="3"/>
  <c r="M150" i="3"/>
  <c r="M148" i="3"/>
  <c r="M146" i="3"/>
  <c r="M144" i="3"/>
  <c r="M142" i="3"/>
  <c r="M140" i="3"/>
  <c r="M138" i="3"/>
  <c r="M136" i="3"/>
  <c r="M134" i="3"/>
  <c r="M132" i="3"/>
  <c r="M130" i="3"/>
  <c r="M128" i="3"/>
  <c r="M126" i="3"/>
  <c r="M124" i="3"/>
  <c r="M122" i="3"/>
  <c r="M120" i="3"/>
  <c r="M118" i="3"/>
  <c r="M116" i="3"/>
  <c r="M114" i="3"/>
  <c r="M112" i="3"/>
  <c r="M110" i="3"/>
  <c r="M108" i="3"/>
  <c r="M106" i="3"/>
  <c r="M104" i="3"/>
  <c r="M102" i="3"/>
  <c r="M100" i="3"/>
  <c r="M98" i="3"/>
  <c r="M96" i="3"/>
  <c r="M94" i="3"/>
  <c r="M92" i="3"/>
  <c r="M90" i="3"/>
  <c r="M88" i="3"/>
  <c r="M86" i="3"/>
  <c r="M84" i="3"/>
  <c r="M82" i="3"/>
  <c r="M80" i="3"/>
  <c r="M78" i="3"/>
  <c r="M76" i="3"/>
  <c r="M74" i="3"/>
  <c r="M72" i="3"/>
  <c r="M70" i="3"/>
  <c r="M68" i="3"/>
  <c r="M66" i="3"/>
  <c r="M64" i="3"/>
  <c r="M62" i="3"/>
  <c r="M60" i="3"/>
  <c r="M58" i="3"/>
  <c r="M56" i="3"/>
  <c r="M54" i="3"/>
  <c r="M52" i="3"/>
  <c r="M50" i="3"/>
  <c r="M48" i="3"/>
  <c r="M46" i="3"/>
  <c r="M44" i="3"/>
  <c r="M41" i="3"/>
  <c r="M37" i="3"/>
  <c r="M33" i="3"/>
  <c r="M29" i="3"/>
  <c r="M25" i="3"/>
  <c r="M21" i="3"/>
  <c r="M17" i="3"/>
  <c r="M13" i="3"/>
  <c r="M42" i="3"/>
  <c r="M38" i="3"/>
  <c r="M34" i="3"/>
  <c r="M30" i="3"/>
  <c r="M26" i="3"/>
  <c r="M517" i="3"/>
  <c r="M485" i="3"/>
  <c r="M449" i="3"/>
  <c r="M447" i="3"/>
  <c r="M445" i="3"/>
  <c r="M417" i="3"/>
  <c r="M415" i="3"/>
  <c r="M413" i="3"/>
  <c r="M398" i="3"/>
  <c r="M390" i="3"/>
  <c r="M382" i="3"/>
  <c r="M374" i="3"/>
  <c r="M366" i="3"/>
  <c r="M358" i="3"/>
  <c r="M350" i="3"/>
  <c r="M405" i="3"/>
  <c r="M380" i="3"/>
  <c r="M343" i="3"/>
  <c r="M335" i="3"/>
  <c r="M327" i="3"/>
  <c r="M319" i="3"/>
  <c r="M311" i="3"/>
  <c r="M303" i="3"/>
  <c r="M295" i="3"/>
  <c r="M287" i="3"/>
  <c r="M279" i="3"/>
  <c r="M271" i="3"/>
  <c r="M263" i="3"/>
  <c r="M255" i="3"/>
  <c r="M247" i="3"/>
  <c r="M239" i="3"/>
  <c r="M231" i="3"/>
  <c r="M223" i="3"/>
  <c r="M215" i="3"/>
  <c r="M207" i="3"/>
  <c r="M199" i="3"/>
  <c r="M191" i="3"/>
  <c r="M183" i="3"/>
  <c r="M175" i="3"/>
  <c r="M167" i="3"/>
  <c r="M159" i="3"/>
  <c r="M151" i="3"/>
  <c r="M143" i="3"/>
  <c r="M135" i="3"/>
  <c r="M127" i="3"/>
  <c r="M119" i="3"/>
  <c r="M111" i="3"/>
  <c r="M103" i="3"/>
  <c r="M95" i="3"/>
  <c r="M87" i="3"/>
  <c r="M79" i="3"/>
  <c r="M71" i="3"/>
  <c r="M63" i="3"/>
  <c r="M55" i="3"/>
  <c r="M47" i="3"/>
  <c r="M23" i="3"/>
  <c r="M19" i="3"/>
  <c r="M15" i="3"/>
  <c r="M85" i="3"/>
  <c r="M77" i="3"/>
  <c r="M69" i="3"/>
  <c r="M61" i="3"/>
  <c r="M53" i="3"/>
  <c r="M45" i="3"/>
  <c r="M40" i="3"/>
  <c r="M36" i="3"/>
  <c r="M32" i="3"/>
  <c r="M28" i="3"/>
  <c r="M24" i="3"/>
  <c r="M22" i="3"/>
  <c r="M407" i="3"/>
  <c r="M388" i="3"/>
  <c r="M356" i="3"/>
  <c r="M349" i="3"/>
  <c r="M341" i="3"/>
  <c r="M333" i="3"/>
  <c r="M325" i="3"/>
  <c r="M317" i="3"/>
  <c r="M309" i="3"/>
  <c r="M301" i="3"/>
  <c r="M293" i="3"/>
  <c r="M285" i="3"/>
  <c r="M277" i="3"/>
  <c r="M269" i="3"/>
  <c r="M261" i="3"/>
  <c r="M253" i="3"/>
  <c r="M245" i="3"/>
  <c r="M237" i="3"/>
  <c r="M229" i="3"/>
  <c r="M221" i="3"/>
  <c r="M213" i="3"/>
  <c r="M205" i="3"/>
  <c r="M197" i="3"/>
  <c r="M189" i="3"/>
  <c r="M181" i="3"/>
  <c r="M173" i="3"/>
  <c r="M165" i="3"/>
  <c r="M157" i="3"/>
  <c r="M149" i="3"/>
  <c r="M141" i="3"/>
  <c r="M133" i="3"/>
  <c r="M125" i="3"/>
  <c r="M117" i="3"/>
  <c r="M109" i="3"/>
  <c r="M101" i="3"/>
  <c r="M93" i="3"/>
  <c r="M409" i="3"/>
  <c r="M396" i="3"/>
  <c r="M364" i="3"/>
  <c r="M347" i="3"/>
  <c r="M339" i="3"/>
  <c r="M331" i="3"/>
  <c r="M323" i="3"/>
  <c r="M315" i="3"/>
  <c r="M307" i="3"/>
  <c r="M299" i="3"/>
  <c r="M291" i="3"/>
  <c r="M283" i="3"/>
  <c r="M275" i="3"/>
  <c r="M267" i="3"/>
  <c r="M259" i="3"/>
  <c r="M251" i="3"/>
  <c r="M243" i="3"/>
  <c r="M235" i="3"/>
  <c r="M227" i="3"/>
  <c r="M219" i="3"/>
  <c r="M211" i="3"/>
  <c r="M203" i="3"/>
  <c r="M195" i="3"/>
  <c r="M187" i="3"/>
  <c r="M179" i="3"/>
  <c r="M171" i="3"/>
  <c r="M163" i="3"/>
  <c r="M155" i="3"/>
  <c r="M147" i="3"/>
  <c r="M139" i="3"/>
  <c r="M131" i="3"/>
  <c r="M123" i="3"/>
  <c r="M115" i="3"/>
  <c r="M107" i="3"/>
  <c r="M99" i="3"/>
  <c r="M91" i="3"/>
  <c r="M83" i="3"/>
  <c r="M75" i="3"/>
  <c r="M67" i="3"/>
  <c r="M59" i="3"/>
  <c r="M51" i="3"/>
  <c r="M43" i="3"/>
  <c r="M39" i="3"/>
  <c r="M35" i="3"/>
  <c r="M31" i="3"/>
  <c r="M27" i="3"/>
  <c r="M372" i="3"/>
  <c r="M345" i="3"/>
  <c r="M337" i="3"/>
  <c r="M329" i="3"/>
  <c r="M321" i="3"/>
  <c r="M313" i="3"/>
  <c r="M305" i="3"/>
  <c r="M297" i="3"/>
  <c r="M289" i="3"/>
  <c r="M281" i="3"/>
  <c r="M273" i="3"/>
  <c r="M265" i="3"/>
  <c r="M257" i="3"/>
  <c r="M249" i="3"/>
  <c r="M241" i="3"/>
  <c r="M233" i="3"/>
  <c r="M225" i="3"/>
  <c r="M217" i="3"/>
  <c r="M209" i="3"/>
  <c r="M201" i="3"/>
  <c r="M193" i="3"/>
  <c r="M185" i="3"/>
  <c r="M177" i="3"/>
  <c r="M169" i="3"/>
  <c r="M161" i="3"/>
  <c r="M153" i="3"/>
  <c r="M145" i="3"/>
  <c r="M137" i="3"/>
  <c r="M129" i="3"/>
  <c r="M121" i="3"/>
  <c r="M113" i="3"/>
  <c r="M89" i="3"/>
  <c r="M57" i="3"/>
  <c r="M18" i="3"/>
  <c r="M65" i="3"/>
  <c r="M20" i="3"/>
  <c r="M81" i="3"/>
  <c r="M49" i="3"/>
  <c r="M97" i="3"/>
  <c r="M105" i="3"/>
  <c r="M73" i="3"/>
  <c r="M14" i="3"/>
  <c r="M16" i="3"/>
  <c r="T42" i="3"/>
  <c r="T38" i="3"/>
  <c r="T34" i="3"/>
  <c r="T30" i="3"/>
  <c r="T26" i="3"/>
  <c r="T22" i="3"/>
  <c r="T18" i="3"/>
  <c r="T14" i="3"/>
  <c r="T39" i="3"/>
  <c r="T35" i="3"/>
  <c r="T31" i="3"/>
  <c r="T27" i="3"/>
  <c r="T40" i="3"/>
  <c r="T36" i="3"/>
  <c r="T32" i="3"/>
  <c r="T28" i="3"/>
  <c r="T24" i="3"/>
  <c r="T20" i="3"/>
  <c r="T16" i="3"/>
  <c r="T12" i="3"/>
  <c r="T33" i="3"/>
  <c r="T21" i="3"/>
  <c r="T13" i="3"/>
  <c r="T29" i="3"/>
  <c r="T15" i="3"/>
  <c r="T41" i="3"/>
  <c r="T25" i="3"/>
  <c r="T23" i="3"/>
  <c r="T17" i="3"/>
  <c r="T37" i="3"/>
  <c r="T19" i="3"/>
  <c r="AF850" i="3"/>
  <c r="I60" i="3"/>
  <c r="I67" i="3"/>
  <c r="C71" i="3"/>
  <c r="C78" i="3"/>
  <c r="I92" i="3"/>
  <c r="I99" i="3"/>
  <c r="C110" i="3"/>
  <c r="I13" i="3"/>
  <c r="C14" i="3"/>
  <c r="I15" i="3"/>
  <c r="I48" i="3"/>
  <c r="I41" i="3"/>
  <c r="I37" i="3"/>
  <c r="I33" i="3"/>
  <c r="I29" i="3"/>
  <c r="I25" i="3"/>
  <c r="I156" i="3"/>
  <c r="I164" i="3"/>
  <c r="I148" i="3"/>
  <c r="I140" i="3"/>
  <c r="I132" i="3"/>
  <c r="I124" i="3"/>
  <c r="I116" i="3"/>
  <c r="I18" i="3"/>
  <c r="C19" i="3"/>
  <c r="I21" i="3"/>
  <c r="C22" i="3"/>
  <c r="C28" i="3"/>
  <c r="I30" i="3"/>
  <c r="I35" i="3"/>
  <c r="I52" i="3"/>
  <c r="I59" i="3"/>
  <c r="C63" i="3"/>
  <c r="C70" i="3"/>
  <c r="I84" i="3"/>
  <c r="I91" i="3"/>
  <c r="C95" i="3"/>
  <c r="C102" i="3"/>
  <c r="I76" i="3"/>
  <c r="I83" i="3"/>
  <c r="C94" i="3"/>
  <c r="I108" i="3"/>
  <c r="I31" i="3"/>
  <c r="I42" i="3"/>
  <c r="C46" i="3"/>
  <c r="C429" i="3"/>
  <c r="C12" i="3"/>
  <c r="I416" i="3"/>
  <c r="I16" i="3"/>
  <c r="C20" i="3"/>
  <c r="C23" i="3"/>
  <c r="C32" i="3"/>
  <c r="I34" i="3"/>
  <c r="I39" i="3"/>
  <c r="I44" i="3"/>
  <c r="I51" i="3"/>
  <c r="C55" i="3"/>
  <c r="C62" i="3"/>
  <c r="C9" i="3"/>
  <c r="C51" i="3"/>
  <c r="C43" i="3"/>
  <c r="C39" i="3"/>
  <c r="C35" i="3"/>
  <c r="C31" i="3"/>
  <c r="C27" i="3"/>
  <c r="C24" i="3"/>
  <c r="C159" i="3"/>
  <c r="C151" i="3"/>
  <c r="C143" i="3"/>
  <c r="C135" i="3"/>
  <c r="C127" i="3"/>
  <c r="C119" i="3"/>
  <c r="C10" i="3"/>
  <c r="AB9" i="3"/>
  <c r="I14" i="3"/>
  <c r="C15" i="3"/>
  <c r="I17" i="3"/>
  <c r="C18" i="3"/>
  <c r="I19" i="3"/>
  <c r="I22" i="3"/>
  <c r="I27" i="3"/>
  <c r="C36" i="3"/>
  <c r="I38" i="3"/>
  <c r="I43" i="3"/>
  <c r="C47" i="3"/>
  <c r="C54" i="3"/>
  <c r="I68" i="3"/>
  <c r="I75" i="3"/>
  <c r="C79" i="3"/>
  <c r="C86" i="3"/>
  <c r="I100" i="3"/>
  <c r="I107" i="3"/>
  <c r="C111" i="3"/>
  <c r="I115" i="3"/>
  <c r="C118" i="3"/>
  <c r="I123" i="3"/>
  <c r="C126" i="3"/>
  <c r="I131" i="3"/>
  <c r="C134" i="3"/>
  <c r="I139" i="3"/>
  <c r="C142" i="3"/>
  <c r="I147" i="3"/>
  <c r="C150" i="3"/>
  <c r="I163" i="3"/>
  <c r="C166" i="3"/>
  <c r="C167" i="3"/>
  <c r="I171" i="3"/>
  <c r="I172" i="3"/>
  <c r="C174" i="3"/>
  <c r="C175" i="3"/>
  <c r="I179" i="3"/>
  <c r="I180" i="3"/>
  <c r="C182" i="3"/>
  <c r="C183" i="3"/>
  <c r="I187" i="3"/>
  <c r="I188" i="3"/>
  <c r="C190" i="3"/>
  <c r="C191" i="3"/>
  <c r="I195" i="3"/>
  <c r="I196" i="3"/>
  <c r="C198" i="3"/>
  <c r="C199" i="3"/>
  <c r="I203" i="3"/>
  <c r="I204" i="3"/>
  <c r="C206" i="3"/>
  <c r="C207" i="3"/>
  <c r="I211" i="3"/>
  <c r="I212" i="3"/>
  <c r="C214" i="3"/>
  <c r="C215" i="3"/>
  <c r="I219" i="3"/>
  <c r="I220" i="3"/>
  <c r="C222" i="3"/>
  <c r="C223" i="3"/>
  <c r="I227" i="3"/>
  <c r="I228" i="3"/>
  <c r="C230" i="3"/>
  <c r="C231" i="3"/>
  <c r="I235" i="3"/>
  <c r="I236" i="3"/>
  <c r="C238" i="3"/>
  <c r="C239" i="3"/>
  <c r="I243" i="3"/>
  <c r="I244" i="3"/>
  <c r="C246" i="3"/>
  <c r="C247" i="3"/>
  <c r="I251" i="3"/>
  <c r="I252" i="3"/>
  <c r="C254" i="3"/>
  <c r="C255" i="3"/>
  <c r="I259" i="3"/>
  <c r="I260" i="3"/>
  <c r="C262" i="3"/>
  <c r="C263" i="3"/>
  <c r="I267" i="3"/>
  <c r="I268" i="3"/>
  <c r="C270" i="3"/>
  <c r="C271" i="3"/>
  <c r="I275" i="3"/>
  <c r="I276" i="3"/>
  <c r="C278" i="3"/>
  <c r="C279" i="3"/>
  <c r="I283" i="3"/>
  <c r="I284" i="3"/>
  <c r="C286" i="3"/>
  <c r="C287" i="3"/>
  <c r="I291" i="3"/>
  <c r="I292" i="3"/>
  <c r="C294" i="3"/>
  <c r="C295" i="3"/>
  <c r="I299" i="3"/>
  <c r="I300" i="3"/>
  <c r="C302" i="3"/>
  <c r="C303" i="3"/>
  <c r="I307" i="3"/>
  <c r="I308" i="3"/>
  <c r="C310" i="3"/>
  <c r="C311" i="3"/>
  <c r="I315" i="3"/>
  <c r="I316" i="3"/>
  <c r="C318" i="3"/>
  <c r="C319" i="3"/>
  <c r="I323" i="3"/>
  <c r="I324" i="3"/>
  <c r="C326" i="3"/>
  <c r="C327" i="3"/>
  <c r="I331" i="3"/>
  <c r="I332" i="3"/>
  <c r="C334" i="3"/>
  <c r="C335" i="3"/>
  <c r="I339" i="3"/>
  <c r="I340" i="3"/>
  <c r="C342" i="3"/>
  <c r="C343" i="3"/>
  <c r="I347" i="3"/>
  <c r="I348" i="3"/>
  <c r="C350" i="3"/>
  <c r="I351" i="3"/>
  <c r="I358" i="3"/>
  <c r="C362" i="3"/>
  <c r="I365" i="3"/>
  <c r="C369" i="3"/>
  <c r="I371" i="3"/>
  <c r="C376" i="3"/>
  <c r="C382" i="3"/>
  <c r="I383" i="3"/>
  <c r="I390" i="3"/>
  <c r="C394" i="3"/>
  <c r="I397" i="3"/>
  <c r="C401" i="3"/>
  <c r="I403" i="3"/>
  <c r="I410" i="3"/>
  <c r="C413" i="3"/>
  <c r="I414" i="3"/>
  <c r="C419" i="3"/>
  <c r="I420" i="3"/>
  <c r="I432" i="3"/>
  <c r="I440" i="3"/>
  <c r="C443" i="3"/>
  <c r="C451" i="3"/>
  <c r="I155" i="3"/>
  <c r="C158" i="3"/>
  <c r="C827" i="3"/>
  <c r="C819" i="3"/>
  <c r="C811" i="3"/>
  <c r="C808" i="3"/>
  <c r="C806" i="3"/>
  <c r="C804" i="3"/>
  <c r="C802" i="3"/>
  <c r="C800" i="3"/>
  <c r="C798" i="3"/>
  <c r="C796" i="3"/>
  <c r="C794" i="3"/>
  <c r="C792" i="3"/>
  <c r="C790" i="3"/>
  <c r="C788" i="3"/>
  <c r="C786" i="3"/>
  <c r="C784" i="3"/>
  <c r="C782" i="3"/>
  <c r="C780" i="3"/>
  <c r="C778" i="3"/>
  <c r="C776" i="3"/>
  <c r="C774" i="3"/>
  <c r="C772" i="3"/>
  <c r="C770" i="3"/>
  <c r="C768" i="3"/>
  <c r="C766" i="3"/>
  <c r="C764" i="3"/>
  <c r="C762" i="3"/>
  <c r="C760" i="3"/>
  <c r="C758" i="3"/>
  <c r="C756" i="3"/>
  <c r="C754" i="3"/>
  <c r="C752" i="3"/>
  <c r="C750" i="3"/>
  <c r="C748" i="3"/>
  <c r="C746" i="3"/>
  <c r="C744" i="3"/>
  <c r="C742" i="3"/>
  <c r="C740" i="3"/>
  <c r="C738" i="3"/>
  <c r="C736" i="3"/>
  <c r="C734" i="3"/>
  <c r="C732" i="3"/>
  <c r="C730" i="3"/>
  <c r="C728" i="3"/>
  <c r="C726" i="3"/>
  <c r="C724" i="3"/>
  <c r="C722" i="3"/>
  <c r="C720" i="3"/>
  <c r="C718" i="3"/>
  <c r="C716" i="3"/>
  <c r="C714" i="3"/>
  <c r="C712" i="3"/>
  <c r="C831" i="3"/>
  <c r="C823" i="3"/>
  <c r="C815" i="3"/>
  <c r="C809" i="3"/>
  <c r="C807" i="3"/>
  <c r="C805" i="3"/>
  <c r="C803" i="3"/>
  <c r="C801" i="3"/>
  <c r="C799" i="3"/>
  <c r="C797" i="3"/>
  <c r="C795" i="3"/>
  <c r="C793" i="3"/>
  <c r="C791" i="3"/>
  <c r="C789" i="3"/>
  <c r="C829" i="3"/>
  <c r="C787" i="3"/>
  <c r="C779" i="3"/>
  <c r="C771" i="3"/>
  <c r="C763" i="3"/>
  <c r="C755" i="3"/>
  <c r="C747" i="3"/>
  <c r="C739" i="3"/>
  <c r="C731" i="3"/>
  <c r="C723" i="3"/>
  <c r="C715" i="3"/>
  <c r="C710" i="3"/>
  <c r="C708" i="3"/>
  <c r="C706" i="3"/>
  <c r="C704" i="3"/>
  <c r="C702" i="3"/>
  <c r="C700" i="3"/>
  <c r="C698" i="3"/>
  <c r="C696" i="3"/>
  <c r="C694" i="3"/>
  <c r="C692" i="3"/>
  <c r="C690" i="3"/>
  <c r="C688" i="3"/>
  <c r="C686" i="3"/>
  <c r="C684" i="3"/>
  <c r="C682" i="3"/>
  <c r="C680" i="3"/>
  <c r="C678" i="3"/>
  <c r="C676" i="3"/>
  <c r="C674" i="3"/>
  <c r="C672" i="3"/>
  <c r="C785" i="3"/>
  <c r="C777" i="3"/>
  <c r="C769" i="3"/>
  <c r="C761" i="3"/>
  <c r="C753" i="3"/>
  <c r="C745" i="3"/>
  <c r="C737" i="3"/>
  <c r="C729" i="3"/>
  <c r="C721" i="3"/>
  <c r="C713" i="3"/>
  <c r="C783" i="3"/>
  <c r="C775" i="3"/>
  <c r="C767" i="3"/>
  <c r="C759" i="3"/>
  <c r="C751" i="3"/>
  <c r="C743" i="3"/>
  <c r="C735" i="3"/>
  <c r="C727" i="3"/>
  <c r="C719" i="3"/>
  <c r="C711" i="3"/>
  <c r="C709" i="3"/>
  <c r="C707" i="3"/>
  <c r="C705" i="3"/>
  <c r="C703" i="3"/>
  <c r="C701" i="3"/>
  <c r="C699" i="3"/>
  <c r="C697" i="3"/>
  <c r="C695" i="3"/>
  <c r="C693" i="3"/>
  <c r="C691" i="3"/>
  <c r="C689" i="3"/>
  <c r="C687" i="3"/>
  <c r="C685" i="3"/>
  <c r="C683" i="3"/>
  <c r="C681" i="3"/>
  <c r="C679" i="3"/>
  <c r="C677" i="3"/>
  <c r="C675" i="3"/>
  <c r="C673" i="3"/>
  <c r="C671" i="3"/>
  <c r="C669" i="3"/>
  <c r="C667" i="3"/>
  <c r="C665" i="3"/>
  <c r="C663" i="3"/>
  <c r="C661" i="3"/>
  <c r="C659" i="3"/>
  <c r="C657" i="3"/>
  <c r="C655" i="3"/>
  <c r="C653" i="3"/>
  <c r="C651" i="3"/>
  <c r="C649" i="3"/>
  <c r="C647" i="3"/>
  <c r="C645" i="3"/>
  <c r="C643" i="3"/>
  <c r="C641" i="3"/>
  <c r="C639" i="3"/>
  <c r="C637" i="3"/>
  <c r="C635" i="3"/>
  <c r="C633" i="3"/>
  <c r="C631" i="3"/>
  <c r="C629" i="3"/>
  <c r="C627" i="3"/>
  <c r="C625" i="3"/>
  <c r="C623" i="3"/>
  <c r="C621" i="3"/>
  <c r="C619" i="3"/>
  <c r="C617" i="3"/>
  <c r="C781" i="3"/>
  <c r="C773" i="3"/>
  <c r="C765" i="3"/>
  <c r="C757" i="3"/>
  <c r="C749" i="3"/>
  <c r="C741" i="3"/>
  <c r="C733" i="3"/>
  <c r="C725" i="3"/>
  <c r="C666" i="3"/>
  <c r="C658" i="3"/>
  <c r="C650" i="3"/>
  <c r="C642" i="3"/>
  <c r="C634" i="3"/>
  <c r="C626" i="3"/>
  <c r="C618" i="3"/>
  <c r="C615" i="3"/>
  <c r="C613" i="3"/>
  <c r="C611" i="3"/>
  <c r="C609" i="3"/>
  <c r="C607" i="3"/>
  <c r="C605" i="3"/>
  <c r="C603" i="3"/>
  <c r="C601" i="3"/>
  <c r="C599" i="3"/>
  <c r="C597" i="3"/>
  <c r="C595" i="3"/>
  <c r="C593" i="3"/>
  <c r="C591" i="3"/>
  <c r="C589" i="3"/>
  <c r="C587" i="3"/>
  <c r="C585" i="3"/>
  <c r="C583" i="3"/>
  <c r="C581" i="3"/>
  <c r="C579" i="3"/>
  <c r="C577" i="3"/>
  <c r="C575" i="3"/>
  <c r="C573" i="3"/>
  <c r="C571" i="3"/>
  <c r="C569" i="3"/>
  <c r="C567" i="3"/>
  <c r="C565" i="3"/>
  <c r="C563" i="3"/>
  <c r="C561" i="3"/>
  <c r="C559" i="3"/>
  <c r="C557" i="3"/>
  <c r="C555" i="3"/>
  <c r="C553" i="3"/>
  <c r="C551" i="3"/>
  <c r="C549" i="3"/>
  <c r="C664" i="3"/>
  <c r="C656" i="3"/>
  <c r="C648" i="3"/>
  <c r="C640" i="3"/>
  <c r="C632" i="3"/>
  <c r="C624" i="3"/>
  <c r="C717" i="3"/>
  <c r="C670" i="3"/>
  <c r="C662" i="3"/>
  <c r="C654" i="3"/>
  <c r="C668" i="3"/>
  <c r="C660" i="3"/>
  <c r="C652" i="3"/>
  <c r="C545" i="3"/>
  <c r="C537" i="3"/>
  <c r="C529" i="3"/>
  <c r="C521" i="3"/>
  <c r="C513" i="3"/>
  <c r="C505" i="3"/>
  <c r="C497" i="3"/>
  <c r="C489" i="3"/>
  <c r="C481" i="3"/>
  <c r="C543" i="3"/>
  <c r="C535" i="3"/>
  <c r="C527" i="3"/>
  <c r="C519" i="3"/>
  <c r="C511" i="3"/>
  <c r="C503" i="3"/>
  <c r="C495" i="3"/>
  <c r="C487" i="3"/>
  <c r="C479" i="3"/>
  <c r="C471" i="3"/>
  <c r="C541" i="3"/>
  <c r="C533" i="3"/>
  <c r="C525" i="3"/>
  <c r="C517" i="3"/>
  <c r="C509" i="3"/>
  <c r="C501" i="3"/>
  <c r="C493" i="3"/>
  <c r="C485" i="3"/>
  <c r="C547" i="3"/>
  <c r="C515" i="3"/>
  <c r="C483" i="3"/>
  <c r="C463" i="3"/>
  <c r="C461" i="3"/>
  <c r="C459" i="3"/>
  <c r="C523" i="3"/>
  <c r="C491" i="3"/>
  <c r="C455" i="3"/>
  <c r="C423" i="3"/>
  <c r="C531" i="3"/>
  <c r="C499" i="3"/>
  <c r="C467" i="3"/>
  <c r="C447" i="3"/>
  <c r="C415" i="3"/>
  <c r="C539" i="3"/>
  <c r="C507" i="3"/>
  <c r="C475" i="3"/>
  <c r="C439" i="3"/>
  <c r="C437" i="3"/>
  <c r="C435" i="3"/>
  <c r="C407" i="3"/>
  <c r="C405" i="3"/>
  <c r="C396" i="3"/>
  <c r="C388" i="3"/>
  <c r="C380" i="3"/>
  <c r="C372" i="3"/>
  <c r="C364" i="3"/>
  <c r="C356" i="3"/>
  <c r="C42" i="3"/>
  <c r="C38" i="3"/>
  <c r="C34" i="3"/>
  <c r="C30" i="3"/>
  <c r="C26" i="3"/>
  <c r="C13" i="3"/>
  <c r="C17" i="3"/>
  <c r="C21" i="3"/>
  <c r="C25" i="3"/>
  <c r="C29" i="3"/>
  <c r="C33" i="3"/>
  <c r="C37" i="3"/>
  <c r="C41" i="3"/>
  <c r="I45" i="3"/>
  <c r="I46" i="3"/>
  <c r="C48" i="3"/>
  <c r="C49" i="3"/>
  <c r="I53" i="3"/>
  <c r="I54" i="3"/>
  <c r="C56" i="3"/>
  <c r="C57" i="3"/>
  <c r="I61" i="3"/>
  <c r="I62" i="3"/>
  <c r="C64" i="3"/>
  <c r="C65" i="3"/>
  <c r="I69" i="3"/>
  <c r="I70" i="3"/>
  <c r="C72" i="3"/>
  <c r="C73" i="3"/>
  <c r="I77" i="3"/>
  <c r="I78" i="3"/>
  <c r="C80" i="3"/>
  <c r="C81" i="3"/>
  <c r="I85" i="3"/>
  <c r="I86" i="3"/>
  <c r="C88" i="3"/>
  <c r="C89" i="3"/>
  <c r="I93" i="3"/>
  <c r="I94" i="3"/>
  <c r="C96" i="3"/>
  <c r="C97" i="3"/>
  <c r="I101" i="3"/>
  <c r="I102" i="3"/>
  <c r="C104" i="3"/>
  <c r="C105" i="3"/>
  <c r="I109" i="3"/>
  <c r="I110" i="3"/>
  <c r="C112" i="3"/>
  <c r="C113" i="3"/>
  <c r="I117" i="3"/>
  <c r="I118" i="3"/>
  <c r="C120" i="3"/>
  <c r="C121" i="3"/>
  <c r="I125" i="3"/>
  <c r="I126" i="3"/>
  <c r="C128" i="3"/>
  <c r="C129" i="3"/>
  <c r="I133" i="3"/>
  <c r="I134" i="3"/>
  <c r="C136" i="3"/>
  <c r="C137" i="3"/>
  <c r="I141" i="3"/>
  <c r="I142" i="3"/>
  <c r="C144" i="3"/>
  <c r="C145" i="3"/>
  <c r="I149" i="3"/>
  <c r="I150" i="3"/>
  <c r="C152" i="3"/>
  <c r="C153" i="3"/>
  <c r="I157" i="3"/>
  <c r="I158" i="3"/>
  <c r="C160" i="3"/>
  <c r="C161" i="3"/>
  <c r="I165" i="3"/>
  <c r="I166" i="3"/>
  <c r="C168" i="3"/>
  <c r="C169" i="3"/>
  <c r="I173" i="3"/>
  <c r="I174" i="3"/>
  <c r="C176" i="3"/>
  <c r="C177" i="3"/>
  <c r="I181" i="3"/>
  <c r="I182" i="3"/>
  <c r="C184" i="3"/>
  <c r="C185" i="3"/>
  <c r="I189" i="3"/>
  <c r="I190" i="3"/>
  <c r="C192" i="3"/>
  <c r="C193" i="3"/>
  <c r="I197" i="3"/>
  <c r="I198" i="3"/>
  <c r="C200" i="3"/>
  <c r="C201" i="3"/>
  <c r="I205" i="3"/>
  <c r="I206" i="3"/>
  <c r="C208" i="3"/>
  <c r="C209" i="3"/>
  <c r="I213" i="3"/>
  <c r="I214" i="3"/>
  <c r="C216" i="3"/>
  <c r="C217" i="3"/>
  <c r="I221" i="3"/>
  <c r="I222" i="3"/>
  <c r="C224" i="3"/>
  <c r="C225" i="3"/>
  <c r="I229" i="3"/>
  <c r="I230" i="3"/>
  <c r="C232" i="3"/>
  <c r="C233" i="3"/>
  <c r="I237" i="3"/>
  <c r="I238" i="3"/>
  <c r="C240" i="3"/>
  <c r="C241" i="3"/>
  <c r="I245" i="3"/>
  <c r="I246" i="3"/>
  <c r="C248" i="3"/>
  <c r="C249" i="3"/>
  <c r="I253" i="3"/>
  <c r="I254" i="3"/>
  <c r="C256" i="3"/>
  <c r="C257" i="3"/>
  <c r="I261" i="3"/>
  <c r="I262" i="3"/>
  <c r="C264" i="3"/>
  <c r="C265" i="3"/>
  <c r="I269" i="3"/>
  <c r="I270" i="3"/>
  <c r="C272" i="3"/>
  <c r="C273" i="3"/>
  <c r="I277" i="3"/>
  <c r="I278" i="3"/>
  <c r="C280" i="3"/>
  <c r="C281" i="3"/>
  <c r="I285" i="3"/>
  <c r="I286" i="3"/>
  <c r="C288" i="3"/>
  <c r="C289" i="3"/>
  <c r="I293" i="3"/>
  <c r="I294" i="3"/>
  <c r="C296" i="3"/>
  <c r="C297" i="3"/>
  <c r="I301" i="3"/>
  <c r="I302" i="3"/>
  <c r="C304" i="3"/>
  <c r="C305" i="3"/>
  <c r="I309" i="3"/>
  <c r="I310" i="3"/>
  <c r="C312" i="3"/>
  <c r="C313" i="3"/>
  <c r="I317" i="3"/>
  <c r="I318" i="3"/>
  <c r="C320" i="3"/>
  <c r="C321" i="3"/>
  <c r="I325" i="3"/>
  <c r="I326" i="3"/>
  <c r="C328" i="3"/>
  <c r="C329" i="3"/>
  <c r="I333" i="3"/>
  <c r="I334" i="3"/>
  <c r="C336" i="3"/>
  <c r="C337" i="3"/>
  <c r="I341" i="3"/>
  <c r="I342" i="3"/>
  <c r="C344" i="3"/>
  <c r="C345" i="3"/>
  <c r="I349" i="3"/>
  <c r="I350" i="3"/>
  <c r="C354" i="3"/>
  <c r="I357" i="3"/>
  <c r="C361" i="3"/>
  <c r="I363" i="3"/>
  <c r="C368" i="3"/>
  <c r="C374" i="3"/>
  <c r="I375" i="3"/>
  <c r="I382" i="3"/>
  <c r="C386" i="3"/>
  <c r="I389" i="3"/>
  <c r="C393" i="3"/>
  <c r="I395" i="3"/>
  <c r="C400" i="3"/>
  <c r="I408" i="3"/>
  <c r="I418" i="3"/>
  <c r="I424" i="3"/>
  <c r="C427" i="3"/>
  <c r="C428" i="3"/>
  <c r="I95" i="3"/>
  <c r="I96" i="3"/>
  <c r="C98" i="3"/>
  <c r="C99" i="3"/>
  <c r="I103" i="3"/>
  <c r="I104" i="3"/>
  <c r="C106" i="3"/>
  <c r="C107" i="3"/>
  <c r="I111" i="3"/>
  <c r="I112" i="3"/>
  <c r="C114" i="3"/>
  <c r="C115" i="3"/>
  <c r="I119" i="3"/>
  <c r="I120" i="3"/>
  <c r="C122" i="3"/>
  <c r="C123" i="3"/>
  <c r="I127" i="3"/>
  <c r="I128" i="3"/>
  <c r="C130" i="3"/>
  <c r="C131" i="3"/>
  <c r="I135" i="3"/>
  <c r="I136" i="3"/>
  <c r="C138" i="3"/>
  <c r="C139" i="3"/>
  <c r="I143" i="3"/>
  <c r="I144" i="3"/>
  <c r="C146" i="3"/>
  <c r="C147" i="3"/>
  <c r="I151" i="3"/>
  <c r="I152" i="3"/>
  <c r="C154" i="3"/>
  <c r="C155" i="3"/>
  <c r="I159" i="3"/>
  <c r="I160" i="3"/>
  <c r="C162" i="3"/>
  <c r="C163" i="3"/>
  <c r="I167" i="3"/>
  <c r="I168" i="3"/>
  <c r="C170" i="3"/>
  <c r="C171" i="3"/>
  <c r="I175" i="3"/>
  <c r="I176" i="3"/>
  <c r="C178" i="3"/>
  <c r="C179" i="3"/>
  <c r="I183" i="3"/>
  <c r="I184" i="3"/>
  <c r="C186" i="3"/>
  <c r="C187" i="3"/>
  <c r="I191" i="3"/>
  <c r="I192" i="3"/>
  <c r="C194" i="3"/>
  <c r="C195" i="3"/>
  <c r="I199" i="3"/>
  <c r="I200" i="3"/>
  <c r="C202" i="3"/>
  <c r="C203" i="3"/>
  <c r="I207" i="3"/>
  <c r="I208" i="3"/>
  <c r="C210" i="3"/>
  <c r="C211" i="3"/>
  <c r="I215" i="3"/>
  <c r="I216" i="3"/>
  <c r="C218" i="3"/>
  <c r="C219" i="3"/>
  <c r="I223" i="3"/>
  <c r="I224" i="3"/>
  <c r="C226" i="3"/>
  <c r="C227" i="3"/>
  <c r="I231" i="3"/>
  <c r="I232" i="3"/>
  <c r="C234" i="3"/>
  <c r="C235" i="3"/>
  <c r="I239" i="3"/>
  <c r="I240" i="3"/>
  <c r="C242" i="3"/>
  <c r="C243" i="3"/>
  <c r="I247" i="3"/>
  <c r="I248" i="3"/>
  <c r="C250" i="3"/>
  <c r="C251" i="3"/>
  <c r="I255" i="3"/>
  <c r="I256" i="3"/>
  <c r="C258" i="3"/>
  <c r="C259" i="3"/>
  <c r="I263" i="3"/>
  <c r="I264" i="3"/>
  <c r="C266" i="3"/>
  <c r="C267" i="3"/>
  <c r="I271" i="3"/>
  <c r="I272" i="3"/>
  <c r="C274" i="3"/>
  <c r="C275" i="3"/>
  <c r="I279" i="3"/>
  <c r="I280" i="3"/>
  <c r="C282" i="3"/>
  <c r="C283" i="3"/>
  <c r="I287" i="3"/>
  <c r="I288" i="3"/>
  <c r="C290" i="3"/>
  <c r="C291" i="3"/>
  <c r="I295" i="3"/>
  <c r="I296" i="3"/>
  <c r="C298" i="3"/>
  <c r="C299" i="3"/>
  <c r="I303" i="3"/>
  <c r="I304" i="3"/>
  <c r="C306" i="3"/>
  <c r="C307" i="3"/>
  <c r="I311" i="3"/>
  <c r="I312" i="3"/>
  <c r="C314" i="3"/>
  <c r="C315" i="3"/>
  <c r="I319" i="3"/>
  <c r="I320" i="3"/>
  <c r="C322" i="3"/>
  <c r="C323" i="3"/>
  <c r="I327" i="3"/>
  <c r="I328" i="3"/>
  <c r="C330" i="3"/>
  <c r="C331" i="3"/>
  <c r="I335" i="3"/>
  <c r="I336" i="3"/>
  <c r="C338" i="3"/>
  <c r="C339" i="3"/>
  <c r="I343" i="3"/>
  <c r="I344" i="3"/>
  <c r="C346" i="3"/>
  <c r="C347" i="3"/>
  <c r="C353" i="3"/>
  <c r="I355" i="3"/>
  <c r="C360" i="3"/>
  <c r="C366" i="3"/>
  <c r="I367" i="3"/>
  <c r="I374" i="3"/>
  <c r="C378" i="3"/>
  <c r="I381" i="3"/>
  <c r="C385" i="3"/>
  <c r="I387" i="3"/>
  <c r="C392" i="3"/>
  <c r="C398" i="3"/>
  <c r="I399" i="3"/>
  <c r="C411" i="3"/>
  <c r="I417" i="3"/>
  <c r="C422" i="3"/>
  <c r="C426" i="3"/>
  <c r="I434" i="3"/>
  <c r="I442" i="3"/>
  <c r="C445" i="3"/>
  <c r="C453" i="3"/>
  <c r="I23" i="3"/>
  <c r="I47" i="3"/>
  <c r="C50" i="3"/>
  <c r="I55" i="3"/>
  <c r="I56" i="3"/>
  <c r="C58" i="3"/>
  <c r="C59" i="3"/>
  <c r="I63" i="3"/>
  <c r="I64" i="3"/>
  <c r="C66" i="3"/>
  <c r="C67" i="3"/>
  <c r="I71" i="3"/>
  <c r="I72" i="3"/>
  <c r="C74" i="3"/>
  <c r="C75" i="3"/>
  <c r="I79" i="3"/>
  <c r="I80" i="3"/>
  <c r="C82" i="3"/>
  <c r="C83" i="3"/>
  <c r="I87" i="3"/>
  <c r="C90" i="3"/>
  <c r="C91" i="3"/>
  <c r="I824" i="3"/>
  <c r="I816" i="3"/>
  <c r="I809" i="3"/>
  <c r="I807" i="3"/>
  <c r="I805" i="3"/>
  <c r="I803" i="3"/>
  <c r="I801" i="3"/>
  <c r="I799" i="3"/>
  <c r="I797" i="3"/>
  <c r="I795" i="3"/>
  <c r="I793" i="3"/>
  <c r="I791" i="3"/>
  <c r="I789" i="3"/>
  <c r="I787" i="3"/>
  <c r="I785" i="3"/>
  <c r="I783" i="3"/>
  <c r="I781" i="3"/>
  <c r="I779" i="3"/>
  <c r="I777" i="3"/>
  <c r="I775" i="3"/>
  <c r="I773" i="3"/>
  <c r="I771" i="3"/>
  <c r="I769" i="3"/>
  <c r="I767" i="3"/>
  <c r="I765" i="3"/>
  <c r="I763" i="3"/>
  <c r="I761" i="3"/>
  <c r="I759" i="3"/>
  <c r="I757" i="3"/>
  <c r="I755" i="3"/>
  <c r="I753" i="3"/>
  <c r="I751" i="3"/>
  <c r="I749" i="3"/>
  <c r="I747" i="3"/>
  <c r="I745" i="3"/>
  <c r="I743" i="3"/>
  <c r="I741" i="3"/>
  <c r="I739" i="3"/>
  <c r="I737" i="3"/>
  <c r="I735" i="3"/>
  <c r="I733" i="3"/>
  <c r="I731" i="3"/>
  <c r="I729" i="3"/>
  <c r="I727" i="3"/>
  <c r="I725" i="3"/>
  <c r="I723" i="3"/>
  <c r="I721" i="3"/>
  <c r="I719" i="3"/>
  <c r="I717" i="3"/>
  <c r="I715" i="3"/>
  <c r="I713" i="3"/>
  <c r="I711" i="3"/>
  <c r="I830" i="3"/>
  <c r="I828" i="3"/>
  <c r="I820" i="3"/>
  <c r="I812" i="3"/>
  <c r="I808" i="3"/>
  <c r="I806" i="3"/>
  <c r="I804" i="3"/>
  <c r="I802" i="3"/>
  <c r="I800" i="3"/>
  <c r="I798" i="3"/>
  <c r="I796" i="3"/>
  <c r="I794" i="3"/>
  <c r="I792" i="3"/>
  <c r="I790" i="3"/>
  <c r="I788" i="3"/>
  <c r="I784" i="3"/>
  <c r="I776" i="3"/>
  <c r="I768" i="3"/>
  <c r="I760" i="3"/>
  <c r="I752" i="3"/>
  <c r="I744" i="3"/>
  <c r="I736" i="3"/>
  <c r="I728" i="3"/>
  <c r="I720" i="3"/>
  <c r="I712" i="3"/>
  <c r="I709" i="3"/>
  <c r="I707" i="3"/>
  <c r="I705" i="3"/>
  <c r="I703" i="3"/>
  <c r="I701" i="3"/>
  <c r="I699" i="3"/>
  <c r="I697" i="3"/>
  <c r="I695" i="3"/>
  <c r="I693" i="3"/>
  <c r="I691" i="3"/>
  <c r="I689" i="3"/>
  <c r="I687" i="3"/>
  <c r="I685" i="3"/>
  <c r="I683" i="3"/>
  <c r="I681" i="3"/>
  <c r="I679" i="3"/>
  <c r="I677" i="3"/>
  <c r="I675" i="3"/>
  <c r="I673" i="3"/>
  <c r="I671" i="3"/>
  <c r="I782" i="3"/>
  <c r="I774" i="3"/>
  <c r="I766" i="3"/>
  <c r="I758" i="3"/>
  <c r="I750" i="3"/>
  <c r="I742" i="3"/>
  <c r="I734" i="3"/>
  <c r="I726" i="3"/>
  <c r="I718" i="3"/>
  <c r="I780" i="3"/>
  <c r="I772" i="3"/>
  <c r="I764" i="3"/>
  <c r="I756" i="3"/>
  <c r="I748" i="3"/>
  <c r="I740" i="3"/>
  <c r="I732" i="3"/>
  <c r="I724" i="3"/>
  <c r="I716" i="3"/>
  <c r="I710" i="3"/>
  <c r="I708" i="3"/>
  <c r="I706" i="3"/>
  <c r="I704" i="3"/>
  <c r="I702" i="3"/>
  <c r="I700" i="3"/>
  <c r="I698" i="3"/>
  <c r="I696" i="3"/>
  <c r="I694" i="3"/>
  <c r="I692" i="3"/>
  <c r="I690" i="3"/>
  <c r="I688" i="3"/>
  <c r="I686" i="3"/>
  <c r="I684" i="3"/>
  <c r="I682" i="3"/>
  <c r="I680" i="3"/>
  <c r="I678" i="3"/>
  <c r="I676" i="3"/>
  <c r="I674" i="3"/>
  <c r="I672" i="3"/>
  <c r="I670" i="3"/>
  <c r="I668" i="3"/>
  <c r="I666" i="3"/>
  <c r="I664" i="3"/>
  <c r="I662" i="3"/>
  <c r="I660" i="3"/>
  <c r="I658" i="3"/>
  <c r="I656" i="3"/>
  <c r="I654" i="3"/>
  <c r="I652" i="3"/>
  <c r="I650" i="3"/>
  <c r="I648" i="3"/>
  <c r="I646" i="3"/>
  <c r="I644" i="3"/>
  <c r="I642" i="3"/>
  <c r="I640" i="3"/>
  <c r="I638" i="3"/>
  <c r="I636" i="3"/>
  <c r="I634" i="3"/>
  <c r="I632" i="3"/>
  <c r="I630" i="3"/>
  <c r="I628" i="3"/>
  <c r="I626" i="3"/>
  <c r="I624" i="3"/>
  <c r="I622" i="3"/>
  <c r="I620" i="3"/>
  <c r="I618" i="3"/>
  <c r="I786" i="3"/>
  <c r="I778" i="3"/>
  <c r="I770" i="3"/>
  <c r="I762" i="3"/>
  <c r="I754" i="3"/>
  <c r="I746" i="3"/>
  <c r="I738" i="3"/>
  <c r="I730" i="3"/>
  <c r="I722" i="3"/>
  <c r="I663" i="3"/>
  <c r="I655" i="3"/>
  <c r="I647" i="3"/>
  <c r="I639" i="3"/>
  <c r="I631" i="3"/>
  <c r="I623" i="3"/>
  <c r="I616" i="3"/>
  <c r="I614" i="3"/>
  <c r="I612" i="3"/>
  <c r="I610" i="3"/>
  <c r="I608" i="3"/>
  <c r="I606" i="3"/>
  <c r="I604" i="3"/>
  <c r="I602" i="3"/>
  <c r="I600" i="3"/>
  <c r="I598" i="3"/>
  <c r="I596" i="3"/>
  <c r="I594" i="3"/>
  <c r="I592" i="3"/>
  <c r="I590" i="3"/>
  <c r="I588" i="3"/>
  <c r="I586" i="3"/>
  <c r="I584" i="3"/>
  <c r="I582" i="3"/>
  <c r="I580" i="3"/>
  <c r="I578" i="3"/>
  <c r="I576" i="3"/>
  <c r="I574" i="3"/>
  <c r="I572" i="3"/>
  <c r="I570" i="3"/>
  <c r="I568" i="3"/>
  <c r="I566" i="3"/>
  <c r="I564" i="3"/>
  <c r="I562" i="3"/>
  <c r="I560" i="3"/>
  <c r="I558" i="3"/>
  <c r="I556" i="3"/>
  <c r="I554" i="3"/>
  <c r="I552" i="3"/>
  <c r="I550" i="3"/>
  <c r="I548" i="3"/>
  <c r="I669" i="3"/>
  <c r="I661" i="3"/>
  <c r="I653" i="3"/>
  <c r="I645" i="3"/>
  <c r="I637" i="3"/>
  <c r="I629" i="3"/>
  <c r="I621" i="3"/>
  <c r="I667" i="3"/>
  <c r="I659" i="3"/>
  <c r="I651" i="3"/>
  <c r="I714" i="3"/>
  <c r="I665" i="3"/>
  <c r="I657" i="3"/>
  <c r="I649" i="3"/>
  <c r="I542" i="3"/>
  <c r="I534" i="3"/>
  <c r="I526" i="3"/>
  <c r="I518" i="3"/>
  <c r="I510" i="3"/>
  <c r="I502" i="3"/>
  <c r="I494" i="3"/>
  <c r="I486" i="3"/>
  <c r="I478" i="3"/>
  <c r="I540" i="3"/>
  <c r="I532" i="3"/>
  <c r="I524" i="3"/>
  <c r="I516" i="3"/>
  <c r="I508" i="3"/>
  <c r="I500" i="3"/>
  <c r="I492" i="3"/>
  <c r="I484" i="3"/>
  <c r="I476" i="3"/>
  <c r="I468" i="3"/>
  <c r="I546" i="3"/>
  <c r="I538" i="3"/>
  <c r="I530" i="3"/>
  <c r="I522" i="3"/>
  <c r="I514" i="3"/>
  <c r="I506" i="3"/>
  <c r="I498" i="3"/>
  <c r="I490" i="3"/>
  <c r="I482" i="3"/>
  <c r="I466" i="3"/>
  <c r="I536" i="3"/>
  <c r="I504" i="3"/>
  <c r="I472" i="3"/>
  <c r="I452" i="3"/>
  <c r="I450" i="3"/>
  <c r="I448" i="3"/>
  <c r="I544" i="3"/>
  <c r="I512" i="3"/>
  <c r="I480" i="3"/>
  <c r="I444" i="3"/>
  <c r="I412" i="3"/>
  <c r="I520" i="3"/>
  <c r="I488" i="3"/>
  <c r="I436" i="3"/>
  <c r="I404" i="3"/>
  <c r="I40" i="3"/>
  <c r="I36" i="3"/>
  <c r="I32" i="3"/>
  <c r="I28" i="3"/>
  <c r="I528" i="3"/>
  <c r="I496" i="3"/>
  <c r="I464" i="3"/>
  <c r="I460" i="3"/>
  <c r="I458" i="3"/>
  <c r="I456" i="3"/>
  <c r="I428" i="3"/>
  <c r="I426" i="3"/>
  <c r="I401" i="3"/>
  <c r="I393" i="3"/>
  <c r="I385" i="3"/>
  <c r="I377" i="3"/>
  <c r="I369" i="3"/>
  <c r="I361" i="3"/>
  <c r="I353" i="3"/>
  <c r="C44" i="3"/>
  <c r="C45" i="3"/>
  <c r="I49" i="3"/>
  <c r="I50" i="3"/>
  <c r="C52" i="3"/>
  <c r="C53" i="3"/>
  <c r="I57" i="3"/>
  <c r="I58" i="3"/>
  <c r="C60" i="3"/>
  <c r="C61" i="3"/>
  <c r="I65" i="3"/>
  <c r="I66" i="3"/>
  <c r="C68" i="3"/>
  <c r="C69" i="3"/>
  <c r="I73" i="3"/>
  <c r="I74" i="3"/>
  <c r="C76" i="3"/>
  <c r="C77" i="3"/>
  <c r="I81" i="3"/>
  <c r="I82" i="3"/>
  <c r="C84" i="3"/>
  <c r="C85" i="3"/>
  <c r="I89" i="3"/>
  <c r="I90" i="3"/>
  <c r="C92" i="3"/>
  <c r="C93" i="3"/>
  <c r="I97" i="3"/>
  <c r="I98" i="3"/>
  <c r="C100" i="3"/>
  <c r="C101" i="3"/>
  <c r="I105" i="3"/>
  <c r="I106" i="3"/>
  <c r="C108" i="3"/>
  <c r="C109" i="3"/>
  <c r="I113" i="3"/>
  <c r="I114" i="3"/>
  <c r="C116" i="3"/>
  <c r="C117" i="3"/>
  <c r="I121" i="3"/>
  <c r="I122" i="3"/>
  <c r="C124" i="3"/>
  <c r="C125" i="3"/>
  <c r="I129" i="3"/>
  <c r="I130" i="3"/>
  <c r="C132" i="3"/>
  <c r="C133" i="3"/>
  <c r="I137" i="3"/>
  <c r="I138" i="3"/>
  <c r="C140" i="3"/>
  <c r="C141" i="3"/>
  <c r="I145" i="3"/>
  <c r="I146" i="3"/>
  <c r="C148" i="3"/>
  <c r="C149" i="3"/>
  <c r="I153" i="3"/>
  <c r="I154" i="3"/>
  <c r="C156" i="3"/>
  <c r="C157" i="3"/>
  <c r="I161" i="3"/>
  <c r="I162" i="3"/>
  <c r="C164" i="3"/>
  <c r="C165" i="3"/>
  <c r="I169" i="3"/>
  <c r="I170" i="3"/>
  <c r="C172" i="3"/>
  <c r="C173" i="3"/>
  <c r="I177" i="3"/>
  <c r="I178" i="3"/>
  <c r="C180" i="3"/>
  <c r="C181" i="3"/>
  <c r="I185" i="3"/>
  <c r="I186" i="3"/>
  <c r="C188" i="3"/>
  <c r="C189" i="3"/>
  <c r="I193" i="3"/>
  <c r="I194" i="3"/>
  <c r="C196" i="3"/>
  <c r="C197" i="3"/>
  <c r="I201" i="3"/>
  <c r="I202" i="3"/>
  <c r="C204" i="3"/>
  <c r="C205" i="3"/>
  <c r="I209" i="3"/>
  <c r="I210" i="3"/>
  <c r="C212" i="3"/>
  <c r="C213" i="3"/>
  <c r="I217" i="3"/>
  <c r="I218" i="3"/>
  <c r="C220" i="3"/>
  <c r="C221" i="3"/>
  <c r="I225" i="3"/>
  <c r="I226" i="3"/>
  <c r="C228" i="3"/>
  <c r="C229" i="3"/>
  <c r="I233" i="3"/>
  <c r="I234" i="3"/>
  <c r="C236" i="3"/>
  <c r="C237" i="3"/>
  <c r="I241" i="3"/>
  <c r="I242" i="3"/>
  <c r="C244" i="3"/>
  <c r="C245" i="3"/>
  <c r="I249" i="3"/>
  <c r="I250" i="3"/>
  <c r="C252" i="3"/>
  <c r="C253" i="3"/>
  <c r="I257" i="3"/>
  <c r="I258" i="3"/>
  <c r="C260" i="3"/>
  <c r="C261" i="3"/>
  <c r="I265" i="3"/>
  <c r="I266" i="3"/>
  <c r="C268" i="3"/>
  <c r="C269" i="3"/>
  <c r="I273" i="3"/>
  <c r="I274" i="3"/>
  <c r="C276" i="3"/>
  <c r="C277" i="3"/>
  <c r="I281" i="3"/>
  <c r="I282" i="3"/>
  <c r="C284" i="3"/>
  <c r="C285" i="3"/>
  <c r="I289" i="3"/>
  <c r="I290" i="3"/>
  <c r="C292" i="3"/>
  <c r="C293" i="3"/>
  <c r="I297" i="3"/>
  <c r="I298" i="3"/>
  <c r="C300" i="3"/>
  <c r="C301" i="3"/>
  <c r="I305" i="3"/>
  <c r="I306" i="3"/>
  <c r="C308" i="3"/>
  <c r="C309" i="3"/>
  <c r="I313" i="3"/>
  <c r="I314" i="3"/>
  <c r="C316" i="3"/>
  <c r="C317" i="3"/>
  <c r="I321" i="3"/>
  <c r="I322" i="3"/>
  <c r="C324" i="3"/>
  <c r="C325" i="3"/>
  <c r="I329" i="3"/>
  <c r="I330" i="3"/>
  <c r="C332" i="3"/>
  <c r="C333" i="3"/>
  <c r="I337" i="3"/>
  <c r="I338" i="3"/>
  <c r="C340" i="3"/>
  <c r="C341" i="3"/>
  <c r="I345" i="3"/>
  <c r="I346" i="3"/>
  <c r="C348" i="3"/>
  <c r="C349" i="3"/>
  <c r="C352" i="3"/>
  <c r="C358" i="3"/>
  <c r="I359" i="3"/>
  <c r="I366" i="3"/>
  <c r="C370" i="3"/>
  <c r="I373" i="3"/>
  <c r="C377" i="3"/>
  <c r="I379" i="3"/>
  <c r="C384" i="3"/>
  <c r="C390" i="3"/>
  <c r="I391" i="3"/>
  <c r="I398" i="3"/>
  <c r="C402" i="3"/>
  <c r="I411" i="3"/>
  <c r="I415" i="3"/>
  <c r="C421" i="3"/>
  <c r="C425" i="3"/>
  <c r="C431" i="3"/>
  <c r="I352" i="3"/>
  <c r="C355" i="3"/>
  <c r="I360" i="3"/>
  <c r="C363" i="3"/>
  <c r="I368" i="3"/>
  <c r="C371" i="3"/>
  <c r="I376" i="3"/>
  <c r="C379" i="3"/>
  <c r="I384" i="3"/>
  <c r="C387" i="3"/>
  <c r="I392" i="3"/>
  <c r="C395" i="3"/>
  <c r="I400" i="3"/>
  <c r="C403" i="3"/>
  <c r="C404" i="3"/>
  <c r="I419" i="3"/>
  <c r="I422" i="3"/>
  <c r="I423" i="3"/>
  <c r="I425" i="3"/>
  <c r="C430" i="3"/>
  <c r="C433" i="3"/>
  <c r="C434" i="3"/>
  <c r="C436" i="3"/>
  <c r="I451" i="3"/>
  <c r="I454" i="3"/>
  <c r="I455" i="3"/>
  <c r="I457" i="3"/>
  <c r="C462" i="3"/>
  <c r="C469" i="3"/>
  <c r="I471" i="3"/>
  <c r="C482" i="3"/>
  <c r="I503" i="3"/>
  <c r="C514" i="3"/>
  <c r="I535" i="3"/>
  <c r="C546" i="3"/>
  <c r="I354" i="3"/>
  <c r="C357" i="3"/>
  <c r="I362" i="3"/>
  <c r="C365" i="3"/>
  <c r="I370" i="3"/>
  <c r="C373" i="3"/>
  <c r="I378" i="3"/>
  <c r="C381" i="3"/>
  <c r="I386" i="3"/>
  <c r="C389" i="3"/>
  <c r="I394" i="3"/>
  <c r="C397" i="3"/>
  <c r="I402" i="3"/>
  <c r="C406" i="3"/>
  <c r="C409" i="3"/>
  <c r="C410" i="3"/>
  <c r="C412" i="3"/>
  <c r="I427" i="3"/>
  <c r="I430" i="3"/>
  <c r="I431" i="3"/>
  <c r="I433" i="3"/>
  <c r="C438" i="3"/>
  <c r="C441" i="3"/>
  <c r="C442" i="3"/>
  <c r="C444" i="3"/>
  <c r="I459" i="3"/>
  <c r="I462" i="3"/>
  <c r="I463" i="3"/>
  <c r="I470" i="3"/>
  <c r="C474" i="3"/>
  <c r="I495" i="3"/>
  <c r="C506" i="3"/>
  <c r="I527" i="3"/>
  <c r="C538" i="3"/>
  <c r="C351" i="3"/>
  <c r="I356" i="3"/>
  <c r="C359" i="3"/>
  <c r="I364" i="3"/>
  <c r="C367" i="3"/>
  <c r="I372" i="3"/>
  <c r="C375" i="3"/>
  <c r="I380" i="3"/>
  <c r="C383" i="3"/>
  <c r="I388" i="3"/>
  <c r="C391" i="3"/>
  <c r="I396" i="3"/>
  <c r="C399" i="3"/>
  <c r="I406" i="3"/>
  <c r="I407" i="3"/>
  <c r="I409" i="3"/>
  <c r="C414" i="3"/>
  <c r="C417" i="3"/>
  <c r="C418" i="3"/>
  <c r="C420" i="3"/>
  <c r="I435" i="3"/>
  <c r="I438" i="3"/>
  <c r="I439" i="3"/>
  <c r="I441" i="3"/>
  <c r="C446" i="3"/>
  <c r="C449" i="3"/>
  <c r="C450" i="3"/>
  <c r="C452" i="3"/>
  <c r="C466" i="3"/>
  <c r="C473" i="3"/>
  <c r="I474" i="3"/>
  <c r="I487" i="3"/>
  <c r="C498" i="3"/>
  <c r="I519" i="3"/>
  <c r="C530" i="3"/>
  <c r="I443" i="3"/>
  <c r="I446" i="3"/>
  <c r="I447" i="3"/>
  <c r="I449" i="3"/>
  <c r="C454" i="3"/>
  <c r="C457" i="3"/>
  <c r="C458" i="3"/>
  <c r="C460" i="3"/>
  <c r="C465" i="3"/>
  <c r="C477" i="3"/>
  <c r="I479" i="3"/>
  <c r="C490" i="3"/>
  <c r="I511" i="3"/>
  <c r="C522" i="3"/>
  <c r="I543" i="3"/>
  <c r="C548" i="3"/>
  <c r="I465" i="3"/>
  <c r="C468" i="3"/>
  <c r="I473" i="3"/>
  <c r="C476" i="3"/>
  <c r="I481" i="3"/>
  <c r="C484" i="3"/>
  <c r="I489" i="3"/>
  <c r="C492" i="3"/>
  <c r="I497" i="3"/>
  <c r="C500" i="3"/>
  <c r="I505" i="3"/>
  <c r="C508" i="3"/>
  <c r="I513" i="3"/>
  <c r="C516" i="3"/>
  <c r="I521" i="3"/>
  <c r="C524" i="3"/>
  <c r="I529" i="3"/>
  <c r="C532" i="3"/>
  <c r="I537" i="3"/>
  <c r="C540" i="3"/>
  <c r="I545" i="3"/>
  <c r="I467" i="3"/>
  <c r="C470" i="3"/>
  <c r="I475" i="3"/>
  <c r="C478" i="3"/>
  <c r="I483" i="3"/>
  <c r="C486" i="3"/>
  <c r="I491" i="3"/>
  <c r="C494" i="3"/>
  <c r="I499" i="3"/>
  <c r="C502" i="3"/>
  <c r="I507" i="3"/>
  <c r="C510" i="3"/>
  <c r="I515" i="3"/>
  <c r="C518" i="3"/>
  <c r="I523" i="3"/>
  <c r="C526" i="3"/>
  <c r="I531" i="3"/>
  <c r="C534" i="3"/>
  <c r="I539" i="3"/>
  <c r="C542" i="3"/>
  <c r="I547" i="3"/>
  <c r="C550" i="3"/>
  <c r="I551" i="3"/>
  <c r="C554" i="3"/>
  <c r="I555" i="3"/>
  <c r="C558" i="3"/>
  <c r="I559" i="3"/>
  <c r="C562" i="3"/>
  <c r="I563" i="3"/>
  <c r="C566" i="3"/>
  <c r="I567" i="3"/>
  <c r="C570" i="3"/>
  <c r="I571" i="3"/>
  <c r="C574" i="3"/>
  <c r="I575" i="3"/>
  <c r="C578" i="3"/>
  <c r="I579" i="3"/>
  <c r="C582" i="3"/>
  <c r="I583" i="3"/>
  <c r="C586" i="3"/>
  <c r="I587" i="3"/>
  <c r="C590" i="3"/>
  <c r="I591" i="3"/>
  <c r="C594" i="3"/>
  <c r="I595" i="3"/>
  <c r="C598" i="3"/>
  <c r="I599" i="3"/>
  <c r="C602" i="3"/>
  <c r="I603" i="3"/>
  <c r="C606" i="3"/>
  <c r="I607" i="3"/>
  <c r="C610" i="3"/>
  <c r="I611" i="3"/>
  <c r="C614" i="3"/>
  <c r="I615" i="3"/>
  <c r="I619" i="3"/>
  <c r="C622" i="3"/>
  <c r="I627" i="3"/>
  <c r="C630" i="3"/>
  <c r="I635" i="3"/>
  <c r="C638" i="3"/>
  <c r="I643" i="3"/>
  <c r="C646" i="3"/>
  <c r="I405" i="3"/>
  <c r="C408" i="3"/>
  <c r="I413" i="3"/>
  <c r="C416" i="3"/>
  <c r="I421" i="3"/>
  <c r="C424" i="3"/>
  <c r="I429" i="3"/>
  <c r="C432" i="3"/>
  <c r="I437" i="3"/>
  <c r="C440" i="3"/>
  <c r="I445" i="3"/>
  <c r="C448" i="3"/>
  <c r="I453" i="3"/>
  <c r="C456" i="3"/>
  <c r="I461" i="3"/>
  <c r="C464" i="3"/>
  <c r="I469" i="3"/>
  <c r="C472" i="3"/>
  <c r="I477" i="3"/>
  <c r="C480" i="3"/>
  <c r="I485" i="3"/>
  <c r="C488" i="3"/>
  <c r="I493" i="3"/>
  <c r="C496" i="3"/>
  <c r="I501" i="3"/>
  <c r="C504" i="3"/>
  <c r="I509" i="3"/>
  <c r="C512" i="3"/>
  <c r="I517" i="3"/>
  <c r="C520" i="3"/>
  <c r="I525" i="3"/>
  <c r="C528" i="3"/>
  <c r="I533" i="3"/>
  <c r="C536" i="3"/>
  <c r="I541" i="3"/>
  <c r="C544" i="3"/>
  <c r="I549" i="3"/>
  <c r="C552" i="3"/>
  <c r="I553" i="3"/>
  <c r="C556" i="3"/>
  <c r="I557" i="3"/>
  <c r="C560" i="3"/>
  <c r="I561" i="3"/>
  <c r="C564" i="3"/>
  <c r="I565" i="3"/>
  <c r="C568" i="3"/>
  <c r="I569" i="3"/>
  <c r="C572" i="3"/>
  <c r="I573" i="3"/>
  <c r="C576" i="3"/>
  <c r="I577" i="3"/>
  <c r="C580" i="3"/>
  <c r="I581" i="3"/>
  <c r="C584" i="3"/>
  <c r="I585" i="3"/>
  <c r="C588" i="3"/>
  <c r="I589" i="3"/>
  <c r="C592" i="3"/>
  <c r="I593" i="3"/>
  <c r="C596" i="3"/>
  <c r="I597" i="3"/>
  <c r="C600" i="3"/>
  <c r="I601" i="3"/>
  <c r="C604" i="3"/>
  <c r="I605" i="3"/>
  <c r="C608" i="3"/>
  <c r="I609" i="3"/>
  <c r="C612" i="3"/>
  <c r="I613" i="3"/>
  <c r="C616" i="3"/>
  <c r="I617" i="3"/>
  <c r="C620" i="3"/>
  <c r="I625" i="3"/>
  <c r="C628" i="3"/>
  <c r="I633" i="3"/>
  <c r="C636" i="3"/>
  <c r="I641" i="3"/>
  <c r="C644" i="3"/>
  <c r="I810" i="3"/>
  <c r="C813" i="3"/>
  <c r="I814" i="3"/>
  <c r="C817" i="3"/>
  <c r="I818" i="3"/>
  <c r="C821" i="3"/>
  <c r="I822" i="3"/>
  <c r="C825" i="3"/>
  <c r="I826" i="3"/>
  <c r="C812" i="3"/>
  <c r="I817" i="3"/>
  <c r="C820" i="3"/>
  <c r="I825" i="3"/>
  <c r="C828" i="3"/>
  <c r="I834" i="3"/>
  <c r="I811" i="3"/>
  <c r="C814" i="3"/>
  <c r="I819" i="3"/>
  <c r="C822" i="3"/>
  <c r="I827" i="3"/>
  <c r="C830" i="3"/>
  <c r="I833" i="3"/>
  <c r="I813" i="3"/>
  <c r="C816" i="3"/>
  <c r="I821" i="3"/>
  <c r="C824" i="3"/>
  <c r="I829" i="3"/>
  <c r="I832" i="3"/>
  <c r="C810" i="3"/>
  <c r="I815" i="3"/>
  <c r="C818" i="3"/>
  <c r="I823" i="3"/>
  <c r="C826" i="3"/>
  <c r="I831" i="3"/>
  <c r="M9" i="3" l="1"/>
  <c r="N9" i="3"/>
  <c r="W10" i="3"/>
  <c r="X10" i="3"/>
  <c r="Q9" i="3"/>
  <c r="P9" i="3"/>
  <c r="H9" i="3"/>
  <c r="I9" i="3"/>
</calcChain>
</file>

<file path=xl/sharedStrings.xml><?xml version="1.0" encoding="utf-8"?>
<sst xmlns="http://schemas.openxmlformats.org/spreadsheetml/2006/main" count="18877" uniqueCount="1145">
  <si>
    <t>company</t>
  </si>
  <si>
    <t>location</t>
  </si>
  <si>
    <t>industry</t>
  </si>
  <si>
    <t>total_laid_off</t>
  </si>
  <si>
    <t>percentage_laid_off</t>
  </si>
  <si>
    <t>categoty_percentage_laid_off</t>
  </si>
  <si>
    <t>date</t>
  </si>
  <si>
    <t>month</t>
  </si>
  <si>
    <t>year</t>
  </si>
  <si>
    <t>stage</t>
  </si>
  <si>
    <t>country</t>
  </si>
  <si>
    <t>funds_raised_millions</t>
  </si>
  <si>
    <t>Included Health</t>
  </si>
  <si>
    <t>SF Bay Area</t>
  </si>
  <si>
    <t>Healthcare</t>
  </si>
  <si>
    <t>NULL</t>
  </si>
  <si>
    <t>small reduction</t>
  </si>
  <si>
    <t>Jul</t>
  </si>
  <si>
    <t>Series E</t>
  </si>
  <si>
    <t>United States</t>
  </si>
  <si>
    <t>&amp;Open</t>
  </si>
  <si>
    <t>Dublin</t>
  </si>
  <si>
    <t>Marketing</t>
  </si>
  <si>
    <t>Nov</t>
  </si>
  <si>
    <t>Series A</t>
  </si>
  <si>
    <t>Ireland</t>
  </si>
  <si>
    <t>#Paid</t>
  </si>
  <si>
    <t>Toronto</t>
  </si>
  <si>
    <t>medium reduction</t>
  </si>
  <si>
    <t>Jan</t>
  </si>
  <si>
    <t>Series B</t>
  </si>
  <si>
    <t>Canada</t>
  </si>
  <si>
    <t>100 Thieves</t>
  </si>
  <si>
    <t>Los Angeles</t>
  </si>
  <si>
    <t>Consumer</t>
  </si>
  <si>
    <t>Series C</t>
  </si>
  <si>
    <t>10X Genomics</t>
  </si>
  <si>
    <t>Apr</t>
  </si>
  <si>
    <t>Post-IPO</t>
  </si>
  <si>
    <t>1stdibs</t>
  </si>
  <si>
    <t>New York City</t>
  </si>
  <si>
    <t>Retail</t>
  </si>
  <si>
    <t>Feb</t>
  </si>
  <si>
    <t>Series D</t>
  </si>
  <si>
    <t>2TM</t>
  </si>
  <si>
    <t>Sao Paulo</t>
  </si>
  <si>
    <t>crypto</t>
  </si>
  <si>
    <t>Unknown</t>
  </si>
  <si>
    <t>Brazil</t>
  </si>
  <si>
    <t>2U</t>
  </si>
  <si>
    <t>Washington D.C.</t>
  </si>
  <si>
    <t>Education</t>
  </si>
  <si>
    <t>54gene</t>
  </si>
  <si>
    <t>Aug</t>
  </si>
  <si>
    <t>5B Solar</t>
  </si>
  <si>
    <t>Sydney</t>
  </si>
  <si>
    <t>Energy</t>
  </si>
  <si>
    <t>Mar</t>
  </si>
  <si>
    <t>Australia</t>
  </si>
  <si>
    <t>6sense</t>
  </si>
  <si>
    <t>Sales</t>
  </si>
  <si>
    <t>Dec</t>
  </si>
  <si>
    <t>80 Acres Farms</t>
  </si>
  <si>
    <t>Cincinnati</t>
  </si>
  <si>
    <t>Food</t>
  </si>
  <si>
    <t>8x8</t>
  </si>
  <si>
    <t>Support</t>
  </si>
  <si>
    <t>98point6</t>
  </si>
  <si>
    <t>Seattle</t>
  </si>
  <si>
    <t>Transportation</t>
  </si>
  <si>
    <t>Sep</t>
  </si>
  <si>
    <t>Acquired</t>
  </si>
  <si>
    <t>Abra</t>
  </si>
  <si>
    <t>Jun</t>
  </si>
  <si>
    <t>Absci</t>
  </si>
  <si>
    <t>Vancouver</t>
  </si>
  <si>
    <t>Acast</t>
  </si>
  <si>
    <t>Stockholm</t>
  </si>
  <si>
    <t>Media</t>
  </si>
  <si>
    <t>Sweden</t>
  </si>
  <si>
    <t>Acko</t>
  </si>
  <si>
    <t>Mumbai</t>
  </si>
  <si>
    <t>Finance</t>
  </si>
  <si>
    <t>India</t>
  </si>
  <si>
    <t>Acorns</t>
  </si>
  <si>
    <t>Portland</t>
  </si>
  <si>
    <t>May</t>
  </si>
  <si>
    <t>Actifio</t>
  </si>
  <si>
    <t>Boston</t>
  </si>
  <si>
    <t>Data</t>
  </si>
  <si>
    <t>ActiveCampaign</t>
  </si>
  <si>
    <t>Chicago</t>
  </si>
  <si>
    <t>Ada</t>
  </si>
  <si>
    <t>Ada Health</t>
  </si>
  <si>
    <t>Berlin</t>
  </si>
  <si>
    <t>Oct</t>
  </si>
  <si>
    <t>Germany</t>
  </si>
  <si>
    <t>Ada Support</t>
  </si>
  <si>
    <t>Adaptive Biotechnologies</t>
  </si>
  <si>
    <t>Addepar</t>
  </si>
  <si>
    <t>Series F</t>
  </si>
  <si>
    <t>Adobe</t>
  </si>
  <si>
    <t>AdRoll</t>
  </si>
  <si>
    <t>Salt Lake City</t>
  </si>
  <si>
    <t>Advata</t>
  </si>
  <si>
    <t>Adwerx</t>
  </si>
  <si>
    <t>Durham</t>
  </si>
  <si>
    <t>Affirm</t>
  </si>
  <si>
    <t>Afterverse</t>
  </si>
  <si>
    <t>Brasilia</t>
  </si>
  <si>
    <t>Agoda</t>
  </si>
  <si>
    <t>Singapore</t>
  </si>
  <si>
    <t>Travel</t>
  </si>
  <si>
    <t>Ahead</t>
  </si>
  <si>
    <t>shutdown</t>
  </si>
  <si>
    <t>Air</t>
  </si>
  <si>
    <t>Airbnb</t>
  </si>
  <si>
    <t>Private Equity</t>
  </si>
  <si>
    <t>Airlift</t>
  </si>
  <si>
    <t>Lahore</t>
  </si>
  <si>
    <t>Logistics</t>
  </si>
  <si>
    <t>Pakistan</t>
  </si>
  <si>
    <t>Airtable</t>
  </si>
  <si>
    <t>Product</t>
  </si>
  <si>
    <t>Airtame</t>
  </si>
  <si>
    <t>Copenhagen</t>
  </si>
  <si>
    <t>Denmark</t>
  </si>
  <si>
    <t>Airtime</t>
  </si>
  <si>
    <t>Airy Rooms</t>
  </si>
  <si>
    <t>Jakarta</t>
  </si>
  <si>
    <t>large reduction</t>
  </si>
  <si>
    <t>Indonesia</t>
  </si>
  <si>
    <t>Aiven</t>
  </si>
  <si>
    <t>Helsinki</t>
  </si>
  <si>
    <t>Infrastructure</t>
  </si>
  <si>
    <t>Finland</t>
  </si>
  <si>
    <t>Ajaib</t>
  </si>
  <si>
    <t>Akili Labs</t>
  </si>
  <si>
    <t>Baltimore</t>
  </si>
  <si>
    <t>Seed</t>
  </si>
  <si>
    <t>Akulaku</t>
  </si>
  <si>
    <t>AlayaCare</t>
  </si>
  <si>
    <t>Montreal</t>
  </si>
  <si>
    <t>Albert</t>
  </si>
  <si>
    <t>Alerzo</t>
  </si>
  <si>
    <t>Ibadan</t>
  </si>
  <si>
    <t>Nigeria</t>
  </si>
  <si>
    <t>Alice</t>
  </si>
  <si>
    <t>AliExpress Russia</t>
  </si>
  <si>
    <t>Moscow</t>
  </si>
  <si>
    <t>Russia</t>
  </si>
  <si>
    <t>Allbirds</t>
  </si>
  <si>
    <t>Alto Pharmacy</t>
  </si>
  <si>
    <t>Amazon</t>
  </si>
  <si>
    <t>Amber Group</t>
  </si>
  <si>
    <t>Hong Kong</t>
  </si>
  <si>
    <t>Ambev Tech</t>
  </si>
  <si>
    <t>Blumenau</t>
  </si>
  <si>
    <t>Amdocs</t>
  </si>
  <si>
    <t>St. Louis</t>
  </si>
  <si>
    <t>American Robotics</t>
  </si>
  <si>
    <t>Other</t>
  </si>
  <si>
    <t>Amount</t>
  </si>
  <si>
    <t>Amperity</t>
  </si>
  <si>
    <t>Amplero</t>
  </si>
  <si>
    <t>Anagram</t>
  </si>
  <si>
    <t>Andela</t>
  </si>
  <si>
    <t>Recruiting</t>
  </si>
  <si>
    <t>AngelList</t>
  </si>
  <si>
    <t>Anodot</t>
  </si>
  <si>
    <t>Tel Aviv</t>
  </si>
  <si>
    <t>Antidote Health</t>
  </si>
  <si>
    <t>Israel</t>
  </si>
  <si>
    <t>Anywell</t>
  </si>
  <si>
    <t>Real Estate</t>
  </si>
  <si>
    <t>Apartment List</t>
  </si>
  <si>
    <t>Apollo</t>
  </si>
  <si>
    <t>Apollo Insurance</t>
  </si>
  <si>
    <t>App Annie</t>
  </si>
  <si>
    <t>Appgate</t>
  </si>
  <si>
    <t>Miami</t>
  </si>
  <si>
    <t>Security</t>
  </si>
  <si>
    <t>AppGate</t>
  </si>
  <si>
    <t>AppLovin</t>
  </si>
  <si>
    <t>ApplyBoard</t>
  </si>
  <si>
    <t>Waterloo</t>
  </si>
  <si>
    <t>Aqgromalin</t>
  </si>
  <si>
    <t>Chennai</t>
  </si>
  <si>
    <t>Aqua Security</t>
  </si>
  <si>
    <t>Arc</t>
  </si>
  <si>
    <t>HR</t>
  </si>
  <si>
    <t>Arch Oncology</t>
  </si>
  <si>
    <t>Brisbane</t>
  </si>
  <si>
    <t>Argo AI</t>
  </si>
  <si>
    <t>Munich</t>
  </si>
  <si>
    <t>Pittsburgh</t>
  </si>
  <si>
    <t>Argyle</t>
  </si>
  <si>
    <t>Armis</t>
  </si>
  <si>
    <t>Arrival</t>
  </si>
  <si>
    <t>London</t>
  </si>
  <si>
    <t>United Kingdom</t>
  </si>
  <si>
    <t>Arrive Logistics</t>
  </si>
  <si>
    <t>Austin</t>
  </si>
  <si>
    <t>Article</t>
  </si>
  <si>
    <t>Articulate</t>
  </si>
  <si>
    <t>Artnight</t>
  </si>
  <si>
    <t>Asana</t>
  </si>
  <si>
    <t>Aspire</t>
  </si>
  <si>
    <t>Assure</t>
  </si>
  <si>
    <t>Astra</t>
  </si>
  <si>
    <t>Aerospace</t>
  </si>
  <si>
    <t>Astronomer</t>
  </si>
  <si>
    <t>Atlanta Tech Village</t>
  </si>
  <si>
    <t>Atlanta</t>
  </si>
  <si>
    <t>Atlas Obscura</t>
  </si>
  <si>
    <t>Atlassian</t>
  </si>
  <si>
    <t>AtoB</t>
  </si>
  <si>
    <t>Atsu</t>
  </si>
  <si>
    <t>Attentive</t>
  </si>
  <si>
    <t>AU10TIX</t>
  </si>
  <si>
    <t>Augury</t>
  </si>
  <si>
    <t>Manufacturing</t>
  </si>
  <si>
    <t>Aura</t>
  </si>
  <si>
    <t>Aura Financial</t>
  </si>
  <si>
    <t>Autodesk</t>
  </si>
  <si>
    <t>Automatic</t>
  </si>
  <si>
    <t>Automation Anywhere</t>
  </si>
  <si>
    <t>Automox</t>
  </si>
  <si>
    <t>Boulder</t>
  </si>
  <si>
    <t>Avantage Entertainment</t>
  </si>
  <si>
    <t>Minneapolis</t>
  </si>
  <si>
    <t>AvantStay</t>
  </si>
  <si>
    <t>Avast</t>
  </si>
  <si>
    <t>Phoenix</t>
  </si>
  <si>
    <t>Avo</t>
  </si>
  <si>
    <t>Away</t>
  </si>
  <si>
    <t>Awok</t>
  </si>
  <si>
    <t>Dubai</t>
  </si>
  <si>
    <t>United Arab Emirates</t>
  </si>
  <si>
    <t>Aya</t>
  </si>
  <si>
    <t>B8ta</t>
  </si>
  <si>
    <t>Babylon</t>
  </si>
  <si>
    <t>Back Market</t>
  </si>
  <si>
    <t>Paris</t>
  </si>
  <si>
    <t>France</t>
  </si>
  <si>
    <t>Bakkt</t>
  </si>
  <si>
    <t>Bally's Interactive</t>
  </si>
  <si>
    <t>Providence</t>
  </si>
  <si>
    <t>Balto</t>
  </si>
  <si>
    <t>Bamboo Health</t>
  </si>
  <si>
    <t>Louisville</t>
  </si>
  <si>
    <t>Banxa</t>
  </si>
  <si>
    <t>Melbourne</t>
  </si>
  <si>
    <t>Baraja</t>
  </si>
  <si>
    <t>Bark</t>
  </si>
  <si>
    <t>Baton</t>
  </si>
  <si>
    <t>Beam Benefits</t>
  </si>
  <si>
    <t>Columbus</t>
  </si>
  <si>
    <t>Beamery</t>
  </si>
  <si>
    <t>BeeTech</t>
  </si>
  <si>
    <t>Bench</t>
  </si>
  <si>
    <t>Benevity</t>
  </si>
  <si>
    <t>Calgary</t>
  </si>
  <si>
    <t>Benitago Group</t>
  </si>
  <si>
    <t>Berkeley Lights</t>
  </si>
  <si>
    <t>Berlin Brands Group</t>
  </si>
  <si>
    <t>Bestow</t>
  </si>
  <si>
    <t>Dallas</t>
  </si>
  <si>
    <t>Better.com</t>
  </si>
  <si>
    <t>Betterfly</t>
  </si>
  <si>
    <t>Santiago</t>
  </si>
  <si>
    <t>Chile</t>
  </si>
  <si>
    <t>Betterment</t>
  </si>
  <si>
    <t>Bevi</t>
  </si>
  <si>
    <t>Beyond Meat</t>
  </si>
  <si>
    <t>BeyondMinds</t>
  </si>
  <si>
    <t>BharatAgri</t>
  </si>
  <si>
    <t>Big Fish Games</t>
  </si>
  <si>
    <t>BigBear.ai</t>
  </si>
  <si>
    <t>BigCommerce</t>
  </si>
  <si>
    <t>Bilibili</t>
  </si>
  <si>
    <t>Shanghai</t>
  </si>
  <si>
    <t>China</t>
  </si>
  <si>
    <t>BioMarin</t>
  </si>
  <si>
    <t>Bird</t>
  </si>
  <si>
    <t>Bitfront</t>
  </si>
  <si>
    <t>BitGo</t>
  </si>
  <si>
    <t>BitMEX</t>
  </si>
  <si>
    <t>Non-U.S.</t>
  </si>
  <si>
    <t>Seychelles</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</si>
  <si>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</si>
  <si>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</si>
  <si>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</si>
  <si>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</si>
  <si>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</si>
  <si>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</si>
  <si>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</si>
  <si>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</si>
  <si>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</si>
  <si>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</si>
  <si>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</si>
  <si>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</si>
  <si>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</si>
  <si>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</si>
  <si>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</si>
  <si>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</si>
  <si>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</si>
  <si>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Black Shark</t>
  </si>
  <si>
    <t>Shenzen</t>
  </si>
  <si>
    <t>Hardware</t>
  </si>
  <si>
    <t>Blackbaud</t>
  </si>
  <si>
    <t>Charleston</t>
  </si>
  <si>
    <t>BlackBuck</t>
  </si>
  <si>
    <t>Bengaluru</t>
  </si>
  <si>
    <t>BlackLine</t>
  </si>
  <si>
    <t>Bleacher Report</t>
  </si>
  <si>
    <t>Blend</t>
  </si>
  <si>
    <t>Blockchain.com</t>
  </si>
  <si>
    <t>BlockFi</t>
  </si>
  <si>
    <t>BloomTech</t>
  </si>
  <si>
    <t>Blue Apron</t>
  </si>
  <si>
    <t>Blueground</t>
  </si>
  <si>
    <t>BlueStacks</t>
  </si>
  <si>
    <t>Blume Global</t>
  </si>
  <si>
    <t>Bluprint</t>
  </si>
  <si>
    <t>Denver</t>
  </si>
  <si>
    <t>BM Technologies</t>
  </si>
  <si>
    <t>Philadelphia</t>
  </si>
  <si>
    <t>Bolt</t>
  </si>
  <si>
    <t>Lagos</t>
  </si>
  <si>
    <t>Bonsai</t>
  </si>
  <si>
    <t>Bonterra</t>
  </si>
  <si>
    <t>BookClub</t>
  </si>
  <si>
    <t>Booking.com</t>
  </si>
  <si>
    <t>Amsterdam</t>
  </si>
  <si>
    <t>Netherlands</t>
  </si>
  <si>
    <t>Grand Rapids</t>
  </si>
  <si>
    <t>BookMyShow</t>
  </si>
  <si>
    <t>Booksy</t>
  </si>
  <si>
    <t>Booktopia</t>
  </si>
  <si>
    <t>Boosted Commerce</t>
  </si>
  <si>
    <t>Boozt</t>
  </si>
  <si>
    <t>Malmo</t>
  </si>
  <si>
    <t>Borrowell</t>
  </si>
  <si>
    <t>Bossa Nova</t>
  </si>
  <si>
    <t>Bounce</t>
  </si>
  <si>
    <t>BounceX</t>
  </si>
  <si>
    <t>Brainly</t>
  </si>
  <si>
    <t>Krakow</t>
  </si>
  <si>
    <t>Poland</t>
  </si>
  <si>
    <t>Branch</t>
  </si>
  <si>
    <t>Branch Metrics</t>
  </si>
  <si>
    <t>Brave Care</t>
  </si>
  <si>
    <t>Breathe</t>
  </si>
  <si>
    <t>New Delhi</t>
  </si>
  <si>
    <t>Breather</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</si>
  <si>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</si>
  <si>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</si>
  <si>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</si>
  <si>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</si>
  <si>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</si>
  <si>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</si>
  <si>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</si>
  <si>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</si>
  <si>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</si>
  <si>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</si>
  <si>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</si>
  <si>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</si>
  <si>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</si>
  <si>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</si>
  <si>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</si>
  <si>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</si>
  <si>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Argentina</t>
  </si>
  <si>
    <t>Builder</t>
  </si>
  <si>
    <t>Built In</t>
  </si>
  <si>
    <t>Bullhorn</t>
  </si>
  <si>
    <t>Bullish</t>
  </si>
  <si>
    <t>Bungalow</t>
  </si>
  <si>
    <t>BusBud</t>
  </si>
  <si>
    <t>Buser</t>
  </si>
  <si>
    <t>Bustle Digital Group</t>
  </si>
  <si>
    <t>Butler Hospitality</t>
  </si>
  <si>
    <t>Butterfly Network</t>
  </si>
  <si>
    <t>New Haven</t>
  </si>
  <si>
    <t>Button</t>
  </si>
  <si>
    <t>Buy.com / Rakuten</t>
  </si>
  <si>
    <t>Buzzer</t>
  </si>
  <si>
    <t>BuzzFeed</t>
  </si>
  <si>
    <t>BVAccel</t>
  </si>
  <si>
    <t>San Diego</t>
  </si>
  <si>
    <t>Bybit</t>
  </si>
  <si>
    <t>Byju's</t>
  </si>
  <si>
    <t>Bytedance</t>
  </si>
  <si>
    <t>ByteDance</t>
  </si>
  <si>
    <t>C2FO</t>
  </si>
  <si>
    <t>Kansas City</t>
  </si>
  <si>
    <t>Series H</t>
  </si>
  <si>
    <t>C6 Bank</t>
  </si>
  <si>
    <t>Cabin</t>
  </si>
  <si>
    <t>Cadre</t>
  </si>
  <si>
    <t>Calibrate</t>
  </si>
  <si>
    <t>Caliva</t>
  </si>
  <si>
    <t>Callisto Media</t>
  </si>
  <si>
    <t>Calm</t>
  </si>
  <si>
    <t>Cameo</t>
  </si>
  <si>
    <t>Camp K12</t>
  </si>
  <si>
    <t>Gurugram</t>
  </si>
  <si>
    <t>Candy Digital</t>
  </si>
  <si>
    <t>Canoo</t>
  </si>
  <si>
    <t>Capital One</t>
  </si>
  <si>
    <t>Capitolis</t>
  </si>
  <si>
    <t>Capsule</t>
  </si>
  <si>
    <t>Captain Fresh</t>
  </si>
  <si>
    <t>CaptivateIQ</t>
  </si>
  <si>
    <t>Carbon Health</t>
  </si>
  <si>
    <t>CarDekho</t>
  </si>
  <si>
    <t>Cardlytics</t>
  </si>
  <si>
    <t>Care.com</t>
  </si>
  <si>
    <t>Careem</t>
  </si>
  <si>
    <t>Career Karma</t>
  </si>
  <si>
    <t>CarGurus</t>
  </si>
  <si>
    <t>Carousell</t>
  </si>
  <si>
    <t>Cars24</t>
  </si>
  <si>
    <t>Series G</t>
  </si>
  <si>
    <t>Carsome</t>
  </si>
  <si>
    <t>Kuala Lumpur</t>
  </si>
  <si>
    <t>Malaysia</t>
  </si>
  <si>
    <t>Carta</t>
  </si>
  <si>
    <t>Carvana</t>
  </si>
  <si>
    <t>Carwow</t>
  </si>
  <si>
    <t>Casavo</t>
  </si>
  <si>
    <t>Milan</t>
  </si>
  <si>
    <t>Italy</t>
  </si>
  <si>
    <t>Cashfree Payments</t>
  </si>
  <si>
    <t>Casper</t>
  </si>
  <si>
    <t>Castlight Health</t>
  </si>
  <si>
    <t>Catalant</t>
  </si>
  <si>
    <t>Catch.com.au</t>
  </si>
  <si>
    <t>Cazoo</t>
  </si>
  <si>
    <t>Cedar</t>
  </si>
  <si>
    <t>Celsius</t>
  </si>
  <si>
    <t>Cerebral</t>
  </si>
  <si>
    <t>Chainalysis</t>
  </si>
  <si>
    <t>Change Invest</t>
  </si>
  <si>
    <t>Change.org</t>
  </si>
  <si>
    <t>Chargebee</t>
  </si>
  <si>
    <t>Checkmarx</t>
  </si>
  <si>
    <t>Checkout.com</t>
  </si>
  <si>
    <t>Checkr</t>
  </si>
  <si>
    <t>Chessable</t>
  </si>
  <si>
    <t>Chili Piper</t>
  </si>
  <si>
    <t>Chime</t>
  </si>
  <si>
    <t>Chipper Cash</t>
  </si>
  <si>
    <t>Chope</t>
  </si>
  <si>
    <t>ChowNow</t>
  </si>
  <si>
    <t>Chrono24</t>
  </si>
  <si>
    <t>Karlsruhe</t>
  </si>
  <si>
    <t>Circ</t>
  </si>
  <si>
    <t>CircleCI</t>
  </si>
  <si>
    <t>Circulo Health</t>
  </si>
  <si>
    <t>Cisco</t>
  </si>
  <si>
    <t>Citizen</t>
  </si>
  <si>
    <t>Citrine Informatics</t>
  </si>
  <si>
    <t>Citrix</t>
  </si>
  <si>
    <t>CityMall</t>
  </si>
  <si>
    <t>Clari</t>
  </si>
  <si>
    <t>Clarify Health</t>
  </si>
  <si>
    <t>ClassPass</t>
  </si>
  <si>
    <t>Fitness</t>
  </si>
  <si>
    <t>Clear</t>
  </si>
  <si>
    <t>Clear Capital</t>
  </si>
  <si>
    <t>Reno</t>
  </si>
  <si>
    <t>Clearbanc</t>
  </si>
  <si>
    <t>Clearco</t>
  </si>
  <si>
    <t>Fin-Tech</t>
  </si>
  <si>
    <t>ClearCo</t>
  </si>
  <si>
    <t>CleverTap</t>
  </si>
  <si>
    <t>ClickUp</t>
  </si>
  <si>
    <t>Clinc</t>
  </si>
  <si>
    <t>Ann Arbor</t>
  </si>
  <si>
    <t>CloudFactory</t>
  </si>
  <si>
    <t>Nairobi</t>
  </si>
  <si>
    <t>Kenya</t>
  </si>
  <si>
    <t>Cloudinary</t>
  </si>
  <si>
    <t>Clue</t>
  </si>
  <si>
    <t>Clutch</t>
  </si>
  <si>
    <t>Clutter</t>
  </si>
  <si>
    <t>Clyde</t>
  </si>
  <si>
    <t>CNET</t>
  </si>
  <si>
    <t>CoachHub</t>
  </si>
  <si>
    <t>Code42</t>
  </si>
  <si>
    <t>CodeCombat</t>
  </si>
  <si>
    <t>Codexis</t>
  </si>
  <si>
    <t>Coding Dojo</t>
  </si>
  <si>
    <t>Cogito</t>
  </si>
  <si>
    <t>Cognyte</t>
  </si>
  <si>
    <t>Coinbase</t>
  </si>
  <si>
    <t>CoinDCX</t>
  </si>
  <si>
    <t>CoinJar</t>
  </si>
  <si>
    <t>Coinsquare</t>
  </si>
  <si>
    <t>CoinTracker</t>
  </si>
  <si>
    <t>Collective Health</t>
  </si>
  <si>
    <t>Color Health</t>
  </si>
  <si>
    <t>Colossus</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</si>
  <si>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</si>
  <si>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</si>
  <si>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</si>
  <si>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</si>
  <si>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</si>
  <si>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</si>
  <si>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</si>
  <si>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</si>
  <si>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</si>
  <si>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</si>
  <si>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</si>
  <si>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</si>
  <si>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</si>
  <si>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</si>
  <si>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</si>
  <si>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</si>
  <si>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Copper</t>
  </si>
  <si>
    <t>Core Scientific</t>
  </si>
  <si>
    <t>Corvus Insurance</t>
  </si>
  <si>
    <t>Coterie Insurance</t>
  </si>
  <si>
    <t>Crayon</t>
  </si>
  <si>
    <t>Credit Sesame</t>
  </si>
  <si>
    <t>Creditas</t>
  </si>
  <si>
    <t>Crejo.Fun</t>
  </si>
  <si>
    <t>CrowdStreet</t>
  </si>
  <si>
    <t>Cruise</t>
  </si>
  <si>
    <t>Crunchyroll</t>
  </si>
  <si>
    <t>Tokyo</t>
  </si>
  <si>
    <t>Japan</t>
  </si>
  <si>
    <t>Crypto.com</t>
  </si>
  <si>
    <t>CS Disco</t>
  </si>
  <si>
    <t>Legal</t>
  </si>
  <si>
    <t>CTO.ai</t>
  </si>
  <si>
    <t>Cue</t>
  </si>
  <si>
    <t>Culture Amp</t>
  </si>
  <si>
    <t>Culture Trip</t>
  </si>
  <si>
    <t>Curative</t>
  </si>
  <si>
    <t>Curefit</t>
  </si>
  <si>
    <t>CureFit</t>
  </si>
  <si>
    <t>Curology</t>
  </si>
  <si>
    <t>Curve</t>
  </si>
  <si>
    <t>Cvent</t>
  </si>
  <si>
    <t>Cybereason</t>
  </si>
  <si>
    <t>CyCognito</t>
  </si>
  <si>
    <t>Cyren</t>
  </si>
  <si>
    <t>Cyteir Therapeutics</t>
  </si>
  <si>
    <t>D2iQ</t>
  </si>
  <si>
    <t>D2L</t>
  </si>
  <si>
    <t>Daily Harvest</t>
  </si>
  <si>
    <t>DailyPay</t>
  </si>
  <si>
    <t>Daloopa</t>
  </si>
  <si>
    <t>Dance</t>
  </si>
  <si>
    <t>Daniel Wellington</t>
  </si>
  <si>
    <t>Dapper Labs</t>
  </si>
  <si>
    <t>Daraz</t>
  </si>
  <si>
    <t>Dark</t>
  </si>
  <si>
    <t>DataRails</t>
  </si>
  <si>
    <t>DataRobot</t>
  </si>
  <si>
    <t>DataStax</t>
  </si>
  <si>
    <t>Datera</t>
  </si>
  <si>
    <t>Dazn</t>
  </si>
  <si>
    <t>DealShare</t>
  </si>
  <si>
    <t>Deep Instinct</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</si>
  <si>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</si>
  <si>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</si>
  <si>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</si>
  <si>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</si>
  <si>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</si>
  <si>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</si>
  <si>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</si>
  <si>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</si>
  <si>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</si>
  <si>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</si>
  <si>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</si>
  <si>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</si>
  <si>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</si>
  <si>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</si>
  <si>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</si>
  <si>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</si>
  <si>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</si>
  <si>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Digital Currency Gruop</t>
  </si>
  <si>
    <t>Stamford</t>
  </si>
  <si>
    <t>Digital Surge</t>
  </si>
  <si>
    <t>DigitalOcean</t>
  </si>
  <si>
    <t>DISCO</t>
  </si>
  <si>
    <t>Dispatch</t>
  </si>
  <si>
    <t>Divergent 3D</t>
  </si>
  <si>
    <t>Divvy Homes</t>
  </si>
  <si>
    <t>divvyDOSE</t>
  </si>
  <si>
    <t>Davenport</t>
  </si>
  <si>
    <t>Dock</t>
  </si>
  <si>
    <t>Docly</t>
  </si>
  <si>
    <t>DocuSign</t>
  </si>
  <si>
    <t>Doma</t>
  </si>
  <si>
    <t>Domestika</t>
  </si>
  <si>
    <t>Domino Data Lab</t>
  </si>
  <si>
    <t>Domio</t>
  </si>
  <si>
    <t>Domo</t>
  </si>
  <si>
    <t>Dooly</t>
  </si>
  <si>
    <t>DoorDash</t>
  </si>
  <si>
    <t>Dotscience</t>
  </si>
  <si>
    <t>Dover</t>
  </si>
  <si>
    <t>DraftKings</t>
  </si>
  <si>
    <t>Drift</t>
  </si>
  <si>
    <t>Drip</t>
  </si>
  <si>
    <t>DriveWealth</t>
  </si>
  <si>
    <t>Jersey City</t>
  </si>
  <si>
    <t>Drop</t>
  </si>
  <si>
    <t>Dropbox</t>
  </si>
  <si>
    <t>DSCO</t>
  </si>
  <si>
    <t>Dude Solutions</t>
  </si>
  <si>
    <t>Raleigh</t>
  </si>
  <si>
    <t>Dukaan</t>
  </si>
  <si>
    <t>Dunzo</t>
  </si>
  <si>
    <t>Dutchie</t>
  </si>
  <si>
    <t>Bend</t>
  </si>
  <si>
    <t>DUX Education</t>
  </si>
  <si>
    <t>Dynamic Signal</t>
  </si>
  <si>
    <t>Earnin</t>
  </si>
  <si>
    <t>Earth Rides</t>
  </si>
  <si>
    <t>EasyPost</t>
  </si>
  <si>
    <t>Eat Just</t>
  </si>
  <si>
    <t>Eatsy</t>
  </si>
  <si>
    <t>Eaze</t>
  </si>
  <si>
    <t>Ebanx</t>
  </si>
  <si>
    <t>Curitiba</t>
  </si>
  <si>
    <t>eBay</t>
  </si>
  <si>
    <t>Ecobee</t>
  </si>
  <si>
    <t>Eden / Managed By Q</t>
  </si>
  <si>
    <t>Edgio</t>
  </si>
  <si>
    <t>Edifecs</t>
  </si>
  <si>
    <t>Editas Medicine</t>
  </si>
  <si>
    <t>Edmodo</t>
  </si>
  <si>
    <t>eGym</t>
  </si>
  <si>
    <t>Eight Sleep</t>
  </si>
  <si>
    <t>Ejento</t>
  </si>
  <si>
    <t>Elastic</t>
  </si>
  <si>
    <t>Electric</t>
  </si>
  <si>
    <t>Electronic Arts</t>
  </si>
  <si>
    <t>Baton Rouge</t>
  </si>
  <si>
    <t>Element</t>
  </si>
  <si>
    <t>Element AI</t>
  </si>
  <si>
    <t>Element Analytics</t>
  </si>
  <si>
    <t>Elementor</t>
  </si>
  <si>
    <t>Elinvar</t>
  </si>
  <si>
    <t>Elliptic</t>
  </si>
  <si>
    <t>Embark</t>
  </si>
  <si>
    <t>Embark Trucks</t>
  </si>
  <si>
    <t>Embroker</t>
  </si>
  <si>
    <t>Emotive</t>
  </si>
  <si>
    <t>EMX Digital</t>
  </si>
  <si>
    <t>Engine eCommerce</t>
  </si>
  <si>
    <t>Fayetteville</t>
  </si>
  <si>
    <t>Enjoei</t>
  </si>
  <si>
    <t>Enjoy</t>
  </si>
  <si>
    <t>Envato</t>
  </si>
  <si>
    <t>Envoy</t>
  </si>
  <si>
    <t>Equitybee</t>
  </si>
  <si>
    <t>EquityZen</t>
  </si>
  <si>
    <t>Ericsson</t>
  </si>
  <si>
    <t>Ermetic</t>
  </si>
  <si>
    <t>Eruditus</t>
  </si>
  <si>
    <t>Esper</t>
  </si>
  <si>
    <t>Etermax</t>
  </si>
  <si>
    <t>Ethos Life</t>
  </si>
  <si>
    <t>eToro</t>
  </si>
  <si>
    <t>Eucalyptus</t>
  </si>
  <si>
    <t>Eventbrite</t>
  </si>
  <si>
    <t>EverBridge</t>
  </si>
  <si>
    <t>Everlane</t>
  </si>
  <si>
    <t>Evernote</t>
  </si>
  <si>
    <t>EVgo</t>
  </si>
  <si>
    <t>Exodus</t>
  </si>
  <si>
    <t>Nebraska City</t>
  </si>
  <si>
    <t>Exotel</t>
  </si>
  <si>
    <t>Expert360</t>
  </si>
  <si>
    <t>Exterro</t>
  </si>
  <si>
    <t>ezCater</t>
  </si>
  <si>
    <t>F5</t>
  </si>
  <si>
    <t>FabHotels</t>
  </si>
  <si>
    <t>Fabric</t>
  </si>
  <si>
    <t>Facily</t>
  </si>
  <si>
    <t>Faire</t>
  </si>
  <si>
    <t>Fandom</t>
  </si>
  <si>
    <t>Fareportal</t>
  </si>
  <si>
    <t>FarEye</t>
  </si>
  <si>
    <t>Fast</t>
  </si>
  <si>
    <t>Fate Therapeutics</t>
  </si>
  <si>
    <t>Favo</t>
  </si>
  <si>
    <t>Faze Medicines</t>
  </si>
  <si>
    <t>Fifth Season</t>
  </si>
  <si>
    <t>Finder</t>
  </si>
  <si>
    <t>Finite State</t>
  </si>
  <si>
    <t>Finleap Connect</t>
  </si>
  <si>
    <t>Hamburg</t>
  </si>
  <si>
    <t>Fipola</t>
  </si>
  <si>
    <t>Fireblocks</t>
  </si>
  <si>
    <t>Firework</t>
  </si>
  <si>
    <t>FiscalNote</t>
  </si>
  <si>
    <t>Fittr</t>
  </si>
  <si>
    <t>Pune</t>
  </si>
  <si>
    <t>Fiverr</t>
  </si>
  <si>
    <t>Fivetran</t>
  </si>
  <si>
    <t>Flatiron School</t>
  </si>
  <si>
    <t>Flexport</t>
  </si>
  <si>
    <t>Flipboard</t>
  </si>
  <si>
    <t>Flockjay</t>
  </si>
  <si>
    <t>Flowhub</t>
  </si>
  <si>
    <t>Flowr</t>
  </si>
  <si>
    <t>Fluke</t>
  </si>
  <si>
    <t>Flux Systems</t>
  </si>
  <si>
    <t>Flyhomes</t>
  </si>
  <si>
    <t>Flymya</t>
  </si>
  <si>
    <t>Yangon</t>
  </si>
  <si>
    <t>Myanmar</t>
  </si>
  <si>
    <t>Flytedesk</t>
  </si>
  <si>
    <t>Flywheel Sports</t>
  </si>
  <si>
    <t>Flywire</t>
  </si>
  <si>
    <t>Food52</t>
  </si>
  <si>
    <t>Foodpanda</t>
  </si>
  <si>
    <t>Bucharest</t>
  </si>
  <si>
    <t>Romania</t>
  </si>
  <si>
    <t>Foodsby</t>
  </si>
  <si>
    <t>ForeScout</t>
  </si>
  <si>
    <t>Foresight Insurance</t>
  </si>
  <si>
    <t>Forma.ai</t>
  </si>
  <si>
    <t>Forto</t>
  </si>
  <si>
    <t>Forward</t>
  </si>
  <si>
    <t>FourKites</t>
  </si>
  <si>
    <t>Foxtrot</t>
  </si>
  <si>
    <t>Fraazo</t>
  </si>
  <si>
    <t>Freetrade</t>
  </si>
  <si>
    <t>Frequency Therapeutics</t>
  </si>
  <si>
    <t>Freshbooks</t>
  </si>
  <si>
    <t>FreshDirect</t>
  </si>
  <si>
    <t>Freshly</t>
  </si>
  <si>
    <t>Freshworks</t>
  </si>
  <si>
    <t>Frontdesk</t>
  </si>
  <si>
    <t>Milwaukee</t>
  </si>
  <si>
    <t>FrontRow</t>
  </si>
  <si>
    <t>Frubana</t>
  </si>
  <si>
    <t>Bogota</t>
  </si>
  <si>
    <t>Colombia</t>
  </si>
  <si>
    <t>FullStory</t>
  </si>
  <si>
    <t>Fundbox</t>
  </si>
  <si>
    <t>Funding Circle</t>
  </si>
  <si>
    <t>Funding Societies</t>
  </si>
  <si>
    <t>Furlenco</t>
  </si>
  <si>
    <t>G/O Media Group</t>
  </si>
  <si>
    <t>G2</t>
  </si>
  <si>
    <t>Gather</t>
  </si>
  <si>
    <t>Gatherly</t>
  </si>
  <si>
    <t>Gavelytics</t>
  </si>
  <si>
    <t>Geekwire</t>
  </si>
  <si>
    <t>Gem</t>
  </si>
  <si>
    <t>Gemini</t>
  </si>
  <si>
    <t>Genesis</t>
  </si>
  <si>
    <t>Genome Medical</t>
  </si>
  <si>
    <t>Getaround</t>
  </si>
  <si>
    <t>Getir</t>
  </si>
  <si>
    <t>Istanbul</t>
  </si>
  <si>
    <t>Turkey</t>
  </si>
  <si>
    <t>GetNinjas</t>
  </si>
  <si>
    <t>Getta</t>
  </si>
  <si>
    <t>GetYourGuide</t>
  </si>
  <si>
    <t>GitHub</t>
  </si>
  <si>
    <t>GitLab</t>
  </si>
  <si>
    <t>Gitpod</t>
  </si>
  <si>
    <t>Kiel</t>
  </si>
  <si>
    <t>Glassdoor</t>
  </si>
  <si>
    <t>Glints</t>
  </si>
  <si>
    <t>Glitch</t>
  </si>
  <si>
    <t>GloriFi</t>
  </si>
  <si>
    <t>Glossier</t>
  </si>
  <si>
    <t>Glovo</t>
  </si>
  <si>
    <t>Barcelona</t>
  </si>
  <si>
    <t>Spain</t>
  </si>
  <si>
    <t>GoBear</t>
  </si>
  <si>
    <t>GoBolt</t>
  </si>
  <si>
    <t>GoDaddy</t>
  </si>
  <si>
    <t>GoFundMe</t>
  </si>
  <si>
    <t>GoHealth</t>
  </si>
  <si>
    <t>Gojek</t>
  </si>
  <si>
    <t>Gokada</t>
  </si>
  <si>
    <t>GoMechanic</t>
  </si>
  <si>
    <t>Gong</t>
  </si>
  <si>
    <t>GoNuts</t>
  </si>
  <si>
    <t>Goodfood</t>
  </si>
  <si>
    <t>GoodGood</t>
  </si>
  <si>
    <t>GoodRx</t>
  </si>
  <si>
    <t>Google</t>
  </si>
  <si>
    <t>GoPro</t>
  </si>
  <si>
    <t>Gopuff</t>
  </si>
  <si>
    <t>Gorillas</t>
  </si>
  <si>
    <t>GoSpotCheck</t>
  </si>
  <si>
    <t>GoStudent</t>
  </si>
  <si>
    <t>GoTo Group</t>
  </si>
  <si>
    <t>Grab</t>
  </si>
  <si>
    <t>Series I</t>
  </si>
  <si>
    <t>Gramophone</t>
  </si>
  <si>
    <t>Indore</t>
  </si>
  <si>
    <t>GrayMeta</t>
  </si>
  <si>
    <t>Greenhouse Software</t>
  </si>
  <si>
    <t>Greenlight</t>
  </si>
  <si>
    <t>Grin</t>
  </si>
  <si>
    <t>Group Nine Media</t>
  </si>
  <si>
    <t>Groupon</t>
  </si>
  <si>
    <t>Grove Collaborative</t>
  </si>
  <si>
    <t>Grover</t>
  </si>
  <si>
    <t>Guardant Health</t>
  </si>
  <si>
    <t>Guidewire</t>
  </si>
  <si>
    <t>GumGum</t>
  </si>
  <si>
    <t>Gusto</t>
  </si>
  <si>
    <t>Gympass</t>
  </si>
  <si>
    <t>HackerEarth</t>
  </si>
  <si>
    <t>Halcyon Health</t>
  </si>
  <si>
    <t>Happy Money</t>
  </si>
  <si>
    <t>Harappa</t>
  </si>
  <si>
    <t>Hash</t>
  </si>
  <si>
    <t>HashiCorp</t>
  </si>
  <si>
    <t>Haus</t>
  </si>
  <si>
    <t>Havenly</t>
  </si>
  <si>
    <t>Headspace</t>
  </si>
  <si>
    <t>Healthcare.com</t>
  </si>
  <si>
    <t>HealthifyMe</t>
  </si>
  <si>
    <t>HealthMatch</t>
  </si>
  <si>
    <t>Hedvig</t>
  </si>
  <si>
    <t>HelloFresh</t>
  </si>
  <si>
    <t>Help.com</t>
  </si>
  <si>
    <t>Her Campus Media</t>
  </si>
  <si>
    <t>Heroes</t>
  </si>
  <si>
    <t>Heycar</t>
  </si>
  <si>
    <t>Hibob</t>
  </si>
  <si>
    <t>HighRadius</t>
  </si>
  <si>
    <t>Highsnobiety</t>
  </si>
  <si>
    <t>Highspot</t>
  </si>
  <si>
    <t>Hipcamp</t>
  </si>
  <si>
    <t>Hippo Insurance</t>
  </si>
  <si>
    <t>Hirect</t>
  </si>
  <si>
    <t>Hireology</t>
  </si>
  <si>
    <t>Hodlnaut</t>
  </si>
  <si>
    <t>Hologram</t>
  </si>
  <si>
    <t>Homebot</t>
  </si>
  <si>
    <t>HomeLight</t>
  </si>
  <si>
    <t>Homepoint</t>
  </si>
  <si>
    <t>Homeward</t>
  </si>
  <si>
    <t>Homie</t>
  </si>
  <si>
    <t>HOOQ</t>
  </si>
  <si>
    <t>Hootsuite</t>
  </si>
  <si>
    <t>Hopin</t>
  </si>
  <si>
    <t>HopSkipDrive</t>
  </si>
  <si>
    <t>Horizn Studios</t>
  </si>
  <si>
    <t>Hotmart</t>
  </si>
  <si>
    <t>Belo Horizonte</t>
  </si>
  <si>
    <t>Houzz</t>
  </si>
  <si>
    <t>HP</t>
  </si>
  <si>
    <t>Hubba</t>
  </si>
  <si>
    <t>HubHaus</t>
  </si>
  <si>
    <t>Hubilo</t>
  </si>
  <si>
    <t>HubSpot</t>
  </si>
  <si>
    <t>HuffPo</t>
  </si>
  <si>
    <t>Humble</t>
  </si>
  <si>
    <t>Humu</t>
  </si>
  <si>
    <t>Hunty</t>
  </si>
  <si>
    <t>Huobi</t>
  </si>
  <si>
    <t>Beijing</t>
  </si>
  <si>
    <t>Hydrow</t>
  </si>
  <si>
    <t>Hyperscience</t>
  </si>
  <si>
    <t>IBM</t>
  </si>
  <si>
    <t>Ibotta</t>
  </si>
  <si>
    <t>ID.me</t>
  </si>
  <si>
    <t>Ideoclick</t>
  </si>
  <si>
    <t>iFit</t>
  </si>
  <si>
    <t>Logan</t>
  </si>
  <si>
    <t>Iflix</t>
  </si>
  <si>
    <t>iFood</t>
  </si>
  <si>
    <t>Subsidiary</t>
  </si>
  <si>
    <t>Ignite</t>
  </si>
  <si>
    <t>Ignition</t>
  </si>
  <si>
    <t>Ike</t>
  </si>
  <si>
    <t>Illumina</t>
  </si>
  <si>
    <t>Immersive Labs</t>
  </si>
  <si>
    <t>Bristol</t>
  </si>
  <si>
    <t>Immutable</t>
  </si>
  <si>
    <t>Impact.com</t>
  </si>
  <si>
    <t>Impala</t>
  </si>
  <si>
    <t>Imperfect Foods</t>
  </si>
  <si>
    <t>Impossible Foods</t>
  </si>
  <si>
    <t>Impossible Foods copy</t>
  </si>
  <si>
    <t>Improbable</t>
  </si>
  <si>
    <t>Incredible Health</t>
  </si>
  <si>
    <t>InDebted</t>
  </si>
  <si>
    <t>Indigo</t>
  </si>
  <si>
    <t>Industrious</t>
  </si>
  <si>
    <t>Infarm</t>
  </si>
  <si>
    <t>InfluxData</t>
  </si>
  <si>
    <t>Informatica</t>
  </si>
  <si>
    <t>InfoSum</t>
  </si>
  <si>
    <t>Inmobi</t>
  </si>
  <si>
    <t>Innovaccer</t>
  </si>
  <si>
    <t>Innovid</t>
  </si>
  <si>
    <t>Inscripta</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</si>
  <si>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</si>
  <si>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</si>
  <si>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</si>
  <si>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</si>
  <si>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</si>
  <si>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</si>
  <si>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</si>
  <si>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</si>
  <si>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</si>
  <si>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</si>
  <si>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</si>
  <si>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</si>
  <si>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</si>
  <si>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</si>
  <si>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</si>
  <si>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</si>
  <si>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</si>
  <si>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FlorianÃƒÂ³polis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</si>
  <si>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</si>
  <si>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</si>
  <si>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</si>
  <si>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</si>
  <si>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</si>
  <si>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</si>
  <si>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</si>
  <si>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</si>
  <si>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</si>
  <si>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</si>
  <si>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</si>
  <si>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</si>
  <si>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</si>
  <si>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</si>
  <si>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</si>
  <si>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</si>
  <si>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</si>
  <si>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</si>
  <si>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</si>
  <si>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</si>
  <si>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</si>
  <si>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</si>
  <si>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</si>
  <si>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</si>
  <si>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 Square</t>
  </si>
  <si>
    <t>Just Eat Takeaway</t>
  </si>
  <si>
    <t>Juul</t>
  </si>
  <si>
    <t>Kabam</t>
  </si>
  <si>
    <t>Kaltura</t>
  </si>
  <si>
    <t>Kandela</t>
  </si>
  <si>
    <t>Kandji</t>
  </si>
  <si>
    <t>Kaodim</t>
  </si>
  <si>
    <t>Selangor</t>
  </si>
  <si>
    <t>Karat</t>
  </si>
  <si>
    <t>Karbon</t>
  </si>
  <si>
    <t>Katerra</t>
  </si>
  <si>
    <t>Kavak</t>
  </si>
  <si>
    <t>Kayak / OpenTable</t>
  </si>
  <si>
    <t>Kazoo</t>
  </si>
  <si>
    <t>KeepTruckin</t>
  </si>
  <si>
    <t>Kenoby</t>
  </si>
  <si>
    <t>Khoros</t>
  </si>
  <si>
    <t>Kiavi</t>
  </si>
  <si>
    <t>Kickstarter</t>
  </si>
  <si>
    <t>Kinde</t>
  </si>
  <si>
    <t>Kite</t>
  </si>
  <si>
    <t>Kitopi</t>
  </si>
  <si>
    <t>Kitty Hawk</t>
  </si>
  <si>
    <t>KiwiCo</t>
  </si>
  <si>
    <t>Klarna</t>
  </si>
  <si>
    <t>Klook</t>
  </si>
  <si>
    <t>Knock</t>
  </si>
  <si>
    <t>Knotel</t>
  </si>
  <si>
    <t>Kodiak Robotics</t>
  </si>
  <si>
    <t>Koho</t>
  </si>
  <si>
    <t>Koinly</t>
  </si>
  <si>
    <t>KoinWorks</t>
  </si>
  <si>
    <t>Komodo Health</t>
  </si>
  <si>
    <t>Konfio</t>
  </si>
  <si>
    <t>Kongregate</t>
  </si>
  <si>
    <t>Kontist</t>
  </si>
  <si>
    <t>Koo</t>
  </si>
  <si>
    <t>Kraken</t>
  </si>
  <si>
    <t>Kry</t>
  </si>
  <si>
    <t>Kuda</t>
  </si>
  <si>
    <t>Kueski</t>
  </si>
  <si>
    <t>Guadalajara</t>
  </si>
  <si>
    <t>Kune</t>
  </si>
  <si>
    <t>Kyruus</t>
  </si>
  <si>
    <t>Labelbox</t>
  </si>
  <si>
    <t>Labster</t>
  </si>
  <si>
    <t>Lacework</t>
  </si>
  <si>
    <t>Ladder Life</t>
  </si>
  <si>
    <t>Lam Research</t>
  </si>
  <si>
    <t>Lambda School</t>
  </si>
  <si>
    <t>Landing</t>
  </si>
  <si>
    <t>Birmingham</t>
  </si>
  <si>
    <t>Lantern</t>
  </si>
  <si>
    <t>Lastline</t>
  </si>
  <si>
    <t>Latch</t>
  </si>
  <si>
    <t>Lattice</t>
  </si>
  <si>
    <t>Lawgeex</t>
  </si>
  <si>
    <t>Laybuy</t>
  </si>
  <si>
    <t>Auckland</t>
  </si>
  <si>
    <t>New Zealand</t>
  </si>
  <si>
    <t>Le Tote</t>
  </si>
  <si>
    <t>LEAD</t>
  </si>
  <si>
    <t>LeafLink</t>
  </si>
  <si>
    <t>Leafly</t>
  </si>
  <si>
    <t>LearnUpon</t>
  </si>
  <si>
    <t>Legible</t>
  </si>
  <si>
    <t>Lemon</t>
  </si>
  <si>
    <t>Lemonade</t>
  </si>
  <si>
    <t>Lendi</t>
  </si>
  <si>
    <t>Lending Club</t>
  </si>
  <si>
    <t>Lendingkart</t>
  </si>
  <si>
    <t>Ahmedabad</t>
  </si>
  <si>
    <t>LendingTree</t>
  </si>
  <si>
    <t>Charlotte</t>
  </si>
  <si>
    <t>Lendis</t>
  </si>
  <si>
    <t>Lev</t>
  </si>
  <si>
    <t>Lever</t>
  </si>
  <si>
    <t>Lido</t>
  </si>
  <si>
    <t>Lido Learning</t>
  </si>
  <si>
    <t>Life360</t>
  </si>
  <si>
    <t>Liftoff</t>
  </si>
  <si>
    <t>Lighter Capital</t>
  </si>
  <si>
    <t>Lighthouse Labs</t>
  </si>
  <si>
    <t>Lightico</t>
  </si>
  <si>
    <t>Lightricks</t>
  </si>
  <si>
    <t>Jerusalem</t>
  </si>
  <si>
    <t>Lightspeed Commerce</t>
  </si>
  <si>
    <t>Lime</t>
  </si>
  <si>
    <t>Limeade</t>
  </si>
  <si>
    <t>Limelight</t>
  </si>
  <si>
    <t>LinkedIn</t>
  </si>
  <si>
    <t>Linkfire</t>
  </si>
  <si>
    <t>Linktree</t>
  </si>
  <si>
    <t>Lithic</t>
  </si>
  <si>
    <t>Liv Up</t>
  </si>
  <si>
    <t>LivePerson</t>
  </si>
  <si>
    <t>LiveRamp</t>
  </si>
  <si>
    <t>LiveTiles</t>
  </si>
  <si>
    <t>LiveVox</t>
  </si>
  <si>
    <t>Livspace</t>
  </si>
  <si>
    <t>Locomation</t>
  </si>
  <si>
    <t>Loft</t>
  </si>
  <si>
    <t>Loftium</t>
  </si>
  <si>
    <t>Loftsmart</t>
  </si>
  <si>
    <t>Loggi</t>
  </si>
  <si>
    <t>Loja Integrada</t>
  </si>
  <si>
    <t>Lokalise</t>
  </si>
  <si>
    <t>Lola</t>
  </si>
  <si>
    <t>Loom</t>
  </si>
  <si>
    <t>companies with maximum total laid off and maximum percentage laid off</t>
  </si>
  <si>
    <t>companies with maximum funds raised millions</t>
  </si>
  <si>
    <t>industries with the Highest Total Layoffs</t>
  </si>
  <si>
    <t>countries with the Highest Total Layoffs</t>
  </si>
  <si>
    <t>Companies with the Highest Total Layoffs top 10</t>
  </si>
  <si>
    <t>Row Labels</t>
  </si>
  <si>
    <t>Sum of total_laid_off</t>
  </si>
  <si>
    <t>company with maximum total laid off for years</t>
  </si>
  <si>
    <t>Sum of funds_raised_millions</t>
  </si>
  <si>
    <t>funds raised million</t>
  </si>
  <si>
    <t>Count of total_laid_off</t>
  </si>
  <si>
    <t/>
  </si>
  <si>
    <t>industrie with high laid_off</t>
  </si>
  <si>
    <t>country with high laid_off</t>
  </si>
  <si>
    <t>day</t>
  </si>
  <si>
    <t>01</t>
  </si>
  <si>
    <t>02</t>
  </si>
  <si>
    <t>03</t>
  </si>
  <si>
    <t>06</t>
  </si>
  <si>
    <t>08</t>
  </si>
  <si>
    <t>10</t>
  </si>
  <si>
    <t>12</t>
  </si>
  <si>
    <t>13</t>
  </si>
  <si>
    <t>18</t>
  </si>
  <si>
    <t>21</t>
  </si>
  <si>
    <t>22</t>
  </si>
  <si>
    <t>24</t>
  </si>
  <si>
    <t>27</t>
  </si>
  <si>
    <t>29</t>
  </si>
  <si>
    <t>india</t>
  </si>
  <si>
    <t>netherlands</t>
  </si>
  <si>
    <t>singapore</t>
  </si>
  <si>
    <t>sweden</t>
  </si>
  <si>
    <t>united states</t>
  </si>
  <si>
    <t>company with high total layoffs</t>
  </si>
  <si>
    <t>company with high raised million</t>
  </si>
  <si>
    <t>category</t>
  </si>
  <si>
    <t>(All)</t>
  </si>
  <si>
    <t>unknown</t>
  </si>
  <si>
    <t>total funds raised million</t>
  </si>
  <si>
    <t>total laid off</t>
  </si>
  <si>
    <t>loft</t>
  </si>
  <si>
    <t>sum of total laid off</t>
  </si>
  <si>
    <t>month num</t>
  </si>
  <si>
    <t>month new</t>
  </si>
  <si>
    <t>sum</t>
  </si>
  <si>
    <t>Column Labels</t>
  </si>
  <si>
    <t>Grand Total</t>
  </si>
  <si>
    <t>Count of company</t>
  </si>
  <si>
    <t>Max of percentage_laid_off</t>
  </si>
  <si>
    <t>fully laid off</t>
  </si>
  <si>
    <t>Count of funds_raised_millions</t>
  </si>
  <si>
    <t>score</t>
  </si>
  <si>
    <t>rank_funds</t>
  </si>
  <si>
    <t>rank_laid</t>
  </si>
  <si>
    <t>airbnb</t>
  </si>
  <si>
    <t>byju's</t>
  </si>
  <si>
    <t>bytendance</t>
  </si>
  <si>
    <t>carvana</t>
  </si>
  <si>
    <t>compass</t>
  </si>
  <si>
    <t>gopuff</t>
  </si>
  <si>
    <t>groupon</t>
  </si>
  <si>
    <t>juul</t>
  </si>
  <si>
    <t>katerra</t>
  </si>
  <si>
    <t>klarna</t>
  </si>
  <si>
    <t>funding</t>
  </si>
  <si>
    <t>layoffs</t>
  </si>
  <si>
    <t>Column1</t>
  </si>
  <si>
    <t>Column2</t>
  </si>
  <si>
    <t>00</t>
  </si>
  <si>
    <t>04</t>
  </si>
  <si>
    <t>05</t>
  </si>
  <si>
    <t>07</t>
  </si>
  <si>
    <t>09</t>
  </si>
  <si>
    <t>11</t>
  </si>
  <si>
    <t>14</t>
  </si>
  <si>
    <t>15</t>
  </si>
  <si>
    <t>16</t>
  </si>
  <si>
    <t>17</t>
  </si>
  <si>
    <t>19</t>
  </si>
  <si>
    <t>20</t>
  </si>
  <si>
    <t>23</t>
  </si>
  <si>
    <t>25</t>
  </si>
  <si>
    <t>26</t>
  </si>
  <si>
    <t>28</t>
  </si>
  <si>
    <t>30</t>
  </si>
  <si>
    <t>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</si>
</sst>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quot;$&quot;#,##0"/>
    <numFmt numFmtId="165" formatCode="_(* #,##0_);_(* \(#,##0\);_(* &quot;-&quot;??_);_(@_)"/>
    <numFmt numFmtId="166" formatCode="[$-F800]dddd\,\ mmmm\ dd\,\ yyyy"/>
    <numFmt numFmtId="167" formatCode="mmm"/>
    <numFmt numFmtId="168" formatCode="0.000"/>
    <numFmt numFmtId="169"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F59E0B"/>
      <name val="Calibri"/>
      <family val="2"/>
      <scheme val="minor"/>
    </font>
    <font>
      <b/>
      <sz val="20"/>
      <color rgb="FFF59E0B"/>
      <name val="Calibri"/>
      <family val="2"/>
      <scheme val="minor"/>
    </font>
    <font>
      <sz val="11"/>
      <color rgb="FFC00000"/>
      <name val="Calibri"/>
      <family val="2"/>
      <scheme val="minor"/>
    </font>
    <font>
      <b/>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5D3FF"/>
        <bgColor indexed="64"/>
      </patternFill>
    </fill>
    <fill>
      <patternFill patternType="solid">
        <fgColor theme="4" tint="0.79998168889431442"/>
        <bgColor theme="4" tint="0.79998168889431442"/>
      </patternFill>
    </fill>
    <fill>
      <patternFill patternType="solid">
        <fgColor rgb="FFF6C3FF"/>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41">
    <xf numFmtId="0" fontId="0" fillId="0" borderId="0" xfId="0"/>
    <xf numFmtId="9" fontId="0" fillId="0" borderId="0" xfId="0" applyNumberFormat="1"/>
    <xf numFmtId="14" fontId="0" fillId="0" borderId="0" xfId="0" applyNumberFormat="1"/>
    <xf numFmtId="49" fontId="0" fillId="0" borderId="0" xfId="0" applyNumberFormat="1"/>
    <xf numFmtId="49" fontId="0" fillId="33" borderId="0" xfId="0" applyNumberFormat="1" applyFill="1"/>
    <xf numFmtId="0" fontId="0" fillId="33" borderId="0" xfId="0" applyFill="1"/>
    <xf numFmtId="0" fontId="0" fillId="0" borderId="0" xfId="0" pivotButton="1"/>
    <xf numFmtId="0" fontId="0" fillId="0" borderId="0" xfId="0" applyAlignment="1">
      <alignment horizontal="left"/>
    </xf>
    <xf numFmtId="0" fontId="16" fillId="34" borderId="10" xfId="0" applyFont="1" applyFill="1" applyBorder="1"/>
    <xf numFmtId="0" fontId="16" fillId="34" borderId="0" xfId="0" applyFont="1" applyFill="1"/>
    <xf numFmtId="14" fontId="0" fillId="33" borderId="0" xfId="0" applyNumberFormat="1" applyFill="1"/>
    <xf numFmtId="164" fontId="0" fillId="33" borderId="0" xfId="42" applyNumberFormat="1" applyFont="1" applyFill="1"/>
    <xf numFmtId="0" fontId="0" fillId="35" borderId="0" xfId="0" applyFill="1"/>
    <xf numFmtId="164" fontId="0" fillId="35" borderId="0" xfId="42" applyNumberFormat="1" applyFont="1" applyFill="1"/>
    <xf numFmtId="1" fontId="0" fillId="0" borderId="0" xfId="0" applyNumberFormat="1"/>
    <xf numFmtId="166" fontId="0" fillId="33" borderId="0" xfId="0" applyNumberFormat="1" applyFill="1"/>
    <xf numFmtId="166" fontId="0" fillId="0" borderId="0" xfId="0" applyNumberFormat="1"/>
    <xf numFmtId="17" fontId="0" fillId="33" borderId="0" xfId="0" applyNumberFormat="1" applyFill="1"/>
    <xf numFmtId="17" fontId="0" fillId="0" borderId="0" xfId="0" applyNumberFormat="1"/>
    <xf numFmtId="167" fontId="0" fillId="33" borderId="0" xfId="0" applyNumberFormat="1" applyFill="1"/>
    <xf numFmtId="167" fontId="0" fillId="0" borderId="0" xfId="0" applyNumberFormat="1"/>
    <xf numFmtId="167" fontId="0" fillId="0" borderId="0" xfId="0" applyNumberFormat="1" applyAlignment="1">
      <alignment horizontal="left"/>
    </xf>
    <xf numFmtId="0" fontId="0" fillId="0" borderId="13" xfId="0" applyBorder="1" applyAlignment="1">
      <alignment horizontal="left"/>
    </xf>
    <xf numFmtId="1" fontId="0" fillId="0" borderId="14" xfId="0" applyNumberFormat="1" applyBorder="1"/>
    <xf numFmtId="0" fontId="0" fillId="0" borderId="11" xfId="0" applyBorder="1" applyAlignment="1">
      <alignment horizontal="center"/>
    </xf>
    <xf numFmtId="0" fontId="20" fillId="0" borderId="12" xfId="0" applyFont="1" applyBorder="1" applyAlignment="1">
      <alignment horizontal="center"/>
    </xf>
    <xf numFmtId="9" fontId="0" fillId="0" borderId="0" xfId="44" applyFont="1"/>
    <xf numFmtId="165" fontId="0" fillId="0" borderId="0" xfId="0" applyNumberFormat="1"/>
    <xf numFmtId="1" fontId="21" fillId="0" borderId="0" xfId="0" applyNumberFormat="1" applyFont="1"/>
    <xf numFmtId="1" fontId="19" fillId="0" borderId="0" xfId="0" applyNumberFormat="1" applyFont="1"/>
    <xf numFmtId="9" fontId="19" fillId="0" borderId="0" xfId="44" applyFont="1" applyAlignment="1">
      <alignment horizontal="center"/>
    </xf>
    <xf numFmtId="165" fontId="19" fillId="0" borderId="0" xfId="43" applyNumberFormat="1" applyFont="1" applyAlignment="1">
      <alignment horizontal="center"/>
    </xf>
    <xf numFmtId="43" fontId="19" fillId="0" borderId="0" xfId="0" applyNumberFormat="1" applyFont="1" applyAlignment="1">
      <alignment horizontal="center"/>
    </xf>
    <xf numFmtId="168" fontId="19" fillId="0" borderId="0" xfId="0" applyNumberFormat="1" applyFont="1" applyAlignment="1">
      <alignment horizontal="center"/>
    </xf>
    <xf numFmtId="169" fontId="19" fillId="0" borderId="0" xfId="0" applyNumberFormat="1" applyFont="1" applyAlignment="1">
      <alignment horizontal="center"/>
    </xf>
    <xf numFmtId="165" fontId="18" fillId="0" borderId="0" xfId="43" applyNumberFormat="1" applyFont="1" applyAlignment="1">
      <alignment horizontal="center"/>
    </xf>
    <xf numFmtId="0" fontId="18" fillId="0" borderId="0" xfId="0" applyFont="1" applyAlignment="1">
      <alignment horizontal="center"/>
    </xf>
    <xf numFmtId="9" fontId="18" fillId="0" borderId="0" xfId="0" applyNumberFormat="1" applyFont="1" applyAlignment="1">
      <alignment horizontal="center"/>
    </xf>
    <xf numFmtId="0" fontId="0" fillId="33" borderId="0" xfId="0" applyFill="1" applyAlignment="1">
      <alignment horizontal="center"/>
    </xf>
    <xf numFmtId="2" fontId="19" fillId="0" borderId="0" xfId="0" applyNumberFormat="1" applyFont="1" applyAlignment="1">
      <alignment horizontal="center"/>
    </xf>
    <xf numFmtId="0" fontId="0" fillId="0" borderId="0" xfId="0" applyNumberForma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71">
    <dxf>
      <numFmt numFmtId="0" formatCode="General"/>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0" formatCode="General"/>
    </dxf>
    <dxf>
      <numFmt numFmtId="0" formatCode="General"/>
    </dxf>
    <dxf>
      <numFmt numFmtId="13" formatCode="0%"/>
    </dxf>
    <dxf>
      <numFmt numFmtId="13" formatCode="0%"/>
    </dxf>
    <dxf>
      <numFmt numFmtId="0" formatCode="General"/>
    </dxf>
    <dxf>
      <numFmt numFmtId="1" formatCode="0"/>
    </dxf>
    <dxf>
      <font>
        <color rgb="FFC00000"/>
      </font>
    </dxf>
    <dxf>
      <numFmt numFmtId="13" formatCode="0%"/>
    </dxf>
    <dxf>
      <numFmt numFmtId="13" formatCode="0%"/>
    </dxf>
    <dxf>
      <numFmt numFmtId="0" formatCode="General"/>
    </dxf>
    <dxf>
      <numFmt numFmtId="0" formatCode="General"/>
    </dxf>
    <dxf>
      <numFmt numFmtId="0" formatCode="General"/>
    </dxf>
    <dxf>
      <numFmt numFmtId="1" formatCode="0"/>
    </dxf>
    <dxf>
      <numFmt numFmtId="0" formatCode="General"/>
    </dxf>
    <dxf>
      <numFmt numFmtId="165" formatCode="_(* #,##0_);_(* \(#,##0\);_(* &quot;-&quot;??_);_(@_)"/>
    </dxf>
    <dxf>
      <numFmt numFmtId="0" formatCode="General"/>
    </dxf>
    <dxf>
      <numFmt numFmtId="165" formatCode="_(* #,##0_);_(* \(#,##0\);_(* &quot;-&quot;??_);_(@_)"/>
    </dxf>
    <dxf>
      <numFmt numFmtId="0" formatCode="General"/>
    </dxf>
    <dxf>
      <font>
        <color rgb="FFC00000"/>
      </font>
    </dxf>
    <dxf>
      <numFmt numFmtId="1" formatCode="0"/>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0" formatCode="General"/>
    </dxf>
    <dxf>
      <numFmt numFmtId="0" formatCode="General"/>
    </dxf>
    <dxf>
      <numFmt numFmtId="166" formatCode="[$-F800]dddd\,\ mmmm\ dd\,\ yyyy"/>
    </dxf>
    <dxf>
      <numFmt numFmtId="22" formatCode="mmm\-yy"/>
    </dxf>
    <dxf>
      <numFmt numFmtId="167" formatCode="mmm"/>
    </dxf>
    <dxf>
      <numFmt numFmtId="19" formatCode="m/d/yyyy"/>
    </dxf>
    <dxf>
      <numFmt numFmtId="19" formatCode="m/d/yyyy"/>
    </dxf>
    <dxf>
      <numFmt numFmtId="13" formatCode="0%"/>
    </dxf>
    <dxf>
      <numFmt numFmtId="13" formatCode="0%"/>
    </dxf>
    <dxf>
      <numFmt numFmtId="30" formatCode="@"/>
    </dxf>
    <dxf>
      <fill>
        <patternFill patternType="solid">
          <fgColor indexed="64"/>
          <bgColor rgb="FFC5D3FF"/>
        </patternFill>
      </fill>
    </dxf>
    <dxf>
      <fill>
        <patternFill>
          <bgColor theme="8" tint="0.79998168889431442"/>
        </patternFill>
      </fill>
    </dxf>
    <dxf>
      <font>
        <b/>
        <i val="0"/>
        <sz val="14"/>
        <color rgb="FFF59E0B"/>
        <name val="Calibri"/>
        <family val="2"/>
        <scheme val="minor"/>
      </font>
      <fill>
        <patternFill patternType="solid">
          <fgColor auto="1"/>
          <bgColor rgb="FF334155"/>
        </patternFill>
      </fill>
    </dxf>
    <dxf>
      <font>
        <b/>
        <i val="0"/>
        <sz val="12"/>
        <color rgb="FFE3E3E3"/>
        <name val="Calibri"/>
        <family val="2"/>
        <scheme val="minor"/>
      </font>
      <fill>
        <patternFill patternType="solid">
          <fgColor auto="1"/>
          <bgColor rgb="FF334155"/>
        </patternFill>
      </fill>
      <border diagonalUp="0" diagonalDown="0">
        <left style="thin">
          <color theme="2"/>
        </left>
        <right style="thin">
          <color theme="2"/>
        </right>
        <top style="thin">
          <color theme="2"/>
        </top>
        <bottom style="thin">
          <color theme="2"/>
        </bottom>
        <vertical/>
        <horizontal/>
      </border>
    </dxf>
    <dxf>
      <font>
        <b/>
        <i val="0"/>
        <sz val="12"/>
        <color rgb="FF1F3A8A"/>
        <name val="Calibri"/>
        <family val="2"/>
        <scheme val="minor"/>
      </font>
      <fill>
        <patternFill>
          <bgColor rgb="FFE3E3E3"/>
        </patternFill>
      </fill>
      <border diagonalUp="0" diagonalDown="0">
        <left/>
        <right/>
        <top/>
        <bottom/>
        <vertical/>
        <horizontal/>
      </border>
    </dxf>
  </dxfs>
  <tableStyles count="3" defaultTableStyle="TableStyleMedium2" defaultPivotStyle="PivotStyleLight16">
    <tableStyle name="Slicer Style 2" pivot="0" table="0" count="1" xr9:uid="{5EEFF12A-33DC-4298-BE16-371522FCC339}">
      <tableStyleElement type="wholeTable" dxfId="70"/>
    </tableStyle>
    <tableStyle name="Slicer Style 2 2" pivot="0" table="0" count="2" xr9:uid="{2305A77B-12D9-4483-BBE6-07B14E06F05B}">
      <tableStyleElement type="wholeTable" dxfId="69"/>
      <tableStyleElement type="headerRow" dxfId="68"/>
    </tableStyle>
    <tableStyle name="Table Style 1" pivot="0" count="1" xr9:uid="{16262595-645E-4314-AD21-86D36B274DFC}">
      <tableStyleElement type="wholeTable" dxfId="67"/>
    </tableStyle>
  </tableStyles>
  <colors>
    <mruColors>
      <color rgb="FFF59E0B"/>
      <color rgb="FF1E293B"/>
      <color rgb="FF334155"/>
      <color rgb="FF4472C4"/>
      <color rgb="FFDDDDDD"/>
      <color rgb="FFE3E3E3"/>
      <color rgb="FF1F3A8A"/>
      <color rgb="FF2563EB"/>
      <color rgb="FF16A34A"/>
      <color rgb="FF0F766E"/>
    </mruColors>
  </colors>
  <extLst>
    <ext xmlns:x14="http://schemas.microsoft.com/office/spreadsheetml/2009/9/main" uri="{EB79DEF2-80B8-43e5-95BD-54CBDDF9020C}">
      <x14:slicerStyles defaultSlicerStyle="SlicerStyleLight1">
        <x14:slicerStyle name="Slicer Style 2"/>
        <x14:slicerStyle name="Slicer Style 2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[layoffs_dashboard.xlsx]an!top 10 company layoffs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a:t>
            </a:r>
            <a:r>
              <a:rPr lang="en-CA" baseline="0"/>
              <a:t> 10 company layoffs</a:t>
            </a:r>
            <a:endParaRPr lang="en-CA"/>
          </a:p>
        </c:rich>
      </c:tx>
      <c:layout>
        <c:manualLayout>
          <c:xMode val="edge"/>
          <c:yMode val="edge"/>
          <c:x val="0.18266894574121295"/>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7.407407407407407E-2"/>
          <c:w val="0.86486351706036746"/>
          <c:h val="0.70102252843394575"/>
        </c:manualLayout>
      </c:layout>
      <c:barChart>
        <c:barDir val="col"/>
        <c:grouping val="clustered"/>
        <c:varyColors val="0"/>
        <c:ser>
          <c:idx val="0"/>
          <c:order val="0"/>
          <c:tx>
            <c:strRef>
              <c:f>an!$B$829</c:f>
              <c:strCache>
                <c:ptCount val="1"/>
                <c:pt idx="0">
                  <c:v>Total</c:v>
                </c:pt>
              </c:strCache>
            </c:strRef>
          </c:tx>
          <c:spPr>
            <a:solidFill>
              <a:schemeClr val="accent1"/>
            </a:solidFill>
            <a:ln>
              <a:noFill/>
            </a:ln>
            <a:effectLst/>
          </c:spPr>
          <c:invertIfNegative val="0"/>
          <c:cat>
            <c:strRef>
              <c:f>an!$A$830:$A$839</c:f>
              <c:strCache>
                <c:ptCount val="10"/>
                <c:pt idx="0">
                  <c:v>Amazon</c:v>
                </c:pt>
                <c:pt idx="1">
                  <c:v>Google</c:v>
                </c:pt>
                <c:pt idx="2">
                  <c:v>Ericsson</c:v>
                </c:pt>
                <c:pt idx="3">
                  <c:v>Dell</c:v>
                </c:pt>
                <c:pt idx="4">
                  <c:v>Booking.com</c:v>
                </c:pt>
                <c:pt idx="5">
                  <c:v>Cisco</c:v>
                </c:pt>
                <c:pt idx="6">
                  <c:v>Byju's</c:v>
                </c:pt>
                <c:pt idx="7">
                  <c:v>Carvana</c:v>
                </c:pt>
                <c:pt idx="8">
                  <c:v>IBM</c:v>
                </c:pt>
                <c:pt idx="9">
                  <c:v>Better.com</c:v>
                </c:pt>
              </c:strCache>
            </c:strRef>
          </c:cat>
          <c:val>
            <c:numRef>
              <c:f>an!$B$830:$B$839</c:f>
              <c:numCache>
                <c:formatCode>General</c:formatCode>
                <c:ptCount val="10"/>
                <c:pt idx="0">
                  <c:v>18150</c:v>
                </c:pt>
                <c:pt idx="1">
                  <c:v>12000</c:v>
                </c:pt>
                <c:pt idx="2">
                  <c:v>8500</c:v>
                </c:pt>
                <c:pt idx="3">
                  <c:v>6650</c:v>
                </c:pt>
                <c:pt idx="4">
                  <c:v>4601</c:v>
                </c:pt>
                <c:pt idx="5">
                  <c:v>4100</c:v>
                </c:pt>
                <c:pt idx="6">
                  <c:v>4000</c:v>
                </c:pt>
                <c:pt idx="7">
                  <c:v>4000</c:v>
                </c:pt>
                <c:pt idx="8">
                  <c:v>3900</c:v>
                </c:pt>
                <c:pt idx="9">
                  <c:v>3900</c:v>
                </c:pt>
              </c:numCache>
            </c:numRef>
          </c:val>
          <c:extLst>
            <c:ext xmlns:c16="http://schemas.microsoft.com/office/drawing/2014/chart" uri="{C3380CC4-5D6E-409C-BE32-E72D297353CC}">
              <c16:uniqueId val="{00000002-1335-4B3F-8516-6D0663D7DB08}"/>
            </c:ext>
          </c:extLst>
        </c:ser>
        <c:dLbls>
          <c:showLegendKey val="0"/>
          <c:showVal val="0"/>
          <c:showCatName val="0"/>
          <c:showSerName val="0"/>
          <c:showPercent val="0"/>
          <c:showBubbleSize val="0"/>
        </c:dLbls>
        <c:gapWidth val="219"/>
        <c:overlap val="-27"/>
        <c:axId val="772119679"/>
        <c:axId val="772120639"/>
      </c:barChart>
      <c:catAx>
        <c:axId val="7721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20639"/>
        <c:crosses val="autoZero"/>
        <c:auto val="1"/>
        <c:lblAlgn val="ctr"/>
        <c:lblOffset val="100"/>
        <c:noMultiLvlLbl val="0"/>
      </c:catAx>
      <c:valAx>
        <c:axId val="77212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[layoffs_dashboard.xlsx]an!top 10 funds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funds</a:t>
            </a:r>
            <a:r>
              <a:rPr lang="en-US" baseline="0"/>
              <a:t> raised million by company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an!$G$837</c:f>
              <c:strCache>
                <c:ptCount val="1"/>
                <c:pt idx="0">
                  <c:v>Total</c:v>
                </c:pt>
              </c:strCache>
            </c:strRef>
          </c:tx>
          <c:spPr>
            <a:solidFill>
              <a:schemeClr val="accent1"/>
            </a:solidFill>
            <a:ln>
              <a:noFill/>
            </a:ln>
            <a:effectLst/>
          </c:spPr>
          <c:invertIfNegative val="0"/>
          <c:cat>
            <c:strRef>
              <c:f>an!$F$838:$F$847</c:f>
              <c:strCache>
                <c:ptCount val="10"/>
                <c:pt idx="0">
                  <c:v>Bytedance</c:v>
                </c:pt>
                <c:pt idx="1">
                  <c:v>Delivery Hero</c:v>
                </c:pt>
                <c:pt idx="2">
                  <c:v>Argo AI</c:v>
                </c:pt>
                <c:pt idx="3">
                  <c:v>Gopuff</c:v>
                </c:pt>
                <c:pt idx="4">
                  <c:v>Airbnb</c:v>
                </c:pt>
                <c:pt idx="5">
                  <c:v>Byju's</c:v>
                </c:pt>
                <c:pt idx="6">
                  <c:v>Grab</c:v>
                </c:pt>
                <c:pt idx="7">
                  <c:v>Klarna</c:v>
                </c:pt>
                <c:pt idx="8">
                  <c:v>Cruise</c:v>
                </c:pt>
                <c:pt idx="9">
                  <c:v>JD.ID</c:v>
                </c:pt>
              </c:strCache>
            </c:strRef>
          </c:cat>
          <c:val>
            <c:numRef>
              <c:f>an!$G$838:$G$847</c:f>
              <c:numCache>
                <c:formatCode>General</c:formatCode>
                <c:ptCount val="10"/>
                <c:pt idx="0">
                  <c:v>35600</c:v>
                </c:pt>
                <c:pt idx="1">
                  <c:v>26500</c:v>
                </c:pt>
                <c:pt idx="2">
                  <c:v>14400</c:v>
                </c:pt>
                <c:pt idx="3">
                  <c:v>13600</c:v>
                </c:pt>
                <c:pt idx="4">
                  <c:v>11800</c:v>
                </c:pt>
                <c:pt idx="5">
                  <c:v>11000</c:v>
                </c:pt>
                <c:pt idx="6">
                  <c:v>9900</c:v>
                </c:pt>
                <c:pt idx="7">
                  <c:v>7400</c:v>
                </c:pt>
                <c:pt idx="8">
                  <c:v>5300</c:v>
                </c:pt>
                <c:pt idx="9">
                  <c:v>5100</c:v>
                </c:pt>
              </c:numCache>
            </c:numRef>
          </c:val>
          <c:extLst>
            <c:ext xmlns:c16="http://schemas.microsoft.com/office/drawing/2014/chart" uri="{C3380CC4-5D6E-409C-BE32-E72D297353CC}">
              <c16:uniqueId val="{00000002-DCCB-458F-AE42-033BB4174A66}"/>
            </c:ext>
          </c:extLst>
        </c:ser>
        <c:dLbls>
          <c:showLegendKey val="0"/>
          <c:showVal val="0"/>
          <c:showCatName val="0"/>
          <c:showSerName val="0"/>
          <c:showPercent val="0"/>
          <c:showBubbleSize val="0"/>
        </c:dLbls>
        <c:gapWidth val="182"/>
        <c:axId val="900848079"/>
        <c:axId val="908530255"/>
      </c:barChart>
      <c:catAx>
        <c:axId val="90084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30255"/>
        <c:crosses val="autoZero"/>
        <c:auto val="1"/>
        <c:lblAlgn val="ctr"/>
        <c:lblOffset val="100"/>
        <c:noMultiLvlLbl val="0"/>
      </c:catAx>
      <c:valAx>
        <c:axId val="90853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[layoffs_dashboard.xlsx]an!top 10 industry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layoffs by</a:t>
            </a:r>
            <a:r>
              <a:rPr lang="en-CA" baseline="0"/>
              <a:t> industry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an!$V$45</c:f>
              <c:strCache>
                <c:ptCount val="1"/>
                <c:pt idx="0">
                  <c:v>Total</c:v>
                </c:pt>
              </c:strCache>
            </c:strRef>
          </c:tx>
          <c:spPr>
            <a:solidFill>
              <a:schemeClr val="accent1"/>
            </a:solidFill>
            <a:ln>
              <a:noFill/>
            </a:ln>
            <a:effectLst/>
          </c:spPr>
          <c:invertIfNegative val="0"/>
          <c:cat>
            <c:strRef>
              <c:f>an!$U$46:$U$55</c:f>
              <c:strCache>
                <c:ptCount val="10"/>
                <c:pt idx="0">
                  <c:v>Retail</c:v>
                </c:pt>
                <c:pt idx="1">
                  <c:v>Consumer</c:v>
                </c:pt>
                <c:pt idx="2">
                  <c:v>Food</c:v>
                </c:pt>
                <c:pt idx="3">
                  <c:v>Hardware</c:v>
                </c:pt>
                <c:pt idx="4">
                  <c:v>Transportation</c:v>
                </c:pt>
                <c:pt idx="5">
                  <c:v>Other</c:v>
                </c:pt>
                <c:pt idx="6">
                  <c:v>Finance</c:v>
                </c:pt>
                <c:pt idx="7">
                  <c:v>Travel</c:v>
                </c:pt>
                <c:pt idx="8">
                  <c:v>crypto</c:v>
                </c:pt>
                <c:pt idx="9">
                  <c:v>Real Estate</c:v>
                </c:pt>
              </c:strCache>
            </c:strRef>
          </c:cat>
          <c:val>
            <c:numRef>
              <c:f>an!$V$46:$V$55</c:f>
              <c:numCache>
                <c:formatCode>General</c:formatCode>
                <c:ptCount val="10"/>
                <c:pt idx="0">
                  <c:v>30545</c:v>
                </c:pt>
                <c:pt idx="1">
                  <c:v>20608</c:v>
                </c:pt>
                <c:pt idx="2">
                  <c:v>14045</c:v>
                </c:pt>
                <c:pt idx="3">
                  <c:v>13394</c:v>
                </c:pt>
                <c:pt idx="4">
                  <c:v>13290</c:v>
                </c:pt>
                <c:pt idx="5">
                  <c:v>13159</c:v>
                </c:pt>
                <c:pt idx="6">
                  <c:v>12045</c:v>
                </c:pt>
                <c:pt idx="7">
                  <c:v>9638</c:v>
                </c:pt>
                <c:pt idx="8">
                  <c:v>9397</c:v>
                </c:pt>
                <c:pt idx="9">
                  <c:v>9053</c:v>
                </c:pt>
              </c:numCache>
            </c:numRef>
          </c:val>
          <c:extLst>
            <c:ext xmlns:c16="http://schemas.microsoft.com/office/drawing/2014/chart" uri="{C3380CC4-5D6E-409C-BE32-E72D297353CC}">
              <c16:uniqueId val="{00000002-8780-43B2-801B-FCC4ADD02D02}"/>
            </c:ext>
          </c:extLst>
        </c:ser>
        <c:dLbls>
          <c:showLegendKey val="0"/>
          <c:showVal val="0"/>
          <c:showCatName val="0"/>
          <c:showSerName val="0"/>
          <c:showPercent val="0"/>
          <c:showBubbleSize val="0"/>
        </c:dLbls>
        <c:gapWidth val="50"/>
        <c:axId val="669271567"/>
        <c:axId val="669272047"/>
      </c:barChart>
      <c:catAx>
        <c:axId val="6692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72047"/>
        <c:crosses val="autoZero"/>
        <c:auto val="1"/>
        <c:lblAlgn val="ctr"/>
        <c:lblOffset val="100"/>
        <c:noMultiLvlLbl val="0"/>
      </c:catAx>
      <c:valAx>
        <c:axId val="66927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[layoffs_dashboard.xlsx]an!month</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an!$AJ$13</c:f>
              <c:strCache>
                <c:ptCount val="1"/>
                <c:pt idx="0">
                  <c:v>Total</c:v>
                </c:pt>
              </c:strCache>
            </c:strRef>
          </c:tx>
          <c:spPr>
            <a:ln w="28575" cap="rnd">
              <a:solidFill>
                <a:schemeClr val="accent1"/>
              </a:solidFill>
              <a:round/>
            </a:ln>
            <a:effectLst/>
          </c:spPr>
          <c:marker>
            <c:symbol val="none"/>
          </c:marker>
          <c:cat>
            <c:strRef>
              <c:f>an!$AI$14:$AI$25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an!$AJ$14:$AJ$25</c:f>
              <c:numCache>
                <c:formatCode>General</c:formatCode>
                <c:ptCount val="12"/>
                <c:pt idx="0">
                  <c:v>37872</c:v>
                </c:pt>
                <c:pt idx="1">
                  <c:v>17672</c:v>
                </c:pt>
                <c:pt idx="2">
                  <c:v>9144</c:v>
                </c:pt>
                <c:pt idx="3">
                  <c:v>19472</c:v>
                </c:pt>
                <c:pt idx="4">
                  <c:v>14756</c:v>
                </c:pt>
                <c:pt idx="5">
                  <c:v>20878</c:v>
                </c:pt>
                <c:pt idx="6">
                  <c:v>13632</c:v>
                </c:pt>
                <c:pt idx="7">
                  <c:v>10170</c:v>
                </c:pt>
                <c:pt idx="8">
                  <c:v>6190</c:v>
                </c:pt>
                <c:pt idx="9">
                  <c:v>12026</c:v>
                </c:pt>
                <c:pt idx="10">
                  <c:v>24318</c:v>
                </c:pt>
                <c:pt idx="11">
                  <c:v>7237</c:v>
                </c:pt>
              </c:numCache>
            </c:numRef>
          </c:val>
          <c:smooth val="0"/>
          <c:extLst>
            <c:ext xmlns:c16="http://schemas.microsoft.com/office/drawing/2014/chart" uri="{C3380CC4-5D6E-409C-BE32-E72D297353CC}">
              <c16:uniqueId val="{00000000-2471-4BF3-8A18-D0312BE75A14}"/>
            </c:ext>
          </c:extLst>
        </c:ser>
        <c:dLbls>
          <c:showLegendKey val="0"/>
          <c:showVal val="0"/>
          <c:showCatName val="0"/>
          <c:showSerName val="0"/>
          <c:showPercent val="0"/>
          <c:showBubbleSize val="0"/>
        </c:dLbls>
        <c:smooth val="0"/>
        <c:axId val="395253984"/>
        <c:axId val="395266464"/>
      </c:lineChart>
      <c:catAx>
        <c:axId val="39525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66464"/>
        <c:crosses val="autoZero"/>
        <c:auto val="1"/>
        <c:lblAlgn val="ctr"/>
        <c:lblOffset val="100"/>
        <c:noMultiLvlLbl val="0"/>
      </c:catAx>
      <c:valAx>
        <c:axId val="3952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5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[layoffs_dashboard.xlsx]an!category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an!$AF$14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D-420E-B6C8-F0B5995888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D-420E-B6C8-F0B5995888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D-420E-B6C8-F0B5995888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D-420E-B6C8-F0B599588854}"/>
              </c:ext>
            </c:extLst>
          </c:dPt>
          <c:cat>
            <c:strRef>
              <c:f>an!$AE$15:$AE$18</c:f>
              <c:strCache>
                <c:ptCount val="4"/>
                <c:pt idx="0">
                  <c:v>large reduction</c:v>
                </c:pt>
                <c:pt idx="1">
                  <c:v>medium reduction</c:v>
                </c:pt>
                <c:pt idx="2">
                  <c:v>shutdown</c:v>
                </c:pt>
                <c:pt idx="3">
                  <c:v>small reduction</c:v>
                </c:pt>
              </c:strCache>
            </c:strRef>
          </c:cat>
          <c:val>
            <c:numRef>
              <c:f>an!$AF$15:$AF$18</c:f>
              <c:numCache>
                <c:formatCode>General</c:formatCode>
                <c:ptCount val="4"/>
                <c:pt idx="0">
                  <c:v>1399</c:v>
                </c:pt>
                <c:pt idx="1">
                  <c:v>69394</c:v>
                </c:pt>
                <c:pt idx="2">
                  <c:v>7401</c:v>
                </c:pt>
                <c:pt idx="3">
                  <c:v>86140</c:v>
                </c:pt>
              </c:numCache>
            </c:numRef>
          </c:val>
          <c:extLst>
            <c:ext xmlns:c16="http://schemas.microsoft.com/office/drawing/2014/chart" uri="{C3380CC4-5D6E-409C-BE32-E72D297353CC}">
              <c16:uniqueId val="{0000000C-590B-4C3E-BB8A-E02D28C2E2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[layoffs_dashboard.xlsx]an!country</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an!$AD$53</c:f>
              <c:strCache>
                <c:ptCount val="1"/>
                <c:pt idx="0">
                  <c:v>Total</c:v>
                </c:pt>
              </c:strCache>
            </c:strRef>
          </c:tx>
          <c:spPr>
            <a:solidFill>
              <a:schemeClr val="accent1"/>
            </a:solidFill>
            <a:ln>
              <a:noFill/>
            </a:ln>
            <a:effectLst/>
          </c:spPr>
          <c:invertIfNegative val="0"/>
          <c:cat>
            <c:strRef>
              <c:f>an!$AC$54:$AC$59</c:f>
              <c:strCache>
                <c:ptCount val="6"/>
                <c:pt idx="0">
                  <c:v>Brazil</c:v>
                </c:pt>
                <c:pt idx="1">
                  <c:v>India</c:v>
                </c:pt>
                <c:pt idx="2">
                  <c:v>Netherlands</c:v>
                </c:pt>
                <c:pt idx="3">
                  <c:v>Singapore</c:v>
                </c:pt>
                <c:pt idx="4">
                  <c:v>Sweden</c:v>
                </c:pt>
                <c:pt idx="5">
                  <c:v>United States</c:v>
                </c:pt>
              </c:strCache>
            </c:strRef>
          </c:cat>
          <c:val>
            <c:numRef>
              <c:f>an!$AD$54:$AD$59</c:f>
              <c:numCache>
                <c:formatCode>General</c:formatCode>
                <c:ptCount val="6"/>
                <c:pt idx="0">
                  <c:v>5647</c:v>
                </c:pt>
                <c:pt idx="1">
                  <c:v>13292</c:v>
                </c:pt>
                <c:pt idx="2">
                  <c:v>4765</c:v>
                </c:pt>
                <c:pt idx="3">
                  <c:v>5550</c:v>
                </c:pt>
                <c:pt idx="4">
                  <c:v>10124</c:v>
                </c:pt>
                <c:pt idx="5">
                  <c:v>130761</c:v>
                </c:pt>
              </c:numCache>
            </c:numRef>
          </c:val>
          <c:extLst>
            <c:ext xmlns:c16="http://schemas.microsoft.com/office/drawing/2014/chart" uri="{C3380CC4-5D6E-409C-BE32-E72D297353CC}">
              <c16:uniqueId val="{00000000-DAA9-4AB0-A74B-8CBD90F49680}"/>
            </c:ext>
          </c:extLst>
        </c:ser>
        <c:dLbls>
          <c:showLegendKey val="0"/>
          <c:showVal val="0"/>
          <c:showCatName val="0"/>
          <c:showSerName val="0"/>
          <c:showPercent val="0"/>
          <c:showBubbleSize val="0"/>
        </c:dLbls>
        <c:gapWidth val="219"/>
        <c:axId val="600283471"/>
        <c:axId val="600288751"/>
      </c:barChart>
      <c:catAx>
        <c:axId val="60028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8751"/>
        <c:crosses val="autoZero"/>
        <c:auto val="1"/>
        <c:lblAlgn val="ctr"/>
        <c:lblOffset val="100"/>
        <c:noMultiLvlLbl val="0"/>
      </c:catAx>
      <c:valAx>
        <c:axId val="60028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an!$BU$1664</c:f>
              <c:strCache>
                <c:ptCount val="1"/>
                <c:pt idx="0">
                  <c:v>layoffs</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F18573BF-FDA0-423B-89B0-04C0AE173179}"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08-4EFF-81F7-0079B35EF8F5}"/>
                </c:ext>
              </c:extLst>
            </c:dLbl>
            <c:dLbl>
              <c:idx val="1"/>
              <c:tx>
                <c:rich>
                  <a:bodyPr/>
                  <a:lstStyle/>
                  <a:p>
                    <a:fld id="{4E88849A-5B03-4B71-9E0F-7969D3445CF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708-4EFF-81F7-0079B35EF8F5}"/>
                </c:ext>
              </c:extLst>
            </c:dLbl>
            <c:dLbl>
              <c:idx val="2"/>
              <c:tx>
                <c:rich>
                  <a:bodyPr/>
                  <a:lstStyle/>
                  <a:p>
                    <a:fld id="{82E100E0-B1E9-4A6E-A326-AAC2E449DCF3}"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08-4EFF-81F7-0079B35EF8F5}"/>
                </c:ext>
              </c:extLst>
            </c:dLbl>
            <c:dLbl>
              <c:idx val="3"/>
              <c:tx>
                <c:rich>
                  <a:bodyPr/>
                  <a:lstStyle/>
                  <a:p>
                    <a:fld id="{44CDE2E9-DCE1-4057-AA12-4CBBE87950EE}"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08-4EFF-81F7-0079B35EF8F5}"/>
                </c:ext>
              </c:extLst>
            </c:dLbl>
            <c:dLbl>
              <c:idx val="4"/>
              <c:layout>
                <c:manualLayout>
                  <c:x val="-2.063210848643917E-2"/>
                  <c:y val="-4.1500190815329456E-2"/>
                </c:manualLayout>
              </c:layout>
              <c:tx>
                <c:rich>
                  <a:bodyPr/>
                  <a:lstStyle/>
                  <a:p>
                    <a:fld id="{468FFE84-DC12-4467-8AF9-EB43891CFF3D}"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08-4EFF-81F7-0079B35EF8F5}"/>
                </c:ext>
              </c:extLst>
            </c:dLbl>
            <c:dLbl>
              <c:idx val="5"/>
              <c:tx>
                <c:rich>
                  <a:bodyPr/>
                  <a:lstStyle/>
                  <a:p>
                    <a:fld id="{09E9AF0F-528A-47B8-A1A0-CE26E90B859B}"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708-4EFF-81F7-0079B35EF8F5}"/>
                </c:ext>
              </c:extLst>
            </c:dLbl>
            <c:dLbl>
              <c:idx val="6"/>
              <c:layout>
                <c:manualLayout>
                  <c:x val="8.9026684164479446E-3"/>
                  <c:y val="-3.2671940600010517E-2"/>
                </c:manualLayout>
              </c:layout>
              <c:tx>
                <c:rich>
                  <a:bodyPr/>
                  <a:lstStyle/>
                  <a:p>
                    <a:fld id="{D720051A-3237-46AA-9C46-AC5EF9885532}"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08-4EFF-81F7-0079B35EF8F5}"/>
                </c:ext>
              </c:extLst>
            </c:dLbl>
            <c:dLbl>
              <c:idx val="7"/>
              <c:layout>
                <c:manualLayout>
                  <c:x val="-7.1534776902887134E-2"/>
                  <c:y val="-9.1526942035470099E-2"/>
                </c:manualLayout>
              </c:layout>
              <c:tx>
                <c:rich>
                  <a:bodyPr/>
                  <a:lstStyle/>
                  <a:p>
                    <a:fld id="{F724C382-9D6D-43A4-A876-9E88F9C117E1}"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08-4EFF-81F7-0079B35EF8F5}"/>
                </c:ext>
              </c:extLst>
            </c:dLbl>
            <c:dLbl>
              <c:idx val="8"/>
              <c:tx>
                <c:rich>
                  <a:bodyPr/>
                  <a:lstStyle/>
                  <a:p>
                    <a:fld id="{15822921-4222-4D23-B0B5-811C018DADD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708-4EFF-81F7-0079B35EF8F5}"/>
                </c:ext>
              </c:extLst>
            </c:dLbl>
            <c:dLbl>
              <c:idx val="9"/>
              <c:tx>
                <c:rich>
                  <a:bodyPr/>
                  <a:lstStyle/>
                  <a:p>
                    <a:fld id="{FE19B65D-94B0-45AA-88E8-0F56B7127BCD}"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708-4EFF-81F7-0079B35EF8F5}"/>
                </c:ext>
              </c:extLst>
            </c:dLbl>
            <c:dLbl>
              <c:idx val="10"/>
              <c:layout>
                <c:manualLayout>
                  <c:x val="-1.6888888888888887E-2"/>
                  <c:y val="-4.1500190815329456E-2"/>
                </c:manualLayout>
              </c:layout>
              <c:tx>
                <c:rich>
                  <a:bodyPr/>
                  <a:lstStyle/>
                  <a:p>
                    <a:fld id="{204C4CF8-7BF8-4D6C-8AA8-BDF75E07EA44}"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08-4EFF-81F7-0079B35EF8F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an!$BT$1665:$BT$1675</c:f>
              <c:numCache>
                <c:formatCode>General</c:formatCode>
                <c:ptCount val="11"/>
                <c:pt idx="0">
                  <c:v>11800</c:v>
                </c:pt>
                <c:pt idx="1">
                  <c:v>11000</c:v>
                </c:pt>
                <c:pt idx="2">
                  <c:v>35600</c:v>
                </c:pt>
                <c:pt idx="3">
                  <c:v>3200</c:v>
                </c:pt>
                <c:pt idx="4">
                  <c:v>4800</c:v>
                </c:pt>
                <c:pt idx="5">
                  <c:v>13600</c:v>
                </c:pt>
                <c:pt idx="6">
                  <c:v>4200</c:v>
                </c:pt>
                <c:pt idx="7">
                  <c:v>3000</c:v>
                </c:pt>
                <c:pt idx="8">
                  <c:v>4100</c:v>
                </c:pt>
                <c:pt idx="9">
                  <c:v>7400</c:v>
                </c:pt>
                <c:pt idx="10">
                  <c:v>3678</c:v>
                </c:pt>
              </c:numCache>
            </c:numRef>
          </c:xVal>
          <c:yVal>
            <c:numRef>
              <c:f>an!$BU$1665:$BU$1675</c:f>
              <c:numCache>
                <c:formatCode>General</c:formatCode>
                <c:ptCount val="11"/>
                <c:pt idx="0">
                  <c:v>1930</c:v>
                </c:pt>
                <c:pt idx="1">
                  <c:v>4000</c:v>
                </c:pt>
                <c:pt idx="2">
                  <c:v>3750</c:v>
                </c:pt>
                <c:pt idx="3">
                  <c:v>4000</c:v>
                </c:pt>
                <c:pt idx="4">
                  <c:v>1096</c:v>
                </c:pt>
                <c:pt idx="5">
                  <c:v>2300</c:v>
                </c:pt>
                <c:pt idx="6">
                  <c:v>3800</c:v>
                </c:pt>
                <c:pt idx="7">
                  <c:v>1300</c:v>
                </c:pt>
                <c:pt idx="8">
                  <c:v>3074</c:v>
                </c:pt>
                <c:pt idx="9">
                  <c:v>800</c:v>
                </c:pt>
                <c:pt idx="10">
                  <c:v>1289</c:v>
                </c:pt>
              </c:numCache>
            </c:numRef>
          </c:yVal>
          <c:smooth val="0"/>
          <c:extLst>
            <c:ext xmlns:c15="http://schemas.microsoft.com/office/drawing/2012/chart" uri="{02D57815-91ED-43cb-92C2-25804820EDAC}">
              <c15:datalabelsRange>
                <c15:f>an!$BS$1664:$BS$1675</c15:f>
                <c15:dlblRangeCache>
                  <c:ptCount val="12"/>
                  <c:pt idx="0">
                    <c:v>company</c:v>
                  </c:pt>
                  <c:pt idx="1">
                    <c:v>airbnb</c:v>
                  </c:pt>
                  <c:pt idx="2">
                    <c:v>byju's</c:v>
                  </c:pt>
                  <c:pt idx="3">
                    <c:v>bytendance</c:v>
                  </c:pt>
                  <c:pt idx="4">
                    <c:v>carvana</c:v>
                  </c:pt>
                  <c:pt idx="5">
                    <c:v>compass</c:v>
                  </c:pt>
                  <c:pt idx="6">
                    <c:v>gopuff</c:v>
                  </c:pt>
                  <c:pt idx="7">
                    <c:v>groupon</c:v>
                  </c:pt>
                  <c:pt idx="8">
                    <c:v>juul</c:v>
                  </c:pt>
                  <c:pt idx="9">
                    <c:v>katerra</c:v>
                  </c:pt>
                  <c:pt idx="10">
                    <c:v>klarna</c:v>
                  </c:pt>
                  <c:pt idx="11">
                    <c:v>loft</c:v>
                  </c:pt>
                </c15:dlblRangeCache>
              </c15:datalabelsRange>
            </c:ext>
            <c:ext xmlns:c16="http://schemas.microsoft.com/office/drawing/2014/chart" uri="{C3380CC4-5D6E-409C-BE32-E72D297353CC}">
              <c16:uniqueId val="{00000000-E708-4EFF-81F7-0079B35EF8F5}"/>
            </c:ext>
          </c:extLst>
        </c:ser>
        <c:dLbls>
          <c:showLegendKey val="0"/>
          <c:showVal val="0"/>
          <c:showCatName val="0"/>
          <c:showSerName val="0"/>
          <c:showPercent val="0"/>
          <c:showBubbleSize val="0"/>
        </c:dLbls>
        <c:axId val="1645934607"/>
        <c:axId val="1645917807"/>
      </c:scatterChart>
      <c:valAx>
        <c:axId val="164593460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917807"/>
        <c:crosses val="autoZero"/>
        <c:crossBetween val="midCat"/>
      </c:valAx>
      <c:valAx>
        <c:axId val="164591780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934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an!$AR$12</c:f>
              <c:strCache>
                <c:ptCount val="1"/>
                <c:pt idx="0">
                  <c:v>Total</c:v>
                </c:pt>
              </c:strCache>
            </c:strRef>
          </c:tx>
          <c:spPr>
            <a:solidFill>
              <a:schemeClr val="accent1"/>
            </a:solidFill>
            <a:ln>
              <a:noFill/>
            </a:ln>
            <a:effectLst/>
          </c:spPr>
          <c:invertIfNegative val="0"/>
          <c:cat>
            <c:strRef>
              <c:f>an!$AQ$13:$AQ$22</c:f>
              <c:strCache>
                <c:ptCount val="10"/>
                <c:pt idx="0">
                  <c:v>JD.ID</c:v>
                </c:pt>
                <c:pt idx="1">
                  <c:v>Cruise</c:v>
                </c:pt>
                <c:pt idx="2">
                  <c:v>Klarna</c:v>
                </c:pt>
                <c:pt idx="3">
                  <c:v>Grab</c:v>
                </c:pt>
                <c:pt idx="4">
                  <c:v>Byju's</c:v>
                </c:pt>
                <c:pt idx="5">
                  <c:v>Airbnb</c:v>
                </c:pt>
                <c:pt idx="6">
                  <c:v>Gopuff</c:v>
                </c:pt>
                <c:pt idx="7">
                  <c:v>Argo AI</c:v>
                </c:pt>
                <c:pt idx="8">
                  <c:v>Delivery Hero</c:v>
                </c:pt>
                <c:pt idx="9">
                  <c:v>Bytedance</c:v>
                </c:pt>
              </c:strCache>
            </c:strRef>
          </c:cat>
          <c:val>
            <c:numRef>
              <c:f>an!$AR$13:$AR$22</c:f>
              <c:numCache>
                <c:formatCode>General</c:formatCode>
                <c:ptCount val="10"/>
                <c:pt idx="0">
                  <c:v>5100</c:v>
                </c:pt>
                <c:pt idx="1">
                  <c:v>5300</c:v>
                </c:pt>
                <c:pt idx="2">
                  <c:v>7400</c:v>
                </c:pt>
                <c:pt idx="3">
                  <c:v>9900</c:v>
                </c:pt>
                <c:pt idx="4">
                  <c:v>11000</c:v>
                </c:pt>
                <c:pt idx="5">
                  <c:v>11800</c:v>
                </c:pt>
                <c:pt idx="6">
                  <c:v>13600</c:v>
                </c:pt>
                <c:pt idx="7">
                  <c:v>14400</c:v>
                </c:pt>
                <c:pt idx="8">
                  <c:v>26500</c:v>
                </c:pt>
                <c:pt idx="9">
                  <c:v>35600</c:v>
                </c:pt>
              </c:numCache>
            </c:numRef>
          </c:val>
          <c:extLst>
            <c:ext xmlns:c16="http://schemas.microsoft.com/office/drawing/2014/chart" uri="{C3380CC4-5D6E-409C-BE32-E72D297353CC}">
              <c16:uniqueId val="{00000003-F176-4D27-AE25-1241DE382255}"/>
            </c:ext>
          </c:extLst>
        </c:ser>
        <c:dLbls>
          <c:showLegendKey val="0"/>
          <c:showVal val="0"/>
          <c:showCatName val="0"/>
          <c:showSerName val="0"/>
          <c:showPercent val="0"/>
          <c:showBubbleSize val="0"/>
        </c:dLbls>
        <c:gapWidth val="150"/>
        <c:overlap val="100"/>
        <c:axId val="1800539232"/>
        <c:axId val="1800539712"/>
      </c:barChart>
      <c:catAx>
        <c:axId val="180053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39712"/>
        <c:crosses val="autoZero"/>
        <c:auto val="1"/>
        <c:lblAlgn val="ctr"/>
        <c:lblOffset val="100"/>
        <c:noMultiLvlLbl val="0"/>
      </c:catAx>
      <c:valAx>
        <c:axId val="180053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3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[layoffs_dashboard.xlsx]an!PivotTable18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an!$AS$25</c:f>
              <c:strCache>
                <c:ptCount val="1"/>
                <c:pt idx="0">
                  <c:v>Total</c:v>
                </c:pt>
              </c:strCache>
            </c:strRef>
          </c:tx>
          <c:spPr>
            <a:solidFill>
              <a:schemeClr val="accent1"/>
            </a:solidFill>
            <a:ln>
              <a:noFill/>
            </a:ln>
            <a:effectLst/>
          </c:spPr>
          <c:invertIfNegative val="0"/>
          <c:cat>
            <c:strRef>
              <c:f>an!$AR$26:$AR$35</c:f>
              <c:strCache>
                <c:ptCount val="10"/>
                <c:pt idx="0">
                  <c:v>Travel</c:v>
                </c:pt>
                <c:pt idx="1">
                  <c:v>crypto</c:v>
                </c:pt>
                <c:pt idx="2">
                  <c:v>Real Estate</c:v>
                </c:pt>
                <c:pt idx="3">
                  <c:v>Education</c:v>
                </c:pt>
                <c:pt idx="4">
                  <c:v>Healthcare</c:v>
                </c:pt>
                <c:pt idx="5">
                  <c:v>Retail</c:v>
                </c:pt>
                <c:pt idx="6">
                  <c:v>Consumer</c:v>
                </c:pt>
                <c:pt idx="7">
                  <c:v>Finance</c:v>
                </c:pt>
                <c:pt idx="8">
                  <c:v>Transportation</c:v>
                </c:pt>
                <c:pt idx="9">
                  <c:v>Food</c:v>
                </c:pt>
              </c:strCache>
            </c:strRef>
          </c:cat>
          <c:val>
            <c:numRef>
              <c:f>an!$AS$26:$AS$35</c:f>
              <c:numCache>
                <c:formatCode>General</c:formatCode>
                <c:ptCount val="10"/>
                <c:pt idx="0">
                  <c:v>15315</c:v>
                </c:pt>
                <c:pt idx="1">
                  <c:v>15684</c:v>
                </c:pt>
                <c:pt idx="2">
                  <c:v>17590</c:v>
                </c:pt>
                <c:pt idx="3">
                  <c:v>18029</c:v>
                </c:pt>
                <c:pt idx="4">
                  <c:v>24504</c:v>
                </c:pt>
                <c:pt idx="5">
                  <c:v>26510</c:v>
                </c:pt>
                <c:pt idx="6">
                  <c:v>46332</c:v>
                </c:pt>
                <c:pt idx="7">
                  <c:v>46584</c:v>
                </c:pt>
                <c:pt idx="8">
                  <c:v>56085</c:v>
                </c:pt>
                <c:pt idx="9">
                  <c:v>74090</c:v>
                </c:pt>
              </c:numCache>
            </c:numRef>
          </c:val>
          <c:extLst>
            <c:ext xmlns:c16="http://schemas.microsoft.com/office/drawing/2014/chart" uri="{C3380CC4-5D6E-409C-BE32-E72D297353CC}">
              <c16:uniqueId val="{00000000-F440-412C-84FC-90AA992D8872}"/>
            </c:ext>
          </c:extLst>
        </c:ser>
        <c:dLbls>
          <c:showLegendKey val="0"/>
          <c:showVal val="0"/>
          <c:showCatName val="0"/>
          <c:showSerName val="0"/>
          <c:showPercent val="0"/>
          <c:showBubbleSize val="0"/>
        </c:dLbls>
        <c:gapWidth val="219"/>
        <c:overlap val="-27"/>
        <c:axId val="1800499392"/>
        <c:axId val="1800502272"/>
      </c:barChart>
      <c:catAx>
        <c:axId val="18004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02272"/>
        <c:crosses val="autoZero"/>
        <c:auto val="1"/>
        <c:lblAlgn val="ctr"/>
        <c:lblOffset val="100"/>
        <c:noMultiLvlLbl val="0"/>
      </c:catAx>
      <c:valAx>
        <c:axId val="180050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9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[layoffs_dashboard.xlsx]an!PivotTable17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an!$AR$12</c:f>
              <c:strCache>
                <c:ptCount val="1"/>
                <c:pt idx="0">
                  <c:v>Total</c:v>
                </c:pt>
              </c:strCache>
            </c:strRef>
          </c:tx>
          <c:spPr>
            <a:ln w="28575" cap="rnd">
              <a:solidFill>
                <a:schemeClr val="accent1"/>
              </a:solidFill>
              <a:round/>
            </a:ln>
            <a:effectLst/>
          </c:spPr>
          <c:marker>
            <c:symbol val="none"/>
          </c:marker>
          <c:cat>
            <c:strRef>
              <c:f>an!$AQ$13:$AQ$22</c:f>
              <c:strCache>
                <c:ptCount val="10"/>
                <c:pt idx="0">
                  <c:v>JD.ID</c:v>
                </c:pt>
                <c:pt idx="1">
                  <c:v>Cruise</c:v>
                </c:pt>
                <c:pt idx="2">
                  <c:v>Klarna</c:v>
                </c:pt>
                <c:pt idx="3">
                  <c:v>Grab</c:v>
                </c:pt>
                <c:pt idx="4">
                  <c:v>Byju's</c:v>
                </c:pt>
                <c:pt idx="5">
                  <c:v>Airbnb</c:v>
                </c:pt>
                <c:pt idx="6">
                  <c:v>Gopuff</c:v>
                </c:pt>
                <c:pt idx="7">
                  <c:v>Argo AI</c:v>
                </c:pt>
                <c:pt idx="8">
                  <c:v>Delivery Hero</c:v>
                </c:pt>
                <c:pt idx="9">
                  <c:v>Bytedance</c:v>
                </c:pt>
              </c:strCache>
            </c:strRef>
          </c:cat>
          <c:val>
            <c:numRef>
              <c:f>an!$AR$13:$AR$22</c:f>
              <c:numCache>
                <c:formatCode>General</c:formatCode>
                <c:ptCount val="10"/>
                <c:pt idx="0">
                  <c:v>5100</c:v>
                </c:pt>
                <c:pt idx="1">
                  <c:v>5300</c:v>
                </c:pt>
                <c:pt idx="2">
                  <c:v>7400</c:v>
                </c:pt>
                <c:pt idx="3">
                  <c:v>9900</c:v>
                </c:pt>
                <c:pt idx="4">
                  <c:v>11000</c:v>
                </c:pt>
                <c:pt idx="5">
                  <c:v>11800</c:v>
                </c:pt>
                <c:pt idx="6">
                  <c:v>13600</c:v>
                </c:pt>
                <c:pt idx="7">
                  <c:v>14400</c:v>
                </c:pt>
                <c:pt idx="8">
                  <c:v>26500</c:v>
                </c:pt>
                <c:pt idx="9">
                  <c:v>35600</c:v>
                </c:pt>
              </c:numCache>
            </c:numRef>
          </c:val>
          <c:smooth val="0"/>
          <c:extLst>
            <c:ext xmlns:c16="http://schemas.microsoft.com/office/drawing/2014/chart" uri="{C3380CC4-5D6E-409C-BE32-E72D297353CC}">
              <c16:uniqueId val="{00000000-52B6-4AFA-8774-99769B46F25A}"/>
            </c:ext>
          </c:extLst>
        </c:ser>
        <c:dLbls>
          <c:showLegendKey val="0"/>
          <c:showVal val="0"/>
          <c:showCatName val="0"/>
          <c:showSerName val="0"/>
          <c:showPercent val="0"/>
          <c:showBubbleSize val="0"/>
        </c:dLbls>
        <c:smooth val="0"/>
        <c:axId val="1866618624"/>
        <c:axId val="1866641664"/>
      </c:lineChart>
      <c:catAx>
        <c:axId val="18666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41664"/>
        <c:crosses val="autoZero"/>
        <c:auto val="1"/>
        <c:lblAlgn val="ctr"/>
        <c:lblOffset val="100"/>
        <c:noMultiLvlLbl val="0"/>
      </c:catAx>
      <c:valAx>
        <c:axId val="186664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[layoffs_dashboard.xlsx]an!month</c:name>
    <c:fmtId val="10"/>
  </c:pivotSource>
  <c:chart>
    <c:title>
      <c:tx>
        <c:rich>
          <a:bodyPr rot="0" spcFirstLastPara="1" vertOverflow="ellipsis" vert="horz" wrap="square" anchor="ctr" anchorCtr="1"/>
          <a:lstStyle/>
          <a:p>
            <a:pPr>
              <a:defRPr sz="1400" b="0" i="0" u="none" strike="noStrike" kern="1200" spc="0" baseline="0">
                <a:solidFill>
                  <a:srgbClr val="F59E0B"/>
                </a:solidFill>
                <a:latin typeface="+mn-lt"/>
                <a:ea typeface="+mn-ea"/>
                <a:cs typeface="+mn-cs"/>
              </a:defRPr>
            </a:pPr>
            <a:r>
              <a:rPr lang="en-CA" sz="1600" b="1" i="0" u="none" strike="noStrike" baseline="0">
                <a:solidFill>
                  <a:srgbClr val="F59E0B"/>
                </a:solidFill>
              </a:rPr>
              <a:t>Monthly Layoff Trend</a:t>
            </a:r>
            <a:endParaRPr lang="en-US" sz="1600" b="1">
              <a:solidFill>
                <a:srgbClr val="F59E0B"/>
              </a:solidFill>
            </a:endParaRPr>
          </a:p>
        </c:rich>
      </c:tx>
      <c:layout>
        <c:manualLayout>
          <c:xMode val="edge"/>
          <c:yMode val="edge"/>
          <c:x val="0.28034219394135684"/>
          <c:y val="2.8444430110243443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rgbClr val="F59E0B"/>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outerShdw blurRad="50800" dist="38100" algn="l" rotWithShape="0">
              <a:srgbClr val="1F3A8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a:outerShdw blurRad="50800" dist="38100" algn="l" rotWithShape="0">
              <a:srgbClr val="1F3A8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3618942895075"/>
          <c:y val="0.19259746024834898"/>
          <c:w val="0.85849677310494232"/>
          <c:h val="0.60392945243800122"/>
        </c:manualLayout>
      </c:layout>
      <c:lineChart>
        <c:grouping val="standard"/>
        <c:varyColors val="0"/>
        <c:ser>
          <c:idx val="0"/>
          <c:order val="0"/>
          <c:tx>
            <c:strRef>
              <c:f>an!$AJ$13</c:f>
              <c:strCache>
                <c:ptCount val="1"/>
                <c:pt idx="0">
                  <c:v>Total</c:v>
                </c:pt>
              </c:strCache>
            </c:strRef>
          </c:tx>
          <c:spPr>
            <a:ln w="28575" cap="rnd">
              <a:solidFill>
                <a:schemeClr val="accent1"/>
              </a:solidFill>
              <a:round/>
            </a:ln>
            <a:effectLst>
              <a:outerShdw blurRad="50800" dist="38100" dir="8100000" algn="tr"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an!$AI$14:$AI$25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an!$AJ$14:$AJ$25</c:f>
              <c:numCache>
                <c:formatCode>General</c:formatCode>
                <c:ptCount val="12"/>
                <c:pt idx="0">
                  <c:v>37872</c:v>
                </c:pt>
                <c:pt idx="1">
                  <c:v>17672</c:v>
                </c:pt>
                <c:pt idx="2">
                  <c:v>9144</c:v>
                </c:pt>
                <c:pt idx="3">
                  <c:v>19472</c:v>
                </c:pt>
                <c:pt idx="4">
                  <c:v>14756</c:v>
                </c:pt>
                <c:pt idx="5">
                  <c:v>20878</c:v>
                </c:pt>
                <c:pt idx="6">
                  <c:v>13632</c:v>
                </c:pt>
                <c:pt idx="7">
                  <c:v>10170</c:v>
                </c:pt>
                <c:pt idx="8">
                  <c:v>6190</c:v>
                </c:pt>
                <c:pt idx="9">
                  <c:v>12026</c:v>
                </c:pt>
                <c:pt idx="10">
                  <c:v>24318</c:v>
                </c:pt>
                <c:pt idx="11">
                  <c:v>7237</c:v>
                </c:pt>
              </c:numCache>
            </c:numRef>
          </c:val>
          <c:smooth val="0"/>
          <c:extLst>
            <c:ext xmlns:c16="http://schemas.microsoft.com/office/drawing/2014/chart" uri="{C3380CC4-5D6E-409C-BE32-E72D297353CC}">
              <c16:uniqueId val="{00000000-E2A5-4B00-83BC-607FBE173218}"/>
            </c:ext>
          </c:extLst>
        </c:ser>
        <c:dLbls>
          <c:showLegendKey val="0"/>
          <c:showVal val="0"/>
          <c:showCatName val="0"/>
          <c:showSerName val="0"/>
          <c:showPercent val="0"/>
          <c:showBubbleSize val="0"/>
        </c:dLbls>
        <c:smooth val="0"/>
        <c:axId val="395253984"/>
        <c:axId val="395266464"/>
      </c:lineChart>
      <c:catAx>
        <c:axId val="3952539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200" b="0" i="0" u="none" strike="noStrike" kern="1200" baseline="0">
                <a:solidFill>
                  <a:schemeClr val="bg2"/>
                </a:solidFill>
                <a:latin typeface="+mn-lt"/>
                <a:ea typeface="+mn-ea"/>
                <a:cs typeface="+mn-cs"/>
              </a:defRPr>
            </a:pPr>
            <a:endParaRPr lang="en-US"/>
          </a:p>
        </c:txPr>
        <c:crossAx val="395266464"/>
        <c:crosses val="autoZero"/>
        <c:auto val="1"/>
        <c:lblAlgn val="ctr"/>
        <c:lblOffset val="100"/>
        <c:noMultiLvlLbl val="0"/>
      </c:catAx>
      <c:valAx>
        <c:axId val="395266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baseline="0">
                <a:solidFill>
                  <a:schemeClr val="bg2"/>
                </a:solidFill>
                <a:latin typeface="+mn-lt"/>
                <a:ea typeface="+mn-ea"/>
                <a:cs typeface="+mn-cs"/>
              </a:defRPr>
            </a:pPr>
            <a:endParaRPr lang="en-US"/>
          </a:p>
        </c:txPr>
        <c:crossAx val="3952539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[layoffs_dashboard.xlsx]an!top 10 company layoffs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600" b="1" i="0" u="none" strike="noStrike" baseline="0">
                <a:solidFill>
                  <a:srgbClr val="F59E0B"/>
                </a:solidFill>
              </a:rPr>
              <a:t>Top 10 Companies by Layoffs</a:t>
            </a:r>
            <a:endParaRPr lang="en-CA" sz="1600" b="1">
              <a:solidFill>
                <a:srgbClr val="F59E0B"/>
              </a:solidFill>
            </a:endParaRPr>
          </a:p>
        </c:rich>
      </c:tx>
      <c:layout>
        <c:manualLayout>
          <c:xMode val="edge"/>
          <c:yMode val="edge"/>
          <c:x val="0.31338663223161639"/>
          <c:y val="5.6329789983288255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5586716092685"/>
          <c:y val="0.12048473446271238"/>
          <c:w val="0.84295533717459625"/>
          <c:h val="0.57082805606079823"/>
        </c:manualLayout>
      </c:layout>
      <c:barChart>
        <c:barDir val="col"/>
        <c:grouping val="clustered"/>
        <c:varyColors val="0"/>
        <c:ser>
          <c:idx val="0"/>
          <c:order val="0"/>
          <c:tx>
            <c:strRef>
              <c:f>an!$B$829</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an!$A$830:$A$839</c:f>
              <c:strCache>
                <c:ptCount val="10"/>
                <c:pt idx="0">
                  <c:v>Amazon</c:v>
                </c:pt>
                <c:pt idx="1">
                  <c:v>Google</c:v>
                </c:pt>
                <c:pt idx="2">
                  <c:v>Ericsson</c:v>
                </c:pt>
                <c:pt idx="3">
                  <c:v>Dell</c:v>
                </c:pt>
                <c:pt idx="4">
                  <c:v>Booking.com</c:v>
                </c:pt>
                <c:pt idx="5">
                  <c:v>Cisco</c:v>
                </c:pt>
                <c:pt idx="6">
                  <c:v>Byju's</c:v>
                </c:pt>
                <c:pt idx="7">
                  <c:v>Carvana</c:v>
                </c:pt>
                <c:pt idx="8">
                  <c:v>IBM</c:v>
                </c:pt>
                <c:pt idx="9">
                  <c:v>Better.com</c:v>
                </c:pt>
              </c:strCache>
            </c:strRef>
          </c:cat>
          <c:val>
            <c:numRef>
              <c:f>an!$B$830:$B$839</c:f>
              <c:numCache>
                <c:formatCode>General</c:formatCode>
                <c:ptCount val="10"/>
                <c:pt idx="0">
                  <c:v>18150</c:v>
                </c:pt>
                <c:pt idx="1">
                  <c:v>12000</c:v>
                </c:pt>
                <c:pt idx="2">
                  <c:v>8500</c:v>
                </c:pt>
                <c:pt idx="3">
                  <c:v>6650</c:v>
                </c:pt>
                <c:pt idx="4">
                  <c:v>4601</c:v>
                </c:pt>
                <c:pt idx="5">
                  <c:v>4100</c:v>
                </c:pt>
                <c:pt idx="6">
                  <c:v>4000</c:v>
                </c:pt>
                <c:pt idx="7">
                  <c:v>4000</c:v>
                </c:pt>
                <c:pt idx="8">
                  <c:v>3900</c:v>
                </c:pt>
                <c:pt idx="9">
                  <c:v>3900</c:v>
                </c:pt>
              </c:numCache>
            </c:numRef>
          </c:val>
          <c:extLst>
            <c:ext xmlns:c16="http://schemas.microsoft.com/office/drawing/2014/chart" uri="{C3380CC4-5D6E-409C-BE32-E72D297353CC}">
              <c16:uniqueId val="{00000000-60FD-4984-BFF8-70CD871C8D3A}"/>
            </c:ext>
          </c:extLst>
        </c:ser>
        <c:dLbls>
          <c:showLegendKey val="0"/>
          <c:showVal val="0"/>
          <c:showCatName val="0"/>
          <c:showSerName val="0"/>
          <c:showPercent val="0"/>
          <c:showBubbleSize val="0"/>
        </c:dLbls>
        <c:gapWidth val="70"/>
        <c:overlap val="-27"/>
        <c:axId val="772119679"/>
        <c:axId val="772120639"/>
      </c:barChart>
      <c:catAx>
        <c:axId val="7721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chemeClr val="bg1">
                    <a:lumMod val="95000"/>
                  </a:schemeClr>
                </a:solidFill>
                <a:latin typeface="+mn-lt"/>
                <a:ea typeface="+mn-ea"/>
                <a:cs typeface="+mn-cs"/>
              </a:defRPr>
            </a:pPr>
            <a:endParaRPr lang="en-US"/>
          </a:p>
        </c:txPr>
        <c:crossAx val="772120639"/>
        <c:crosses val="autoZero"/>
        <c:auto val="1"/>
        <c:lblAlgn val="ctr"/>
        <c:lblOffset val="100"/>
        <c:noMultiLvlLbl val="0"/>
      </c:catAx>
      <c:valAx>
        <c:axId val="77212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solidFill>
                <a:latin typeface="+mn-lt"/>
                <a:ea typeface="+mn-ea"/>
                <a:cs typeface="+mn-cs"/>
              </a:defRPr>
            </a:pPr>
            <a:endParaRPr lang="en-US"/>
          </a:p>
        </c:txPr>
        <c:crossAx val="7721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[layoffs_dashboard.xlsx]an!top 10 industry</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CA" sz="1600" b="1">
                <a:solidFill>
                  <a:srgbClr val="F59E0B"/>
                </a:solidFill>
              </a:rPr>
              <a:t>Top</a:t>
            </a:r>
            <a:r>
              <a:rPr lang="en-CA" sz="1600" b="1" baseline="0">
                <a:solidFill>
                  <a:srgbClr val="F59E0B"/>
                </a:solidFill>
              </a:rPr>
              <a:t> 10 industries by layoffs</a:t>
            </a:r>
            <a:endParaRPr lang="en-CA" sz="1600" b="1">
              <a:solidFill>
                <a:srgbClr val="F59E0B"/>
              </a:solidFill>
            </a:endParaRPr>
          </a:p>
        </c:rich>
      </c:tx>
      <c:layout>
        <c:manualLayout>
          <c:xMode val="edge"/>
          <c:yMode val="edge"/>
          <c:x val="0.32043498934547243"/>
          <c:y val="3.1232055401239692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4053738258477E-2"/>
          <c:y val="0.17585156255614828"/>
          <c:w val="0.86561720559675581"/>
          <c:h val="0.46785705679451184"/>
        </c:manualLayout>
      </c:layout>
      <c:barChart>
        <c:barDir val="col"/>
        <c:grouping val="clustered"/>
        <c:varyColors val="0"/>
        <c:ser>
          <c:idx val="0"/>
          <c:order val="0"/>
          <c:tx>
            <c:strRef>
              <c:f>an!$V$45</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an!$U$46:$U$55</c:f>
              <c:strCache>
                <c:ptCount val="10"/>
                <c:pt idx="0">
                  <c:v>Retail</c:v>
                </c:pt>
                <c:pt idx="1">
                  <c:v>Consumer</c:v>
                </c:pt>
                <c:pt idx="2">
                  <c:v>Food</c:v>
                </c:pt>
                <c:pt idx="3">
                  <c:v>Hardware</c:v>
                </c:pt>
                <c:pt idx="4">
                  <c:v>Transportation</c:v>
                </c:pt>
                <c:pt idx="5">
                  <c:v>Other</c:v>
                </c:pt>
                <c:pt idx="6">
                  <c:v>Finance</c:v>
                </c:pt>
                <c:pt idx="7">
                  <c:v>Travel</c:v>
                </c:pt>
                <c:pt idx="8">
                  <c:v>crypto</c:v>
                </c:pt>
                <c:pt idx="9">
                  <c:v>Real Estate</c:v>
                </c:pt>
              </c:strCache>
            </c:strRef>
          </c:cat>
          <c:val>
            <c:numRef>
              <c:f>an!$V$46:$V$55</c:f>
              <c:numCache>
                <c:formatCode>General</c:formatCode>
                <c:ptCount val="10"/>
                <c:pt idx="0">
                  <c:v>30545</c:v>
                </c:pt>
                <c:pt idx="1">
                  <c:v>20608</c:v>
                </c:pt>
                <c:pt idx="2">
                  <c:v>14045</c:v>
                </c:pt>
                <c:pt idx="3">
                  <c:v>13394</c:v>
                </c:pt>
                <c:pt idx="4">
                  <c:v>13290</c:v>
                </c:pt>
                <c:pt idx="5">
                  <c:v>13159</c:v>
                </c:pt>
                <c:pt idx="6">
                  <c:v>12045</c:v>
                </c:pt>
                <c:pt idx="7">
                  <c:v>9638</c:v>
                </c:pt>
                <c:pt idx="8">
                  <c:v>9397</c:v>
                </c:pt>
                <c:pt idx="9">
                  <c:v>9053</c:v>
                </c:pt>
              </c:numCache>
            </c:numRef>
          </c:val>
          <c:extLst>
            <c:ext xmlns:c16="http://schemas.microsoft.com/office/drawing/2014/chart" uri="{C3380CC4-5D6E-409C-BE32-E72D297353CC}">
              <c16:uniqueId val="{00000000-CA14-4EF8-A2C0-5D1D7CEE229D}"/>
            </c:ext>
          </c:extLst>
        </c:ser>
        <c:dLbls>
          <c:showLegendKey val="0"/>
          <c:showVal val="0"/>
          <c:showCatName val="0"/>
          <c:showSerName val="0"/>
          <c:showPercent val="0"/>
          <c:showBubbleSize val="0"/>
        </c:dLbls>
        <c:gapWidth val="70"/>
        <c:axId val="669271567"/>
        <c:axId val="669272047"/>
      </c:barChart>
      <c:catAx>
        <c:axId val="6692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50" b="0" i="0" u="none" strike="noStrike" kern="1200" baseline="0">
                <a:solidFill>
                  <a:schemeClr val="bg2"/>
                </a:solidFill>
                <a:latin typeface="+mn-lt"/>
                <a:ea typeface="+mn-ea"/>
                <a:cs typeface="+mn-cs"/>
              </a:defRPr>
            </a:pPr>
            <a:endParaRPr lang="en-US"/>
          </a:p>
        </c:txPr>
        <c:crossAx val="669272047"/>
        <c:crosses val="autoZero"/>
        <c:auto val="1"/>
        <c:lblAlgn val="ctr"/>
        <c:lblOffset val="100"/>
        <c:noMultiLvlLbl val="0"/>
      </c:catAx>
      <c:valAx>
        <c:axId val="66927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baseline="0">
                <a:solidFill>
                  <a:schemeClr val="bg2"/>
                </a:solidFill>
                <a:latin typeface="+mn-lt"/>
                <a:ea typeface="+mn-ea"/>
                <a:cs typeface="+mn-cs"/>
              </a:defRPr>
            </a:pPr>
            <a:endParaRPr lang="en-US"/>
          </a:p>
        </c:txPr>
        <c:crossAx val="6692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[layoffs_dashboard.xlsx]an!country</c:name>
    <c:fmtId val="23"/>
  </c:pivotSource>
  <c:chart>
    <c:title>
      <c:tx>
        <c:rich>
          <a:bodyPr rot="0" spcFirstLastPara="1" vertOverflow="ellipsis" vert="horz" wrap="square" anchor="ctr" anchorCtr="1"/>
          <a:lstStyle/>
          <a:p>
            <a:pPr>
              <a:defRPr lang="en-US" sz="1260" b="0" i="0" u="none" strike="noStrike" kern="1200" spc="0" baseline="0">
                <a:solidFill>
                  <a:schemeClr val="bg2"/>
                </a:solidFill>
                <a:latin typeface="+mn-lt"/>
                <a:ea typeface="+mn-ea"/>
                <a:cs typeface="+mn-cs"/>
              </a:defRPr>
            </a:pPr>
            <a:r>
              <a:rPr lang="en-US" sz="1600" b="1">
                <a:solidFill>
                  <a:srgbClr val="F59E0B"/>
                </a:solidFill>
              </a:rPr>
              <a:t>Top country</a:t>
            </a:r>
            <a:r>
              <a:rPr lang="en-US" sz="1600" b="1" baseline="0">
                <a:solidFill>
                  <a:srgbClr val="F59E0B"/>
                </a:solidFill>
              </a:rPr>
              <a:t> by layoffs</a:t>
            </a:r>
            <a:endParaRPr lang="en-US" sz="1600" b="1">
              <a:solidFill>
                <a:srgbClr val="F59E0B"/>
              </a:solidFill>
            </a:endParaRPr>
          </a:p>
        </c:rich>
      </c:tx>
      <c:layout>
        <c:manualLayout>
          <c:xMode val="edge"/>
          <c:yMode val="edge"/>
          <c:x val="0.31257593310558562"/>
          <c:y val="4.0089486588510956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6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an!$AD$53</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an!$AC$54:$AC$59</c:f>
              <c:strCache>
                <c:ptCount val="6"/>
                <c:pt idx="0">
                  <c:v>Brazil</c:v>
                </c:pt>
                <c:pt idx="1">
                  <c:v>India</c:v>
                </c:pt>
                <c:pt idx="2">
                  <c:v>Netherlands</c:v>
                </c:pt>
                <c:pt idx="3">
                  <c:v>Singapore</c:v>
                </c:pt>
                <c:pt idx="4">
                  <c:v>Sweden</c:v>
                </c:pt>
                <c:pt idx="5">
                  <c:v>United States</c:v>
                </c:pt>
              </c:strCache>
            </c:strRef>
          </c:cat>
          <c:val>
            <c:numRef>
              <c:f>an!$AD$54:$AD$59</c:f>
              <c:numCache>
                <c:formatCode>General</c:formatCode>
                <c:ptCount val="6"/>
                <c:pt idx="0">
                  <c:v>5647</c:v>
                </c:pt>
                <c:pt idx="1">
                  <c:v>13292</c:v>
                </c:pt>
                <c:pt idx="2">
                  <c:v>4765</c:v>
                </c:pt>
                <c:pt idx="3">
                  <c:v>5550</c:v>
                </c:pt>
                <c:pt idx="4">
                  <c:v>10124</c:v>
                </c:pt>
                <c:pt idx="5">
                  <c:v>130761</c:v>
                </c:pt>
              </c:numCache>
            </c:numRef>
          </c:val>
          <c:extLst>
            <c:ext xmlns:c16="http://schemas.microsoft.com/office/drawing/2014/chart" uri="{C3380CC4-5D6E-409C-BE32-E72D297353CC}">
              <c16:uniqueId val="{00000000-8AA3-4F4B-A5D9-EB149473EE03}"/>
            </c:ext>
          </c:extLst>
        </c:ser>
        <c:dLbls>
          <c:showLegendKey val="0"/>
          <c:showVal val="0"/>
          <c:showCatName val="0"/>
          <c:showSerName val="0"/>
          <c:showPercent val="0"/>
          <c:showBubbleSize val="0"/>
        </c:dLbls>
        <c:gapWidth val="30"/>
        <c:axId val="600283471"/>
        <c:axId val="600288751"/>
      </c:barChart>
      <c:catAx>
        <c:axId val="60028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bg2"/>
                </a:solidFill>
                <a:latin typeface="+mn-lt"/>
                <a:ea typeface="+mn-ea"/>
                <a:cs typeface="+mn-cs"/>
              </a:defRPr>
            </a:pPr>
            <a:endParaRPr lang="en-US"/>
          </a:p>
        </c:txPr>
        <c:crossAx val="600288751"/>
        <c:crosses val="autoZero"/>
        <c:auto val="1"/>
        <c:lblAlgn val="ctr"/>
        <c:lblOffset val="100"/>
        <c:noMultiLvlLbl val="0"/>
      </c:catAx>
      <c:valAx>
        <c:axId val="60028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bg2"/>
                </a:solidFill>
                <a:latin typeface="+mn-lt"/>
                <a:ea typeface="+mn-ea"/>
                <a:cs typeface="+mn-cs"/>
              </a:defRPr>
            </a:pPr>
            <a:endParaRPr lang="en-US"/>
          </a:p>
        </c:txPr>
        <c:crossAx val="60028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50" b="0"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600" b="1" i="0" u="none" strike="noStrike" baseline="0">
                <a:solidFill>
                  <a:srgbClr val="F59E0B"/>
                </a:solidFill>
              </a:rPr>
              <a:t>Funding vs Layoffs — Top Companies</a:t>
            </a:r>
            <a:endParaRPr lang="en-US" sz="16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9637476692910997E-2"/>
          <c:y val="0.11039515206323616"/>
          <c:w val="0.94225520437925403"/>
          <c:h val="0.83080164006647317"/>
        </c:manualLayout>
      </c:layout>
      <c:scatterChart>
        <c:scatterStyle val="lineMarker"/>
        <c:varyColors val="0"/>
        <c:ser>
          <c:idx val="0"/>
          <c:order val="0"/>
          <c:tx>
            <c:strRef>
              <c:f>an!$BU$1664</c:f>
              <c:strCache>
                <c:ptCount val="1"/>
                <c:pt idx="0">
                  <c:v>layoffs</c:v>
                </c:pt>
              </c:strCache>
            </c:strRef>
          </c:tx>
          <c:spPr>
            <a:ln w="19050" cap="rnd">
              <a:noFill/>
              <a:round/>
            </a:ln>
            <a:effectLst/>
          </c:spPr>
          <c:marker>
            <c:symbol val="circle"/>
            <c:size val="5"/>
            <c:spPr>
              <a:solidFill>
                <a:srgbClr val="F59E0B"/>
              </a:solidFill>
              <a:ln w="25400">
                <a:solidFill>
                  <a:srgbClr val="F59E0B"/>
                </a:solidFill>
                <a:bevel/>
              </a:ln>
              <a:effectLst/>
            </c:spPr>
          </c:marker>
          <c:dLbls>
            <c:dLbl>
              <c:idx val="0"/>
              <c:tx>
                <c:rich>
                  <a:bodyPr/>
                  <a:lstStyle/>
                  <a:p>
                    <a:fld id="{93958DC0-4177-483D-ADA0-3A481B38C2EE}"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529-4801-A8C9-9D286C0BF89C}"/>
                </c:ext>
              </c:extLst>
            </c:dLbl>
            <c:dLbl>
              <c:idx val="1"/>
              <c:tx>
                <c:rich>
                  <a:bodyPr/>
                  <a:lstStyle/>
                  <a:p>
                    <a:fld id="{17BD65DF-F585-4390-9648-B7A4A973913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529-4801-A8C9-9D286C0BF89C}"/>
                </c:ext>
              </c:extLst>
            </c:dLbl>
            <c:dLbl>
              <c:idx val="2"/>
              <c:tx>
                <c:rich>
                  <a:bodyPr/>
                  <a:lstStyle/>
                  <a:p>
                    <a:fld id="{1305D5EE-5AA4-44F8-B98E-ED91372A1F88}"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529-4801-A8C9-9D286C0BF89C}"/>
                </c:ext>
              </c:extLst>
            </c:dLbl>
            <c:dLbl>
              <c:idx val="3"/>
              <c:tx>
                <c:rich>
                  <a:bodyPr/>
                  <a:lstStyle/>
                  <a:p>
                    <a:fld id="{C66D742D-6062-464B-A71A-7113B2A441FC}"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529-4801-A8C9-9D286C0BF89C}"/>
                </c:ext>
              </c:extLst>
            </c:dLbl>
            <c:dLbl>
              <c:idx val="4"/>
              <c:layout>
                <c:manualLayout>
                  <c:x val="-2.063210848643917E-2"/>
                  <c:y val="-4.1500190815329456E-2"/>
                </c:manualLayout>
              </c:layout>
              <c:tx>
                <c:rich>
                  <a:bodyPr/>
                  <a:lstStyle/>
                  <a:p>
                    <a:fld id="{9FF5FDD4-AF3E-477A-9714-7F7FCA9346D3}"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529-4801-A8C9-9D286C0BF89C}"/>
                </c:ext>
              </c:extLst>
            </c:dLbl>
            <c:dLbl>
              <c:idx val="5"/>
              <c:tx>
                <c:rich>
                  <a:bodyPr/>
                  <a:lstStyle/>
                  <a:p>
                    <a:fld id="{DBEAB8C8-8B8A-4D0B-8BA3-80B0A695713F}"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529-4801-A8C9-9D286C0BF89C}"/>
                </c:ext>
              </c:extLst>
            </c:dLbl>
            <c:dLbl>
              <c:idx val="6"/>
              <c:layout>
                <c:manualLayout>
                  <c:x val="8.9026684164479446E-3"/>
                  <c:y val="-3.2671940600010517E-2"/>
                </c:manualLayout>
              </c:layout>
              <c:tx>
                <c:rich>
                  <a:bodyPr/>
                  <a:lstStyle/>
                  <a:p>
                    <a:fld id="{DAC9D55A-C572-4DBC-AEBC-42563C94DFCC}"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529-4801-A8C9-9D286C0BF89C}"/>
                </c:ext>
              </c:extLst>
            </c:dLbl>
            <c:dLbl>
              <c:idx val="7"/>
              <c:layout>
                <c:manualLayout>
                  <c:x val="-7.1534776902887134E-2"/>
                  <c:y val="-9.1526942035470099E-2"/>
                </c:manualLayout>
              </c:layout>
              <c:tx>
                <c:rich>
                  <a:bodyPr/>
                  <a:lstStyle/>
                  <a:p>
                    <a:fld id="{56B34A1F-1E5D-4E4A-9574-65542C14D08E}"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529-4801-A8C9-9D286C0BF89C}"/>
                </c:ext>
              </c:extLst>
            </c:dLbl>
            <c:dLbl>
              <c:idx val="8"/>
              <c:tx>
                <c:rich>
                  <a:bodyPr/>
                  <a:lstStyle/>
                  <a:p>
                    <a:fld id="{8E2D9E2A-2B2C-42D9-869A-6323F237DCEF}"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529-4801-A8C9-9D286C0BF89C}"/>
                </c:ext>
              </c:extLst>
            </c:dLbl>
            <c:dLbl>
              <c:idx val="9"/>
              <c:tx>
                <c:rich>
                  <a:bodyPr/>
                  <a:lstStyle/>
                  <a:p>
                    <a:fld id="{C89831F3-14C6-4FB5-8A3E-E547DD08D263}"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529-4801-A8C9-9D286C0BF89C}"/>
                </c:ext>
              </c:extLst>
            </c:dLbl>
            <c:dLbl>
              <c:idx val="10"/>
              <c:layout>
                <c:manualLayout>
                  <c:x val="-1.6888888888888887E-2"/>
                  <c:y val="-4.1500190815329456E-2"/>
                </c:manualLayout>
              </c:layout>
              <c:tx>
                <c:rich>
                  <a:bodyPr/>
                  <a:lstStyle/>
                  <a:p>
                    <a:fld id="{9174ECCB-22D2-42BC-9F3A-DE9CC0DE48DD}"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529-4801-A8C9-9D286C0BF89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59E0B"/>
                </a:solidFill>
                <a:prstDash val="lgDash"/>
              </a:ln>
              <a:effectLst/>
            </c:spPr>
            <c:trendlineType val="linear"/>
            <c:dispRSqr val="0"/>
            <c:dispEq val="0"/>
          </c:trendline>
          <c:xVal>
            <c:numRef>
              <c:f>an!$BT$1665:$BT$1675</c:f>
              <c:numCache>
                <c:formatCode>General</c:formatCode>
                <c:ptCount val="11"/>
                <c:pt idx="0">
                  <c:v>11800</c:v>
                </c:pt>
                <c:pt idx="1">
                  <c:v>11000</c:v>
                </c:pt>
                <c:pt idx="2">
                  <c:v>35600</c:v>
                </c:pt>
                <c:pt idx="3">
                  <c:v>3200</c:v>
                </c:pt>
                <c:pt idx="4">
                  <c:v>4800</c:v>
                </c:pt>
                <c:pt idx="5">
                  <c:v>13600</c:v>
                </c:pt>
                <c:pt idx="6">
                  <c:v>4200</c:v>
                </c:pt>
                <c:pt idx="7">
                  <c:v>3000</c:v>
                </c:pt>
                <c:pt idx="8">
                  <c:v>4100</c:v>
                </c:pt>
                <c:pt idx="9">
                  <c:v>7400</c:v>
                </c:pt>
                <c:pt idx="10">
                  <c:v>3678</c:v>
                </c:pt>
              </c:numCache>
            </c:numRef>
          </c:xVal>
          <c:yVal>
            <c:numRef>
              <c:f>an!$BU$1665:$BU$1675</c:f>
              <c:numCache>
                <c:formatCode>General</c:formatCode>
                <c:ptCount val="11"/>
                <c:pt idx="0">
                  <c:v>1930</c:v>
                </c:pt>
                <c:pt idx="1">
                  <c:v>4000</c:v>
                </c:pt>
                <c:pt idx="2">
                  <c:v>3750</c:v>
                </c:pt>
                <c:pt idx="3">
                  <c:v>4000</c:v>
                </c:pt>
                <c:pt idx="4">
                  <c:v>1096</c:v>
                </c:pt>
                <c:pt idx="5">
                  <c:v>2300</c:v>
                </c:pt>
                <c:pt idx="6">
                  <c:v>3800</c:v>
                </c:pt>
                <c:pt idx="7">
                  <c:v>1300</c:v>
                </c:pt>
                <c:pt idx="8">
                  <c:v>3074</c:v>
                </c:pt>
                <c:pt idx="9">
                  <c:v>800</c:v>
                </c:pt>
                <c:pt idx="10">
                  <c:v>1289</c:v>
                </c:pt>
              </c:numCache>
            </c:numRef>
          </c:yVal>
          <c:smooth val="0"/>
          <c:extLst>
            <c:ext xmlns:c15="http://schemas.microsoft.com/office/drawing/2012/chart" uri="{02D57815-91ED-43cb-92C2-25804820EDAC}">
              <c15:datalabelsRange>
                <c15:f>an!$BS$1664:$BS$1675</c15:f>
                <c15:dlblRangeCache>
                  <c:ptCount val="12"/>
                  <c:pt idx="0">
                    <c:v>company</c:v>
                  </c:pt>
                  <c:pt idx="1">
                    <c:v>airbnb</c:v>
                  </c:pt>
                  <c:pt idx="2">
                    <c:v>byju's</c:v>
                  </c:pt>
                  <c:pt idx="3">
                    <c:v>bytendance</c:v>
                  </c:pt>
                  <c:pt idx="4">
                    <c:v>carvana</c:v>
                  </c:pt>
                  <c:pt idx="5">
                    <c:v>compass</c:v>
                  </c:pt>
                  <c:pt idx="6">
                    <c:v>gopuff</c:v>
                  </c:pt>
                  <c:pt idx="7">
                    <c:v>groupon</c:v>
                  </c:pt>
                  <c:pt idx="8">
                    <c:v>juul</c:v>
                  </c:pt>
                  <c:pt idx="9">
                    <c:v>katerra</c:v>
                  </c:pt>
                  <c:pt idx="10">
                    <c:v>klarna</c:v>
                  </c:pt>
                  <c:pt idx="11">
                    <c:v>loft</c:v>
                  </c:pt>
                </c15:dlblRangeCache>
              </c15:datalabelsRange>
            </c:ext>
            <c:ext xmlns:c16="http://schemas.microsoft.com/office/drawing/2014/chart" uri="{C3380CC4-5D6E-409C-BE32-E72D297353CC}">
              <c16:uniqueId val="{0000000C-C529-4801-A8C9-9D286C0BF89C}"/>
            </c:ext>
          </c:extLst>
        </c:ser>
        <c:dLbls>
          <c:showLegendKey val="0"/>
          <c:showVal val="0"/>
          <c:showCatName val="0"/>
          <c:showSerName val="0"/>
          <c:showPercent val="0"/>
          <c:showBubbleSize val="0"/>
        </c:dLbls>
        <c:axId val="1645934607"/>
        <c:axId val="1645917807"/>
      </c:scatterChart>
      <c:valAx>
        <c:axId val="164593460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645917807"/>
        <c:crosses val="autoZero"/>
        <c:crossBetween val="midCat"/>
      </c:valAx>
      <c:valAx>
        <c:axId val="164591780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645934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59E0B"/>
                </a:solidFill>
              </a:rPr>
              <a:t>top indutries</a:t>
            </a:r>
            <a:r>
              <a:rPr lang="en-US" sz="1600" b="1" baseline="0">
                <a:solidFill>
                  <a:srgbClr val="F59E0B"/>
                </a:solidFill>
              </a:rPr>
              <a:t> by funding</a:t>
            </a:r>
            <a:endParaRPr lang="en-US" sz="16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an!$AS$25</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an!$AR$26:$AR$35</c:f>
              <c:strCache>
                <c:ptCount val="10"/>
                <c:pt idx="0">
                  <c:v>Travel</c:v>
                </c:pt>
                <c:pt idx="1">
                  <c:v>crypto</c:v>
                </c:pt>
                <c:pt idx="2">
                  <c:v>Real Estate</c:v>
                </c:pt>
                <c:pt idx="3">
                  <c:v>Education</c:v>
                </c:pt>
                <c:pt idx="4">
                  <c:v>Healthcare</c:v>
                </c:pt>
                <c:pt idx="5">
                  <c:v>Retail</c:v>
                </c:pt>
                <c:pt idx="6">
                  <c:v>Consumer</c:v>
                </c:pt>
                <c:pt idx="7">
                  <c:v>Finance</c:v>
                </c:pt>
                <c:pt idx="8">
                  <c:v>Transportation</c:v>
                </c:pt>
                <c:pt idx="9">
                  <c:v>Food</c:v>
                </c:pt>
              </c:strCache>
            </c:strRef>
          </c:cat>
          <c:val>
            <c:numRef>
              <c:f>an!$AS$26:$AS$35</c:f>
              <c:numCache>
                <c:formatCode>General</c:formatCode>
                <c:ptCount val="10"/>
                <c:pt idx="0">
                  <c:v>15315</c:v>
                </c:pt>
                <c:pt idx="1">
                  <c:v>15684</c:v>
                </c:pt>
                <c:pt idx="2">
                  <c:v>17590</c:v>
                </c:pt>
                <c:pt idx="3">
                  <c:v>18029</c:v>
                </c:pt>
                <c:pt idx="4">
                  <c:v>24504</c:v>
                </c:pt>
                <c:pt idx="5">
                  <c:v>26510</c:v>
                </c:pt>
                <c:pt idx="6">
                  <c:v>46332</c:v>
                </c:pt>
                <c:pt idx="7">
                  <c:v>46584</c:v>
                </c:pt>
                <c:pt idx="8">
                  <c:v>56085</c:v>
                </c:pt>
                <c:pt idx="9">
                  <c:v>74090</c:v>
                </c:pt>
              </c:numCache>
            </c:numRef>
          </c:val>
          <c:extLst>
            <c:ext xmlns:c16="http://schemas.microsoft.com/office/drawing/2014/chart" uri="{C3380CC4-5D6E-409C-BE32-E72D297353CC}">
              <c16:uniqueId val="{00000000-55DD-421D-B663-09B90008AA2F}"/>
            </c:ext>
          </c:extLst>
        </c:ser>
        <c:dLbls>
          <c:showLegendKey val="0"/>
          <c:showVal val="0"/>
          <c:showCatName val="0"/>
          <c:showSerName val="0"/>
          <c:showPercent val="0"/>
          <c:showBubbleSize val="0"/>
        </c:dLbls>
        <c:gapWidth val="70"/>
        <c:overlap val="-27"/>
        <c:axId val="1800499392"/>
        <c:axId val="1800502272"/>
      </c:barChart>
      <c:catAx>
        <c:axId val="18004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00502272"/>
        <c:crosses val="autoZero"/>
        <c:auto val="1"/>
        <c:lblAlgn val="ctr"/>
        <c:lblOffset val="100"/>
        <c:noMultiLvlLbl val="0"/>
      </c:catAx>
      <c:valAx>
        <c:axId val="180050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00499392"/>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[layoffs_dashboard.xlsx]an!PivotTable17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59E0B"/>
                </a:solidFill>
              </a:rPr>
              <a:t>Top</a:t>
            </a:r>
            <a:r>
              <a:rPr lang="en-US" sz="1600" b="1" baseline="0">
                <a:solidFill>
                  <a:srgbClr val="F59E0B"/>
                </a:solidFill>
              </a:rPr>
              <a:t> companies by funding</a:t>
            </a:r>
            <a:endParaRPr lang="en-US" sz="16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an!$AR$12</c:f>
              <c:strCache>
                <c:ptCount val="1"/>
                <c:pt idx="0">
                  <c:v>Total</c:v>
                </c:pt>
              </c:strCache>
            </c:strRef>
          </c:tx>
          <c:spPr>
            <a:ln w="28575" cap="rnd">
              <a:solidFill>
                <a:schemeClr val="accent1"/>
              </a:solidFill>
              <a:round/>
            </a:ln>
            <a:effectLst>
              <a:outerShdw blurRad="50800" dist="38100" dir="5400000" algn="t"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an!$AQ$13:$AQ$22</c:f>
              <c:strCache>
                <c:ptCount val="10"/>
                <c:pt idx="0">
                  <c:v>JD.ID</c:v>
                </c:pt>
                <c:pt idx="1">
                  <c:v>Cruise</c:v>
                </c:pt>
                <c:pt idx="2">
                  <c:v>Klarna</c:v>
                </c:pt>
                <c:pt idx="3">
                  <c:v>Grab</c:v>
                </c:pt>
                <c:pt idx="4">
                  <c:v>Byju's</c:v>
                </c:pt>
                <c:pt idx="5">
                  <c:v>Airbnb</c:v>
                </c:pt>
                <c:pt idx="6">
                  <c:v>Gopuff</c:v>
                </c:pt>
                <c:pt idx="7">
                  <c:v>Argo AI</c:v>
                </c:pt>
                <c:pt idx="8">
                  <c:v>Delivery Hero</c:v>
                </c:pt>
                <c:pt idx="9">
                  <c:v>Bytedance</c:v>
                </c:pt>
              </c:strCache>
            </c:strRef>
          </c:cat>
          <c:val>
            <c:numRef>
              <c:f>an!$AR$13:$AR$22</c:f>
              <c:numCache>
                <c:formatCode>General</c:formatCode>
                <c:ptCount val="10"/>
                <c:pt idx="0">
                  <c:v>5100</c:v>
                </c:pt>
                <c:pt idx="1">
                  <c:v>5300</c:v>
                </c:pt>
                <c:pt idx="2">
                  <c:v>7400</c:v>
                </c:pt>
                <c:pt idx="3">
                  <c:v>9900</c:v>
                </c:pt>
                <c:pt idx="4">
                  <c:v>11000</c:v>
                </c:pt>
                <c:pt idx="5">
                  <c:v>11800</c:v>
                </c:pt>
                <c:pt idx="6">
                  <c:v>13600</c:v>
                </c:pt>
                <c:pt idx="7">
                  <c:v>14400</c:v>
                </c:pt>
                <c:pt idx="8">
                  <c:v>26500</c:v>
                </c:pt>
                <c:pt idx="9">
                  <c:v>35600</c:v>
                </c:pt>
              </c:numCache>
            </c:numRef>
          </c:val>
          <c:smooth val="0"/>
          <c:extLst>
            <c:ext xmlns:c16="http://schemas.microsoft.com/office/drawing/2014/chart" uri="{C3380CC4-5D6E-409C-BE32-E72D297353CC}">
              <c16:uniqueId val="{00000000-2246-49A9-B494-C04FBF748CE8}"/>
            </c:ext>
          </c:extLst>
        </c:ser>
        <c:dLbls>
          <c:showLegendKey val="0"/>
          <c:showVal val="0"/>
          <c:showCatName val="0"/>
          <c:showSerName val="0"/>
          <c:showPercent val="0"/>
          <c:showBubbleSize val="0"/>
        </c:dLbls>
        <c:smooth val="0"/>
        <c:axId val="1866618624"/>
        <c:axId val="1866641664"/>
      </c:lineChart>
      <c:catAx>
        <c:axId val="18666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66641664"/>
        <c:crosses val="autoZero"/>
        <c:auto val="1"/>
        <c:lblAlgn val="ctr"/>
        <c:lblOffset val="100"/>
        <c:noMultiLvlLbl val="0"/>
      </c:catAx>
      <c:valAx>
        <c:axId val="186664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6661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hyperlink" Target="https://www.iconfinder.com/icons/11105499/resign_employee_career_quitting_layoff_icon" TargetMode="External"/><Relationship Id="rId7"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hyperlink" Target="#insights!A1"/></Relationships>
</file>

<file path=xl/drawings/_rels/drawing3.xml.rels><?xml version="1.0" encoding="UTF-8" standalone="yes"?>
<Relationships xmlns="http://schemas.openxmlformats.org/package/2006/relationships"><Relationship Id="rId8" Type="http://schemas.openxmlformats.org/officeDocument/2006/relationships/hyperlink" Target="#insights!A1"/><Relationship Id="rId3" Type="http://schemas.openxmlformats.org/officeDocument/2006/relationships/chart" Target="../charts/chart16.xml"/><Relationship Id="rId7" Type="http://schemas.openxmlformats.org/officeDocument/2006/relationships/hyperlink" Target="#overview!A1"/><Relationship Id="rId2" Type="http://schemas.openxmlformats.org/officeDocument/2006/relationships/chart" Target="../charts/chart15.xml"/><Relationship Id="rId1" Type="http://schemas.openxmlformats.org/officeDocument/2006/relationships/image" Target="../media/image3.png"/><Relationship Id="rId6" Type="http://schemas.openxmlformats.org/officeDocument/2006/relationships/hyperlink" Target="https://www.iconfinder.com/icons/11105499/resign_employee_career_quitting_layoff_icon" TargetMode="External"/><Relationship Id="rId5" Type="http://schemas.openxmlformats.org/officeDocument/2006/relationships/image" Target="../media/image2.png"/><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hyperlink" Target="https://www.iconfinder.com/icons/11105499/resign_employee_career_quitting_layoff_icon" TargetMode="External"/><Relationship Id="rId2" Type="http://schemas.openxmlformats.org/officeDocument/2006/relationships/image" Target="../media/image2.png"/><Relationship Id="rId1" Type="http://schemas.openxmlformats.org/officeDocument/2006/relationships/image" Target="../media/image4.png"/><Relationship Id="rId5" Type="http://schemas.openxmlformats.org/officeDocument/2006/relationships/hyperlink" Target="#overview!A1"/><Relationship Id="rId4" Type="http://schemas.openxmlformats.org/officeDocument/2006/relationships/hyperlink" Target="#analysis!A1"/></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754578</xdr:colOff>
      <xdr:row>842</xdr:row>
      <xdr:rowOff>125743</xdr:rowOff>
    </xdr:from>
    <xdr:to>
      <xdr:col>3</xdr:col>
      <xdr:colOff>624692</xdr:colOff>
      <xdr:row>857</xdr:row>
      <xdr:rowOff>11443</xdr:rowOff>
    </xdr:to>
    <xdr:graphicFrame macro="">
      <xdr:nvGraphicFramePr>
        <xdr:cNvPr id="5" name="Chart 4">
          <a:extLst>
            <a:ext uri="{FF2B5EF4-FFF2-40B4-BE49-F238E27FC236}">
              <a16:creationId xmlns:a16="http://schemas.microsoft.com/office/drawing/2014/main" id="{F0A013F3-288D-001A-35E3-61BB9A34B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1311486</xdr:colOff>
      <xdr:row>847</xdr:row>
      <xdr:rowOff>99454</xdr:rowOff>
    </xdr:from>
    <xdr:to>
      <xdr:col>7</xdr:col>
      <xdr:colOff>69988</xdr:colOff>
      <xdr:row>863</xdr:row>
      <xdr:rowOff>114600</xdr:rowOff>
    </xdr:to>
    <xdr:graphicFrame macro="">
      <xdr:nvGraphicFramePr>
        <xdr:cNvPr id="6" name="Chart 5">
          <a:extLst>
            <a:ext uri="{FF2B5EF4-FFF2-40B4-BE49-F238E27FC236}">
              <a16:creationId xmlns:a16="http://schemas.microsoft.com/office/drawing/2014/main" id="{B0E7476F-1E36-7D3B-A79B-469403CFC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374747</xdr:colOff>
      <xdr:row>60</xdr:row>
      <xdr:rowOff>173709</xdr:rowOff>
    </xdr:from>
    <xdr:to>
      <xdr:col>22</xdr:col>
      <xdr:colOff>245698</xdr:colOff>
      <xdr:row>74</xdr:row>
      <xdr:rowOff>50489</xdr:rowOff>
    </xdr:to>
    <xdr:graphicFrame macro="">
      <xdr:nvGraphicFramePr>
        <xdr:cNvPr id="7" name="Chart 6">
          <a:extLst>
            <a:ext uri="{FF2B5EF4-FFF2-40B4-BE49-F238E27FC236}">
              <a16:creationId xmlns:a16="http://schemas.microsoft.com/office/drawing/2014/main" id="{8FD45D88-ED39-3AB4-5B43-D3144D012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17</xdr:col>
      <xdr:colOff>576220</xdr:colOff>
      <xdr:row>852</xdr:row>
      <xdr:rowOff>31817</xdr:rowOff>
    </xdr:from>
    <xdr:ext cx="1824560" cy="1445641"/>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82BEC738-E0D3-075C-6502-FFE61053E2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044337" y="158122077"/>
              <a:ext cx="1824642" cy="144564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32</xdr:col>
      <xdr:colOff>112408</xdr:colOff>
      <xdr:row>38</xdr:row>
      <xdr:rowOff>24790</xdr:rowOff>
    </xdr:from>
    <xdr:to>
      <xdr:col>36</xdr:col>
      <xdr:colOff>1091512</xdr:colOff>
      <xdr:row>52</xdr:row>
      <xdr:rowOff>100990</xdr:rowOff>
    </xdr:to>
    <xdr:graphicFrame macro="">
      <xdr:nvGraphicFramePr>
        <xdr:cNvPr id="2" name="Chart 1">
          <a:extLst>
            <a:ext uri="{FF2B5EF4-FFF2-40B4-BE49-F238E27FC236}">
              <a16:creationId xmlns:a16="http://schemas.microsoft.com/office/drawing/2014/main" id="{0524CA5B-CCDA-BB17-C113-D7FFAF161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32</xdr:col>
      <xdr:colOff>246289</xdr:colOff>
      <xdr:row>8</xdr:row>
      <xdr:rowOff>58139</xdr:rowOff>
    </xdr:from>
    <xdr:ext cx="1814895" cy="3751861"/>
    <mc:AlternateContent xmlns:mc="http://schemas.openxmlformats.org/markup-compatibility/2006" xmlns:a14="http://schemas.microsoft.com/office/drawing/2010/main">
      <mc:Choice Requires="a14">
        <xdr:graphicFrame macro="">
          <xdr:nvGraphicFramePr>
            <xdr:cNvPr id="23" name="month new">
              <a:extLst>
                <a:ext uri="{FF2B5EF4-FFF2-40B4-BE49-F238E27FC236}">
                  <a16:creationId xmlns:a16="http://schemas.microsoft.com/office/drawing/2014/main" id="{EA43ED3C-159C-2681-978B-1262DA2FC8FB}"/>
                </a:ext>
              </a:extLst>
            </xdr:cNvPr>
            <xdr:cNvGraphicFramePr/>
          </xdr:nvGraphicFramePr>
          <xdr:xfrm>
            <a:off x="0" y="0"/>
            <a:ext cx="0" cy="0"/>
          </xdr:xfrm>
          <a:graphic>
            <a:graphicData uri="http://schemas.microsoft.com/office/drawing/2010/slicer">
              <sle:slicer xmlns:sle="http://schemas.microsoft.com/office/drawing/2010/slicer" name="month new"/>
            </a:graphicData>
          </a:graphic>
        </xdr:graphicFrame>
      </mc:Choice>
      <mc:Fallback xmlns="">
        <xdr:sp macro="" textlink="">
          <xdr:nvSpPr>
            <xdr:cNvPr id="0" name=""/>
            <xdr:cNvSpPr>
              <a:spLocks noTextEdit="1"/>
            </xdr:cNvSpPr>
          </xdr:nvSpPr>
          <xdr:spPr>
            <a:xfrm>
              <a:off x="35204276" y="1542555"/>
              <a:ext cx="1828800" cy="375186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29</xdr:col>
      <xdr:colOff>197922</xdr:colOff>
      <xdr:row>20</xdr:row>
      <xdr:rowOff>173182</xdr:rowOff>
    </xdr:from>
    <xdr:to>
      <xdr:col>31</xdr:col>
      <xdr:colOff>968580</xdr:colOff>
      <xdr:row>33</xdr:row>
      <xdr:rowOff>72737</xdr:rowOff>
    </xdr:to>
    <xdr:graphicFrame macro="">
      <xdr:nvGraphicFramePr>
        <xdr:cNvPr id="3" name="Chart 2">
          <a:extLst>
            <a:ext uri="{FF2B5EF4-FFF2-40B4-BE49-F238E27FC236}">
              <a16:creationId xmlns:a16="http://schemas.microsoft.com/office/drawing/2014/main" id="{08550827-A309-6676-7177-925EC10DF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14</xdr:col>
      <xdr:colOff>358734</xdr:colOff>
      <xdr:row>845</xdr:row>
      <xdr:rowOff>49481</xdr:rowOff>
    </xdr:from>
    <xdr:ext cx="1178073" cy="3654222"/>
    <mc:AlternateContent xmlns:mc="http://schemas.openxmlformats.org/markup-compatibility/2006" xmlns:a14="http://schemas.microsoft.com/office/drawing/2010/main">
      <mc:Choice Requires="a14">
        <xdr:graphicFrame macro="">
          <xdr:nvGraphicFramePr>
            <xdr:cNvPr id="8" name="month new 2">
              <a:extLst>
                <a:ext uri="{FF2B5EF4-FFF2-40B4-BE49-F238E27FC236}">
                  <a16:creationId xmlns:a16="http://schemas.microsoft.com/office/drawing/2014/main" id="{A384E3D4-91E6-431C-8D0C-1C86F2843E7C}"/>
                </a:ext>
              </a:extLst>
            </xdr:cNvPr>
            <xdr:cNvGraphicFramePr/>
          </xdr:nvGraphicFramePr>
          <xdr:xfrm>
            <a:off x="0" y="0"/>
            <a:ext cx="0" cy="0"/>
          </xdr:xfrm>
          <a:graphic>
            <a:graphicData uri="http://schemas.microsoft.com/office/drawing/2010/slicer">
              <sle:slicer xmlns:sle="http://schemas.microsoft.com/office/drawing/2010/slicer" name="month new 2"/>
            </a:graphicData>
          </a:graphic>
        </xdr:graphicFrame>
      </mc:Choice>
      <mc:Fallback xmlns="">
        <xdr:sp macro="" textlink="">
          <xdr:nvSpPr>
            <xdr:cNvPr id="0" name=""/>
            <xdr:cNvSpPr>
              <a:spLocks noTextEdit="1"/>
            </xdr:cNvSpPr>
          </xdr:nvSpPr>
          <xdr:spPr>
            <a:xfrm>
              <a:off x="20435455" y="156840877"/>
              <a:ext cx="1184258" cy="36542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30</xdr:col>
      <xdr:colOff>409959</xdr:colOff>
      <xdr:row>54</xdr:row>
      <xdr:rowOff>119365</xdr:rowOff>
    </xdr:from>
    <xdr:to>
      <xdr:col>34</xdr:col>
      <xdr:colOff>147421</xdr:colOff>
      <xdr:row>69</xdr:row>
      <xdr:rowOff>79286</xdr:rowOff>
    </xdr:to>
    <xdr:graphicFrame macro="">
      <xdr:nvGraphicFramePr>
        <xdr:cNvPr id="9" name="Chart 8">
          <a:extLst>
            <a:ext uri="{FF2B5EF4-FFF2-40B4-BE49-F238E27FC236}">
              <a16:creationId xmlns:a16="http://schemas.microsoft.com/office/drawing/2014/main" id="{E5B3C993-EF5B-80F5-9BFD-0BD12171D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59</xdr:col>
      <xdr:colOff>243690</xdr:colOff>
      <xdr:row>1062</xdr:row>
      <xdr:rowOff>138546</xdr:rowOff>
    </xdr:from>
    <xdr:to>
      <xdr:col>62</xdr:col>
      <xdr:colOff>1676151</xdr:colOff>
      <xdr:row>1676</xdr:row>
      <xdr:rowOff>186542</xdr:rowOff>
    </xdr:to>
    <xdr:graphicFrame macro="">
      <xdr:nvGraphicFramePr>
        <xdr:cNvPr id="15" name="Chart 14">
          <a:extLst>
            <a:ext uri="{FF2B5EF4-FFF2-40B4-BE49-F238E27FC236}">
              <a16:creationId xmlns:a16="http://schemas.microsoft.com/office/drawing/2014/main" id="{2B56EE01-BB80-9FA0-FAF3-B455B66CA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936417</xdr:colOff>
      <xdr:row>4</xdr:row>
      <xdr:rowOff>75704</xdr:rowOff>
    </xdr:from>
    <xdr:to>
      <xdr:col>49</xdr:col>
      <xdr:colOff>758287</xdr:colOff>
      <xdr:row>19</xdr:row>
      <xdr:rowOff>35625</xdr:rowOff>
    </xdr:to>
    <xdr:graphicFrame macro="">
      <xdr:nvGraphicFramePr>
        <xdr:cNvPr id="4" name="Chart 3">
          <a:extLst>
            <a:ext uri="{FF2B5EF4-FFF2-40B4-BE49-F238E27FC236}">
              <a16:creationId xmlns:a16="http://schemas.microsoft.com/office/drawing/2014/main" id="{80057861-AB04-A046-8C81-54F98C618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44</xdr:col>
      <xdr:colOff>948787</xdr:colOff>
      <xdr:row>8</xdr:row>
      <xdr:rowOff>100445</xdr:rowOff>
    </xdr:from>
    <xdr:to>
      <xdr:col>49</xdr:col>
      <xdr:colOff>770658</xdr:colOff>
      <xdr:row>23</xdr:row>
      <xdr:rowOff>60366</xdr:rowOff>
    </xdr:to>
    <xdr:graphicFrame macro="">
      <xdr:nvGraphicFramePr>
        <xdr:cNvPr id="11" name="Chart 10">
          <a:extLst>
            <a:ext uri="{FF2B5EF4-FFF2-40B4-BE49-F238E27FC236}">
              <a16:creationId xmlns:a16="http://schemas.microsoft.com/office/drawing/2014/main" id="{B080D9FB-1FB3-055D-C6D5-3A82B9668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51</xdr:col>
      <xdr:colOff>311727</xdr:colOff>
      <xdr:row>4</xdr:row>
      <xdr:rowOff>162296</xdr:rowOff>
    </xdr:from>
    <xdr:to>
      <xdr:col>56</xdr:col>
      <xdr:colOff>182583</xdr:colOff>
      <xdr:row>19</xdr:row>
      <xdr:rowOff>122217</xdr:rowOff>
    </xdr:to>
    <xdr:graphicFrame macro="">
      <xdr:nvGraphicFramePr>
        <xdr:cNvPr id="12" name="Chart 11">
          <a:extLst>
            <a:ext uri="{FF2B5EF4-FFF2-40B4-BE49-F238E27FC236}">
              <a16:creationId xmlns:a16="http://schemas.microsoft.com/office/drawing/2014/main" id="{2CA21200-AC8A-B096-BB54-D5131FED5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147661</xdr:colOff>
      <xdr:row>36</xdr:row>
      <xdr:rowOff>45852</xdr:rowOff>
    </xdr:to>
    <xdr:pic>
      <xdr:nvPicPr>
        <xdr:cNvPr id="22" name="Picture 21">
          <a:extLst>
            <a:ext uri="{FF2B5EF4-FFF2-40B4-BE49-F238E27FC236}">
              <a16:creationId xmlns:a16="http://schemas.microsoft.com/office/drawing/2014/main" id="{5020565F-D00D-9647-A020-52E54D6360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51567" cy="7011008"/>
        </a:xfrm>
        <a:prstGeom prst="rect">
          <a:avLst/>
        </a:prstGeom>
      </xdr:spPr>
    </xdr:pic>
    <xdr:clientData/>
  </xdr:twoCellAnchor>
  <xdr:twoCellAnchor>
    <xdr:from>
      <xdr:col>3</xdr:col>
      <xdr:colOff>163711</xdr:colOff>
      <xdr:row>0</xdr:row>
      <xdr:rowOff>89296</xdr:rowOff>
    </xdr:from>
    <xdr:to>
      <xdr:col>8</xdr:col>
      <xdr:colOff>238124</xdr:colOff>
      <xdr:row>2</xdr:row>
      <xdr:rowOff>178594</xdr:rowOff>
    </xdr:to>
    <xdr:sp macro="" textlink="">
      <xdr:nvSpPr>
        <xdr:cNvPr id="7" name="TextBox 6">
          <a:extLst>
            <a:ext uri="{FF2B5EF4-FFF2-40B4-BE49-F238E27FC236}">
              <a16:creationId xmlns:a16="http://schemas.microsoft.com/office/drawing/2014/main" id="{DAA353AC-32C2-A0B7-57B0-8C97D02BC637}"/>
            </a:ext>
          </a:extLst>
        </xdr:cNvPr>
        <xdr:cNvSpPr txBox="1"/>
      </xdr:nvSpPr>
      <xdr:spPr>
        <a:xfrm>
          <a:off x="1994297" y="89296"/>
          <a:ext cx="3125390" cy="47625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200" b="1">
              <a:solidFill>
                <a:schemeClr val="bg1"/>
              </a:solidFill>
            </a:rPr>
            <a:t>layoffs overview</a:t>
          </a:r>
        </a:p>
      </xdr:txBody>
    </xdr:sp>
    <xdr:clientData/>
  </xdr:twoCellAnchor>
  <xdr:twoCellAnchor>
    <xdr:from>
      <xdr:col>3</xdr:col>
      <xdr:colOff>13693</xdr:colOff>
      <xdr:row>5</xdr:row>
      <xdr:rowOff>73223</xdr:rowOff>
    </xdr:from>
    <xdr:to>
      <xdr:col>6</xdr:col>
      <xdr:colOff>74414</xdr:colOff>
      <xdr:row>7</xdr:row>
      <xdr:rowOff>104180</xdr:rowOff>
    </xdr:to>
    <xdr:sp macro="" textlink="">
      <xdr:nvSpPr>
        <xdr:cNvPr id="16" name="TextBox 15">
          <a:extLst>
            <a:ext uri="{FF2B5EF4-FFF2-40B4-BE49-F238E27FC236}">
              <a16:creationId xmlns:a16="http://schemas.microsoft.com/office/drawing/2014/main" id="{D79FCE47-4496-48B8-BD97-BE674F5E8AB8}"/>
            </a:ext>
          </a:extLst>
        </xdr:cNvPr>
        <xdr:cNvSpPr txBox="1"/>
      </xdr:nvSpPr>
      <xdr:spPr>
        <a:xfrm>
          <a:off x="1844279" y="1040606"/>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total</a:t>
          </a:r>
          <a:r>
            <a:rPr lang="en-CA" sz="1700" b="1">
              <a:solidFill>
                <a:schemeClr val="bg1"/>
              </a:solidFill>
            </a:rPr>
            <a:t> </a:t>
          </a:r>
          <a:r>
            <a:rPr lang="en-CA" sz="1800" b="1">
              <a:solidFill>
                <a:schemeClr val="bg1"/>
              </a:solidFill>
              <a:latin typeface="+mn-lt"/>
              <a:ea typeface="+mn-ea"/>
              <a:cs typeface="+mn-cs"/>
            </a:rPr>
            <a:t>layoffs</a:t>
          </a:r>
        </a:p>
      </xdr:txBody>
    </xdr:sp>
    <xdr:clientData/>
  </xdr:twoCellAnchor>
  <xdr:twoCellAnchor>
    <xdr:from>
      <xdr:col>4</xdr:col>
      <xdr:colOff>17263</xdr:colOff>
      <xdr:row>2</xdr:row>
      <xdr:rowOff>121444</xdr:rowOff>
    </xdr:from>
    <xdr:to>
      <xdr:col>8</xdr:col>
      <xdr:colOff>136324</xdr:colOff>
      <xdr:row>4</xdr:row>
      <xdr:rowOff>89298</xdr:rowOff>
    </xdr:to>
    <xdr:sp macro="" textlink="">
      <xdr:nvSpPr>
        <xdr:cNvPr id="17" name="TextBox 16">
          <a:extLst>
            <a:ext uri="{FF2B5EF4-FFF2-40B4-BE49-F238E27FC236}">
              <a16:creationId xmlns:a16="http://schemas.microsoft.com/office/drawing/2014/main" id="{63B73FA8-05D4-40E6-AEBB-DFE643F07E9E}"/>
            </a:ext>
          </a:extLst>
        </xdr:cNvPr>
        <xdr:cNvSpPr txBox="1"/>
      </xdr:nvSpPr>
      <xdr:spPr>
        <a:xfrm>
          <a:off x="2458044" y="508397"/>
          <a:ext cx="2559843" cy="35480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solidFill>
                <a:srgbClr val="F59E0B"/>
              </a:solidFill>
            </a:rPr>
            <a:t>interactive</a:t>
          </a:r>
          <a:r>
            <a:rPr lang="en-CA" sz="1800" b="1" baseline="0">
              <a:solidFill>
                <a:srgbClr val="F59E0B"/>
              </a:solidFill>
            </a:rPr>
            <a:t> dashboard</a:t>
          </a:r>
          <a:endParaRPr lang="en-CA" sz="1800" b="1">
            <a:solidFill>
              <a:srgbClr val="F59E0B"/>
            </a:solidFill>
          </a:endParaRPr>
        </a:p>
      </xdr:txBody>
    </xdr:sp>
    <xdr:clientData/>
  </xdr:twoCellAnchor>
  <xdr:twoCellAnchor>
    <xdr:from>
      <xdr:col>6</xdr:col>
      <xdr:colOff>225623</xdr:colOff>
      <xdr:row>5</xdr:row>
      <xdr:rowOff>76795</xdr:rowOff>
    </xdr:from>
    <xdr:to>
      <xdr:col>9</xdr:col>
      <xdr:colOff>286344</xdr:colOff>
      <xdr:row>7</xdr:row>
      <xdr:rowOff>107752</xdr:rowOff>
    </xdr:to>
    <xdr:sp macro="" textlink="">
      <xdr:nvSpPr>
        <xdr:cNvPr id="2" name="TextBox 1">
          <a:extLst>
            <a:ext uri="{FF2B5EF4-FFF2-40B4-BE49-F238E27FC236}">
              <a16:creationId xmlns:a16="http://schemas.microsoft.com/office/drawing/2014/main" id="{E9CA5257-A0FC-4628-810C-18BECEFA5F2B}"/>
            </a:ext>
          </a:extLst>
        </xdr:cNvPr>
        <xdr:cNvSpPr txBox="1"/>
      </xdr:nvSpPr>
      <xdr:spPr>
        <a:xfrm>
          <a:off x="3886795" y="1044178"/>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CA" sz="1700" b="1">
              <a:solidFill>
                <a:schemeClr val="bg1"/>
              </a:solidFill>
              <a:latin typeface="+mn-lt"/>
              <a:ea typeface="+mn-ea"/>
              <a:cs typeface="+mn-cs"/>
            </a:rPr>
            <a:t>total companies</a:t>
          </a:r>
        </a:p>
      </xdr:txBody>
    </xdr:sp>
    <xdr:clientData/>
  </xdr:twoCellAnchor>
  <xdr:twoCellAnchor>
    <xdr:from>
      <xdr:col>9</xdr:col>
      <xdr:colOff>556619</xdr:colOff>
      <xdr:row>5</xdr:row>
      <xdr:rowOff>95250</xdr:rowOff>
    </xdr:from>
    <xdr:to>
      <xdr:col>13</xdr:col>
      <xdr:colOff>7145</xdr:colOff>
      <xdr:row>7</xdr:row>
      <xdr:rowOff>126207</xdr:rowOff>
    </xdr:to>
    <xdr:sp macro="" textlink="">
      <xdr:nvSpPr>
        <xdr:cNvPr id="3" name="TextBox 2">
          <a:extLst>
            <a:ext uri="{FF2B5EF4-FFF2-40B4-BE49-F238E27FC236}">
              <a16:creationId xmlns:a16="http://schemas.microsoft.com/office/drawing/2014/main" id="{1C088757-F767-4A78-8658-FAB05C93B9DB}"/>
            </a:ext>
          </a:extLst>
        </xdr:cNvPr>
        <xdr:cNvSpPr txBox="1"/>
      </xdr:nvSpPr>
      <xdr:spPr>
        <a:xfrm>
          <a:off x="6048377" y="1062633"/>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CA" sz="1700" b="1">
              <a:solidFill>
                <a:schemeClr val="bg1"/>
              </a:solidFill>
              <a:latin typeface="+mn-lt"/>
              <a:ea typeface="+mn-ea"/>
              <a:cs typeface="+mn-cs"/>
            </a:rPr>
            <a:t>100% Layoff Rate</a:t>
          </a:r>
        </a:p>
      </xdr:txBody>
    </xdr:sp>
    <xdr:clientData/>
  </xdr:twoCellAnchor>
  <xdr:twoCellAnchor>
    <xdr:from>
      <xdr:col>13</xdr:col>
      <xdr:colOff>470894</xdr:colOff>
      <xdr:row>5</xdr:row>
      <xdr:rowOff>98822</xdr:rowOff>
    </xdr:from>
    <xdr:to>
      <xdr:col>16</xdr:col>
      <xdr:colOff>531615</xdr:colOff>
      <xdr:row>7</xdr:row>
      <xdr:rowOff>129779</xdr:rowOff>
    </xdr:to>
    <xdr:sp macro="" textlink="">
      <xdr:nvSpPr>
        <xdr:cNvPr id="4" name="TextBox 3">
          <a:extLst>
            <a:ext uri="{FF2B5EF4-FFF2-40B4-BE49-F238E27FC236}">
              <a16:creationId xmlns:a16="http://schemas.microsoft.com/office/drawing/2014/main" id="{97DE1F6B-40E0-47D9-B354-96F1E9329311}"/>
            </a:ext>
          </a:extLst>
        </xdr:cNvPr>
        <xdr:cNvSpPr txBox="1"/>
      </xdr:nvSpPr>
      <xdr:spPr>
        <a:xfrm>
          <a:off x="8403433" y="1066205"/>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top industry</a:t>
          </a:r>
          <a:endParaRPr lang="en-CA" sz="1800" b="1">
            <a:solidFill>
              <a:schemeClr val="bg1"/>
            </a:solidFill>
            <a:latin typeface="+mn-lt"/>
            <a:ea typeface="+mn-ea"/>
            <a:cs typeface="+mn-cs"/>
          </a:endParaRPr>
        </a:p>
      </xdr:txBody>
    </xdr:sp>
    <xdr:clientData/>
  </xdr:twoCellAnchor>
  <xdr:twoCellAnchor>
    <xdr:from>
      <xdr:col>17</xdr:col>
      <xdr:colOff>236341</xdr:colOff>
      <xdr:row>5</xdr:row>
      <xdr:rowOff>87510</xdr:rowOff>
    </xdr:from>
    <xdr:to>
      <xdr:col>20</xdr:col>
      <xdr:colOff>297062</xdr:colOff>
      <xdr:row>7</xdr:row>
      <xdr:rowOff>118467</xdr:rowOff>
    </xdr:to>
    <xdr:sp macro="" textlink="">
      <xdr:nvSpPr>
        <xdr:cNvPr id="5" name="TextBox 4">
          <a:extLst>
            <a:ext uri="{FF2B5EF4-FFF2-40B4-BE49-F238E27FC236}">
              <a16:creationId xmlns:a16="http://schemas.microsoft.com/office/drawing/2014/main" id="{00E8F81C-747E-4972-B11C-328870810BCF}"/>
            </a:ext>
          </a:extLst>
        </xdr:cNvPr>
        <xdr:cNvSpPr txBox="1"/>
      </xdr:nvSpPr>
      <xdr:spPr>
        <a:xfrm>
          <a:off x="10609661" y="1054893"/>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top country</a:t>
          </a:r>
          <a:endParaRPr lang="en-CA" sz="1800" b="1">
            <a:solidFill>
              <a:schemeClr val="bg1"/>
            </a:solidFill>
            <a:latin typeface="+mn-lt"/>
            <a:ea typeface="+mn-ea"/>
            <a:cs typeface="+mn-cs"/>
          </a:endParaRPr>
        </a:p>
      </xdr:txBody>
    </xdr:sp>
    <xdr:clientData/>
  </xdr:twoCellAnchor>
  <xdr:twoCellAnchor editAs="oneCell">
    <xdr:from>
      <xdr:col>0</xdr:col>
      <xdr:colOff>312539</xdr:colOff>
      <xdr:row>1</xdr:row>
      <xdr:rowOff>116860</xdr:rowOff>
    </xdr:from>
    <xdr:to>
      <xdr:col>1</xdr:col>
      <xdr:colOff>565548</xdr:colOff>
      <xdr:row>6</xdr:row>
      <xdr:rowOff>12682</xdr:rowOff>
    </xdr:to>
    <xdr:pic>
      <xdr:nvPicPr>
        <xdr:cNvPr id="24" name="Picture 23">
          <a:extLst>
            <a:ext uri="{FF2B5EF4-FFF2-40B4-BE49-F238E27FC236}">
              <a16:creationId xmlns:a16="http://schemas.microsoft.com/office/drawing/2014/main" id="{240E27E9-D107-75FC-CC13-32FC32F6137B}"/>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312539" y="310337"/>
          <a:ext cx="863204" cy="863204"/>
        </a:xfrm>
        <a:prstGeom prst="rect">
          <a:avLst/>
        </a:prstGeom>
      </xdr:spPr>
    </xdr:pic>
    <xdr:clientData/>
  </xdr:twoCellAnchor>
  <xdr:twoCellAnchor>
    <xdr:from>
      <xdr:col>3</xdr:col>
      <xdr:colOff>210740</xdr:colOff>
      <xdr:row>7</xdr:row>
      <xdr:rowOff>2381</xdr:rowOff>
    </xdr:from>
    <xdr:to>
      <xdr:col>6</xdr:col>
      <xdr:colOff>271461</xdr:colOff>
      <xdr:row>9</xdr:row>
      <xdr:rowOff>33338</xdr:rowOff>
    </xdr:to>
    <xdr:sp macro="" textlink="an!M845">
      <xdr:nvSpPr>
        <xdr:cNvPr id="25" name="TextBox 24">
          <a:extLst>
            <a:ext uri="{FF2B5EF4-FFF2-40B4-BE49-F238E27FC236}">
              <a16:creationId xmlns:a16="http://schemas.microsoft.com/office/drawing/2014/main" id="{EB5DF8AF-E63B-48FD-9E1E-9E720466F48E}"/>
            </a:ext>
          </a:extLst>
        </xdr:cNvPr>
        <xdr:cNvSpPr txBox="1"/>
      </xdr:nvSpPr>
      <xdr:spPr>
        <a:xfrm>
          <a:off x="2041326" y="1356717"/>
          <a:ext cx="1891307"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200F7A-8E48-473D-AF1C-A3797CC73E49}" type="TxLink">
            <a:rPr lang="en-US" sz="1800" b="1" i="0" u="none" strike="noStrike">
              <a:solidFill>
                <a:srgbClr val="F59E0B"/>
              </a:solidFill>
              <a:latin typeface="Calibri"/>
              <a:ea typeface="+mn-ea"/>
              <a:cs typeface="Calibri"/>
            </a:rPr>
            <a:pPr/>
            <a:t> 193,367 </a:t>
          </a:fld>
          <a:endParaRPr lang="en-CA" sz="2000" b="1">
            <a:solidFill>
              <a:schemeClr val="bg1"/>
            </a:solidFill>
            <a:latin typeface="+mn-lt"/>
            <a:ea typeface="+mn-ea"/>
            <a:cs typeface="+mn-cs"/>
          </a:endParaRPr>
        </a:p>
      </xdr:txBody>
    </xdr:sp>
    <xdr:clientData/>
  </xdr:twoCellAnchor>
  <xdr:twoCellAnchor editAs="oneCell">
    <xdr:from>
      <xdr:col>0</xdr:col>
      <xdr:colOff>133945</xdr:colOff>
      <xdr:row>6</xdr:row>
      <xdr:rowOff>193475</xdr:rowOff>
    </xdr:from>
    <xdr:to>
      <xdr:col>2</xdr:col>
      <xdr:colOff>148828</xdr:colOff>
      <xdr:row>14</xdr:row>
      <xdr:rowOff>104179</xdr:rowOff>
    </xdr:to>
    <mc:AlternateContent xmlns:mc="http://schemas.openxmlformats.org/markup-compatibility/2006" xmlns:a14="http://schemas.microsoft.com/office/drawing/2010/main">
      <mc:Choice Requires="a14">
        <xdr:graphicFrame macro="">
          <xdr:nvGraphicFramePr>
            <xdr:cNvPr id="26" name="year 2">
              <a:extLst>
                <a:ext uri="{FF2B5EF4-FFF2-40B4-BE49-F238E27FC236}">
                  <a16:creationId xmlns:a16="http://schemas.microsoft.com/office/drawing/2014/main" id="{84C9EBFE-6DA1-4975-8AB2-15BD0AC2A8F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3945" y="1354334"/>
              <a:ext cx="1235274" cy="145851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482204</xdr:colOff>
      <xdr:row>7</xdr:row>
      <xdr:rowOff>20835</xdr:rowOff>
    </xdr:from>
    <xdr:to>
      <xdr:col>16</xdr:col>
      <xdr:colOff>89298</xdr:colOff>
      <xdr:row>9</xdr:row>
      <xdr:rowOff>51792</xdr:rowOff>
    </xdr:to>
    <xdr:sp macro="" textlink="an!AD841">
      <xdr:nvSpPr>
        <xdr:cNvPr id="27" name="TextBox 26">
          <a:extLst>
            <a:ext uri="{FF2B5EF4-FFF2-40B4-BE49-F238E27FC236}">
              <a16:creationId xmlns:a16="http://schemas.microsoft.com/office/drawing/2014/main" id="{D398B392-47B8-47D5-868E-5C50AA475EF8}"/>
            </a:ext>
          </a:extLst>
        </xdr:cNvPr>
        <xdr:cNvSpPr txBox="1"/>
      </xdr:nvSpPr>
      <xdr:spPr>
        <a:xfrm>
          <a:off x="9024938" y="1375171"/>
          <a:ext cx="827485"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1E573D-9903-4CFF-99D5-C72E7AB9F8A0}" type="TxLink">
            <a:rPr lang="en-US" sz="1600" b="1" i="0" u="none" strike="noStrike">
              <a:solidFill>
                <a:srgbClr val="F59E0B"/>
              </a:solidFill>
              <a:latin typeface="Calibri"/>
              <a:ea typeface="+mn-ea"/>
              <a:cs typeface="Calibri"/>
            </a:rPr>
            <a:pPr/>
            <a:t> 30,545 </a:t>
          </a:fld>
          <a:endParaRPr lang="en-CA" sz="1800" b="1">
            <a:solidFill>
              <a:schemeClr val="bg1"/>
            </a:solidFill>
            <a:latin typeface="+mn-lt"/>
            <a:ea typeface="+mn-ea"/>
            <a:cs typeface="+mn-cs"/>
          </a:endParaRPr>
        </a:p>
      </xdr:txBody>
    </xdr:sp>
    <xdr:clientData/>
  </xdr:twoCellAnchor>
  <xdr:twoCellAnchor>
    <xdr:from>
      <xdr:col>16</xdr:col>
      <xdr:colOff>441127</xdr:colOff>
      <xdr:row>7</xdr:row>
      <xdr:rowOff>39291</xdr:rowOff>
    </xdr:from>
    <xdr:to>
      <xdr:col>19</xdr:col>
      <xdr:colOff>312539</xdr:colOff>
      <xdr:row>9</xdr:row>
      <xdr:rowOff>70248</xdr:rowOff>
    </xdr:to>
    <xdr:sp macro="" textlink="an!W844">
      <xdr:nvSpPr>
        <xdr:cNvPr id="28" name="TextBox 27">
          <a:extLst>
            <a:ext uri="{FF2B5EF4-FFF2-40B4-BE49-F238E27FC236}">
              <a16:creationId xmlns:a16="http://schemas.microsoft.com/office/drawing/2014/main" id="{307476DD-8B16-4324-A3C7-A296213223B7}"/>
            </a:ext>
          </a:extLst>
        </xdr:cNvPr>
        <xdr:cNvSpPr txBox="1"/>
      </xdr:nvSpPr>
      <xdr:spPr>
        <a:xfrm>
          <a:off x="10204252" y="1393627"/>
          <a:ext cx="1701998"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B67FC1-79DE-4CF5-AA33-F63ACA5ABB74}" type="TxLink">
            <a:rPr lang="en-US" sz="1500" b="1" i="0" u="none" strike="noStrike">
              <a:solidFill>
                <a:srgbClr val="F59E0B"/>
              </a:solidFill>
              <a:latin typeface="Calibri"/>
              <a:ea typeface="+mn-ea"/>
              <a:cs typeface="Calibri"/>
            </a:rPr>
            <a:pPr/>
            <a:t>United States</a:t>
          </a:fld>
          <a:endParaRPr lang="en-CA" sz="1500" b="1">
            <a:solidFill>
              <a:schemeClr val="bg1"/>
            </a:solidFill>
            <a:latin typeface="+mn-lt"/>
            <a:ea typeface="+mn-ea"/>
            <a:cs typeface="+mn-cs"/>
          </a:endParaRPr>
        </a:p>
      </xdr:txBody>
    </xdr:sp>
    <xdr:clientData/>
  </xdr:twoCellAnchor>
  <xdr:twoCellAnchor>
    <xdr:from>
      <xdr:col>10</xdr:col>
      <xdr:colOff>504230</xdr:colOff>
      <xdr:row>7</xdr:row>
      <xdr:rowOff>13098</xdr:rowOff>
    </xdr:from>
    <xdr:to>
      <xdr:col>13</xdr:col>
      <xdr:colOff>564951</xdr:colOff>
      <xdr:row>9</xdr:row>
      <xdr:rowOff>44055</xdr:rowOff>
    </xdr:to>
    <xdr:sp macro="" textlink="an!AC850">
      <xdr:nvSpPr>
        <xdr:cNvPr id="29" name="TextBox 28">
          <a:extLst>
            <a:ext uri="{FF2B5EF4-FFF2-40B4-BE49-F238E27FC236}">
              <a16:creationId xmlns:a16="http://schemas.microsoft.com/office/drawing/2014/main" id="{10CF6DB7-5CB1-47B6-B586-592711DAE77F}"/>
            </a:ext>
          </a:extLst>
        </xdr:cNvPr>
        <xdr:cNvSpPr txBox="1"/>
      </xdr:nvSpPr>
      <xdr:spPr>
        <a:xfrm>
          <a:off x="6606183" y="1367434"/>
          <a:ext cx="1891307"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063971-E77F-4C20-B85C-F51A0EC082BE}" type="TxLink">
            <a:rPr lang="en-US" sz="1600" b="1" i="0" u="none" strike="noStrike">
              <a:solidFill>
                <a:srgbClr val="F59E0B"/>
              </a:solidFill>
              <a:latin typeface="Calibri"/>
              <a:ea typeface="+mn-ea"/>
              <a:cs typeface="Calibri"/>
            </a:rPr>
            <a:pPr/>
            <a:t>7%</a:t>
          </a:fld>
          <a:endParaRPr lang="en-CA" sz="1800" b="1">
            <a:solidFill>
              <a:schemeClr val="bg1"/>
            </a:solidFill>
            <a:latin typeface="+mn-lt"/>
            <a:ea typeface="+mn-ea"/>
            <a:cs typeface="+mn-cs"/>
          </a:endParaRPr>
        </a:p>
      </xdr:txBody>
    </xdr:sp>
    <xdr:clientData/>
  </xdr:twoCellAnchor>
  <xdr:twoCellAnchor>
    <xdr:from>
      <xdr:col>7</xdr:col>
      <xdr:colOff>135731</xdr:colOff>
      <xdr:row>7</xdr:row>
      <xdr:rowOff>1786</xdr:rowOff>
    </xdr:from>
    <xdr:to>
      <xdr:col>9</xdr:col>
      <xdr:colOff>59531</xdr:colOff>
      <xdr:row>9</xdr:row>
      <xdr:rowOff>32743</xdr:rowOff>
    </xdr:to>
    <xdr:sp macro="" textlink="an!I841">
      <xdr:nvSpPr>
        <xdr:cNvPr id="30" name="TextBox 29">
          <a:extLst>
            <a:ext uri="{FF2B5EF4-FFF2-40B4-BE49-F238E27FC236}">
              <a16:creationId xmlns:a16="http://schemas.microsoft.com/office/drawing/2014/main" id="{C303E621-F9A4-4A92-8C51-B01B32E0A1FE}"/>
            </a:ext>
          </a:extLst>
        </xdr:cNvPr>
        <xdr:cNvSpPr txBox="1"/>
      </xdr:nvSpPr>
      <xdr:spPr>
        <a:xfrm>
          <a:off x="4407098" y="1356122"/>
          <a:ext cx="1144191"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BE575D-B861-48AA-B18E-A1AF9716648C}" type="TxLink">
            <a:rPr lang="en-US" sz="1800" b="1" i="0" u="none" strike="noStrike">
              <a:solidFill>
                <a:srgbClr val="F59E0B"/>
              </a:solidFill>
              <a:latin typeface="Calibri"/>
              <a:ea typeface="+mn-ea"/>
              <a:cs typeface="Calibri"/>
            </a:rPr>
            <a:pPr/>
            <a:t>1000</a:t>
          </a:fld>
          <a:endParaRPr lang="en-CA" sz="2000" b="1">
            <a:solidFill>
              <a:schemeClr val="bg1"/>
            </a:solidFill>
            <a:latin typeface="+mn-lt"/>
            <a:ea typeface="+mn-ea"/>
            <a:cs typeface="+mn-cs"/>
          </a:endParaRPr>
        </a:p>
      </xdr:txBody>
    </xdr:sp>
    <xdr:clientData/>
  </xdr:twoCellAnchor>
  <xdr:twoCellAnchor>
    <xdr:from>
      <xdr:col>18</xdr:col>
      <xdr:colOff>474463</xdr:colOff>
      <xdr:row>7</xdr:row>
      <xdr:rowOff>57747</xdr:rowOff>
    </xdr:from>
    <xdr:to>
      <xdr:col>20</xdr:col>
      <xdr:colOff>226814</xdr:colOff>
      <xdr:row>9</xdr:row>
      <xdr:rowOff>88704</xdr:rowOff>
    </xdr:to>
    <xdr:sp macro="" textlink="an!V844">
      <xdr:nvSpPr>
        <xdr:cNvPr id="32" name="TextBox 31">
          <a:extLst>
            <a:ext uri="{FF2B5EF4-FFF2-40B4-BE49-F238E27FC236}">
              <a16:creationId xmlns:a16="http://schemas.microsoft.com/office/drawing/2014/main" id="{587646F5-D228-43F0-B81E-0E487A1C7D12}"/>
            </a:ext>
          </a:extLst>
        </xdr:cNvPr>
        <xdr:cNvSpPr txBox="1"/>
      </xdr:nvSpPr>
      <xdr:spPr>
        <a:xfrm>
          <a:off x="11457979" y="1412083"/>
          <a:ext cx="972741"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5A3AB1-0B07-4303-923B-D642754CE248}" type="TxLink">
            <a:rPr lang="en-US" sz="1500" b="1" i="0" u="none" strike="noStrike">
              <a:solidFill>
                <a:srgbClr val="F59E0B"/>
              </a:solidFill>
              <a:latin typeface="Calibri"/>
              <a:ea typeface="+mn-ea"/>
              <a:cs typeface="Calibri"/>
            </a:rPr>
            <a:pPr/>
            <a:t> 130,761 </a:t>
          </a:fld>
          <a:endParaRPr lang="en-CA" sz="1500" b="1">
            <a:solidFill>
              <a:schemeClr val="bg1"/>
            </a:solidFill>
            <a:latin typeface="+mn-lt"/>
            <a:ea typeface="+mn-ea"/>
            <a:cs typeface="+mn-cs"/>
          </a:endParaRPr>
        </a:p>
      </xdr:txBody>
    </xdr:sp>
    <xdr:clientData/>
  </xdr:twoCellAnchor>
  <xdr:twoCellAnchor>
    <xdr:from>
      <xdr:col>13</xdr:col>
      <xdr:colOff>366710</xdr:colOff>
      <xdr:row>7</xdr:row>
      <xdr:rowOff>24409</xdr:rowOff>
    </xdr:from>
    <xdr:to>
      <xdr:col>14</xdr:col>
      <xdr:colOff>584000</xdr:colOff>
      <xdr:row>9</xdr:row>
      <xdr:rowOff>55366</xdr:rowOff>
    </xdr:to>
    <xdr:sp macro="" textlink="an!AD845">
      <xdr:nvSpPr>
        <xdr:cNvPr id="34" name="TextBox 33">
          <a:extLst>
            <a:ext uri="{FF2B5EF4-FFF2-40B4-BE49-F238E27FC236}">
              <a16:creationId xmlns:a16="http://schemas.microsoft.com/office/drawing/2014/main" id="{0829173F-E209-4D6A-B0DA-4CE0B2FF7C06}"/>
            </a:ext>
          </a:extLst>
        </xdr:cNvPr>
        <xdr:cNvSpPr txBox="1"/>
      </xdr:nvSpPr>
      <xdr:spPr>
        <a:xfrm>
          <a:off x="8299249" y="1378745"/>
          <a:ext cx="827485"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C49CA1-F97A-4897-A5E2-1AA4E7F5D277}" type="TxLink">
            <a:rPr lang="en-US" sz="1600" b="1" i="0" u="none" strike="noStrike">
              <a:solidFill>
                <a:srgbClr val="F59E0B"/>
              </a:solidFill>
              <a:latin typeface="Calibri"/>
              <a:ea typeface="+mn-ea"/>
              <a:cs typeface="Calibri"/>
            </a:rPr>
            <a:pPr/>
            <a:t>Retail</a:t>
          </a:fld>
          <a:endParaRPr lang="en-CA" sz="1800" b="1">
            <a:solidFill>
              <a:schemeClr val="bg1"/>
            </a:solidFill>
            <a:latin typeface="+mn-lt"/>
            <a:ea typeface="+mn-ea"/>
            <a:cs typeface="+mn-cs"/>
          </a:endParaRPr>
        </a:p>
      </xdr:txBody>
    </xdr:sp>
    <xdr:clientData/>
  </xdr:twoCellAnchor>
  <xdr:twoCellAnchor>
    <xdr:from>
      <xdr:col>2</xdr:col>
      <xdr:colOff>342304</xdr:colOff>
      <xdr:row>23</xdr:row>
      <xdr:rowOff>14882</xdr:rowOff>
    </xdr:from>
    <xdr:to>
      <xdr:col>11</xdr:col>
      <xdr:colOff>148829</xdr:colOff>
      <xdr:row>34</xdr:row>
      <xdr:rowOff>119063</xdr:rowOff>
    </xdr:to>
    <xdr:graphicFrame macro="">
      <xdr:nvGraphicFramePr>
        <xdr:cNvPr id="6" name="Chart 5">
          <a:extLst>
            <a:ext uri="{FF2B5EF4-FFF2-40B4-BE49-F238E27FC236}">
              <a16:creationId xmlns:a16="http://schemas.microsoft.com/office/drawing/2014/main" id="{B439E496-B2AF-45DF-8E4C-FCDD39758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208358</xdr:colOff>
      <xdr:row>9</xdr:row>
      <xdr:rowOff>148829</xdr:rowOff>
    </xdr:from>
    <xdr:to>
      <xdr:col>11</xdr:col>
      <xdr:colOff>148828</xdr:colOff>
      <xdr:row>21</xdr:row>
      <xdr:rowOff>89297</xdr:rowOff>
    </xdr:to>
    <xdr:graphicFrame macro="">
      <xdr:nvGraphicFramePr>
        <xdr:cNvPr id="21" name="Chart 20">
          <a:extLst>
            <a:ext uri="{FF2B5EF4-FFF2-40B4-BE49-F238E27FC236}">
              <a16:creationId xmlns:a16="http://schemas.microsoft.com/office/drawing/2014/main" id="{26B81048-742D-4435-8CDE-ECACE92B4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446485</xdr:colOff>
      <xdr:row>22</xdr:row>
      <xdr:rowOff>133945</xdr:rowOff>
    </xdr:from>
    <xdr:to>
      <xdr:col>20</xdr:col>
      <xdr:colOff>0</xdr:colOff>
      <xdr:row>35</xdr:row>
      <xdr:rowOff>58550</xdr:rowOff>
    </xdr:to>
    <xdr:graphicFrame macro="">
      <xdr:nvGraphicFramePr>
        <xdr:cNvPr id="23" name="Chart 22">
          <a:extLst>
            <a:ext uri="{FF2B5EF4-FFF2-40B4-BE49-F238E27FC236}">
              <a16:creationId xmlns:a16="http://schemas.microsoft.com/office/drawing/2014/main" id="{A9256F43-88D0-45FB-90C6-CF420F441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416718</xdr:colOff>
      <xdr:row>9</xdr:row>
      <xdr:rowOff>178594</xdr:rowOff>
    </xdr:from>
    <xdr:to>
      <xdr:col>19</xdr:col>
      <xdr:colOff>461366</xdr:colOff>
      <xdr:row>21</xdr:row>
      <xdr:rowOff>74414</xdr:rowOff>
    </xdr:to>
    <xdr:graphicFrame macro="">
      <xdr:nvGraphicFramePr>
        <xdr:cNvPr id="33" name="Chart 32">
          <a:extLst>
            <a:ext uri="{FF2B5EF4-FFF2-40B4-BE49-F238E27FC236}">
              <a16:creationId xmlns:a16="http://schemas.microsoft.com/office/drawing/2014/main" id="{D7327CD5-87F1-4E0C-975A-DA2C5DBA7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133945</xdr:colOff>
      <xdr:row>15</xdr:row>
      <xdr:rowOff>74414</xdr:rowOff>
    </xdr:from>
    <xdr:to>
      <xdr:col>2</xdr:col>
      <xdr:colOff>148828</xdr:colOff>
      <xdr:row>34</xdr:row>
      <xdr:rowOff>145934</xdr:rowOff>
    </xdr:to>
    <mc:AlternateContent xmlns:mc="http://schemas.openxmlformats.org/markup-compatibility/2006" xmlns:a14="http://schemas.microsoft.com/office/drawing/2010/main">
      <mc:Choice Requires="a14">
        <xdr:graphicFrame macro="">
          <xdr:nvGraphicFramePr>
            <xdr:cNvPr id="35" name="month new 3">
              <a:extLst>
                <a:ext uri="{FF2B5EF4-FFF2-40B4-BE49-F238E27FC236}">
                  <a16:creationId xmlns:a16="http://schemas.microsoft.com/office/drawing/2014/main" id="{9B5C39DB-4411-4A82-854D-268675AAAE2D}"/>
                </a:ext>
              </a:extLst>
            </xdr:cNvPr>
            <xdr:cNvGraphicFramePr/>
          </xdr:nvGraphicFramePr>
          <xdr:xfrm>
            <a:off x="0" y="0"/>
            <a:ext cx="0" cy="0"/>
          </xdr:xfrm>
          <a:graphic>
            <a:graphicData uri="http://schemas.microsoft.com/office/drawing/2010/slicer">
              <sle:slicer xmlns:sle="http://schemas.microsoft.com/office/drawing/2010/slicer" name="month new 3"/>
            </a:graphicData>
          </a:graphic>
        </xdr:graphicFrame>
      </mc:Choice>
      <mc:Fallback xmlns="">
        <xdr:sp macro="" textlink="">
          <xdr:nvSpPr>
            <xdr:cNvPr id="0" name=""/>
            <xdr:cNvSpPr>
              <a:spLocks noTextEdit="1"/>
            </xdr:cNvSpPr>
          </xdr:nvSpPr>
          <xdr:spPr>
            <a:xfrm>
              <a:off x="133945" y="2976562"/>
              <a:ext cx="1235274" cy="37475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74414</xdr:colOff>
      <xdr:row>1</xdr:row>
      <xdr:rowOff>-1</xdr:rowOff>
    </xdr:from>
    <xdr:to>
      <xdr:col>13</xdr:col>
      <xdr:colOff>580429</xdr:colOff>
      <xdr:row>3</xdr:row>
      <xdr:rowOff>163711</xdr:rowOff>
    </xdr:to>
    <xdr:sp macro="" textlink="">
      <xdr:nvSpPr>
        <xdr:cNvPr id="15" name="Rectangle: Rounded Corners 14">
          <a:extLst>
            <a:ext uri="{FF2B5EF4-FFF2-40B4-BE49-F238E27FC236}">
              <a16:creationId xmlns:a16="http://schemas.microsoft.com/office/drawing/2014/main" id="{4A15F894-1421-CEB3-22FF-BCCE8D46135B}"/>
            </a:ext>
          </a:extLst>
        </xdr:cNvPr>
        <xdr:cNvSpPr/>
      </xdr:nvSpPr>
      <xdr:spPr>
        <a:xfrm>
          <a:off x="6786562" y="193476"/>
          <a:ext cx="1726406" cy="550665"/>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291703</xdr:colOff>
      <xdr:row>0</xdr:row>
      <xdr:rowOff>148829</xdr:rowOff>
    </xdr:from>
    <xdr:to>
      <xdr:col>13</xdr:col>
      <xdr:colOff>312539</xdr:colOff>
      <xdr:row>3</xdr:row>
      <xdr:rowOff>178595</xdr:rowOff>
    </xdr:to>
    <xdr:sp macro="" textlink="">
      <xdr:nvSpPr>
        <xdr:cNvPr id="20" name="TextBox 19">
          <a:extLst>
            <a:ext uri="{FF2B5EF4-FFF2-40B4-BE49-F238E27FC236}">
              <a16:creationId xmlns:a16="http://schemas.microsoft.com/office/drawing/2014/main" id="{56F47CB6-854C-422A-B856-931B7163EA4F}"/>
            </a:ext>
          </a:extLst>
        </xdr:cNvPr>
        <xdr:cNvSpPr txBox="1"/>
      </xdr:nvSpPr>
      <xdr:spPr>
        <a:xfrm>
          <a:off x="7003851" y="148829"/>
          <a:ext cx="1241227" cy="610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rgbClr val="334155"/>
              </a:solidFill>
              <a:latin typeface="+mn-lt"/>
              <a:ea typeface="+mn-ea"/>
              <a:cs typeface="+mn-cs"/>
            </a:rPr>
            <a:t>overview</a:t>
          </a:r>
          <a:endParaRPr lang="en-CA" sz="1400" b="1">
            <a:solidFill>
              <a:srgbClr val="334155"/>
            </a:solidFill>
            <a:latin typeface="+mn-lt"/>
            <a:ea typeface="+mn-ea"/>
            <a:cs typeface="+mn-cs"/>
          </a:endParaRPr>
        </a:p>
      </xdr:txBody>
    </xdr:sp>
    <xdr:clientData/>
  </xdr:twoCellAnchor>
  <xdr:twoCellAnchor>
    <xdr:from>
      <xdr:col>14</xdr:col>
      <xdr:colOff>62508</xdr:colOff>
      <xdr:row>0</xdr:row>
      <xdr:rowOff>181570</xdr:rowOff>
    </xdr:from>
    <xdr:to>
      <xdr:col>16</xdr:col>
      <xdr:colOff>568523</xdr:colOff>
      <xdr:row>3</xdr:row>
      <xdr:rowOff>151805</xdr:rowOff>
    </xdr:to>
    <xdr:sp macro="" textlink="">
      <xdr:nvSpPr>
        <xdr:cNvPr id="39" name="Rectangle: Rounded Corners 38">
          <a:hlinkClick xmlns:r="http://schemas.openxmlformats.org/officeDocument/2006/relationships" r:id="rId8"/>
          <a:extLst>
            <a:ext uri="{FF2B5EF4-FFF2-40B4-BE49-F238E27FC236}">
              <a16:creationId xmlns:a16="http://schemas.microsoft.com/office/drawing/2014/main" id="{C98DE762-57B4-4F0C-AFE4-14DB50FA69B0}"/>
            </a:ext>
          </a:extLst>
        </xdr:cNvPr>
        <xdr:cNvSpPr/>
      </xdr:nvSpPr>
      <xdr:spPr>
        <a:xfrm>
          <a:off x="8605242" y="181570"/>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17</xdr:col>
      <xdr:colOff>69651</xdr:colOff>
      <xdr:row>1</xdr:row>
      <xdr:rowOff>10119</xdr:rowOff>
    </xdr:from>
    <xdr:to>
      <xdr:col>19</xdr:col>
      <xdr:colOff>575666</xdr:colOff>
      <xdr:row>3</xdr:row>
      <xdr:rowOff>173831</xdr:rowOff>
    </xdr:to>
    <xdr:sp macro="" textlink="">
      <xdr:nvSpPr>
        <xdr:cNvPr id="41" name="Rectangle: Rounded Corners 40">
          <a:hlinkClick xmlns:r="http://schemas.openxmlformats.org/officeDocument/2006/relationships" r:id="rId9"/>
          <a:extLst>
            <a:ext uri="{FF2B5EF4-FFF2-40B4-BE49-F238E27FC236}">
              <a16:creationId xmlns:a16="http://schemas.microsoft.com/office/drawing/2014/main" id="{7C0DF52C-24D5-4BC6-AB76-6543BF9EB0EA}"/>
            </a:ext>
          </a:extLst>
        </xdr:cNvPr>
        <xdr:cNvSpPr/>
      </xdr:nvSpPr>
      <xdr:spPr>
        <a:xfrm>
          <a:off x="10442971" y="203596"/>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14</xdr:col>
      <xdr:colOff>288134</xdr:colOff>
      <xdr:row>0</xdr:row>
      <xdr:rowOff>109536</xdr:rowOff>
    </xdr:from>
    <xdr:to>
      <xdr:col>16</xdr:col>
      <xdr:colOff>372070</xdr:colOff>
      <xdr:row>4</xdr:row>
      <xdr:rowOff>14883</xdr:rowOff>
    </xdr:to>
    <xdr:sp macro="" textlink="">
      <xdr:nvSpPr>
        <xdr:cNvPr id="19" name="TextBox 18">
          <a:extLst>
            <a:ext uri="{FF2B5EF4-FFF2-40B4-BE49-F238E27FC236}">
              <a16:creationId xmlns:a16="http://schemas.microsoft.com/office/drawing/2014/main" id="{816EFF85-C352-43E6-A5AF-36150B950B07}"/>
            </a:ext>
          </a:extLst>
        </xdr:cNvPr>
        <xdr:cNvSpPr txBox="1"/>
      </xdr:nvSpPr>
      <xdr:spPr>
        <a:xfrm>
          <a:off x="8830868" y="109536"/>
          <a:ext cx="1304327" cy="67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chemeClr val="bg1"/>
              </a:solidFill>
              <a:latin typeface="+mn-lt"/>
              <a:ea typeface="+mn-ea"/>
              <a:cs typeface="+mn-cs"/>
            </a:rPr>
            <a:t>funding vs </a:t>
          </a:r>
        </a:p>
        <a:p>
          <a:pPr algn="ctr"/>
          <a:r>
            <a:rPr lang="en-CA" sz="1700" b="1">
              <a:solidFill>
                <a:schemeClr val="bg1"/>
              </a:solidFill>
              <a:latin typeface="+mn-lt"/>
              <a:ea typeface="+mn-ea"/>
              <a:cs typeface="+mn-cs"/>
            </a:rPr>
            <a:t>layoffs</a:t>
          </a:r>
        </a:p>
      </xdr:txBody>
    </xdr:sp>
    <xdr:clientData/>
  </xdr:twoCellAnchor>
  <xdr:twoCellAnchor>
    <xdr:from>
      <xdr:col>17</xdr:col>
      <xdr:colOff>433389</xdr:colOff>
      <xdr:row>1</xdr:row>
      <xdr:rowOff>76199</xdr:rowOff>
    </xdr:from>
    <xdr:to>
      <xdr:col>20</xdr:col>
      <xdr:colOff>494110</xdr:colOff>
      <xdr:row>3</xdr:row>
      <xdr:rowOff>107156</xdr:rowOff>
    </xdr:to>
    <xdr:sp macro="" textlink="">
      <xdr:nvSpPr>
        <xdr:cNvPr id="18" name="TextBox 17">
          <a:extLst>
            <a:ext uri="{FF2B5EF4-FFF2-40B4-BE49-F238E27FC236}">
              <a16:creationId xmlns:a16="http://schemas.microsoft.com/office/drawing/2014/main" id="{20747E9B-FB82-439E-BDB2-EB34E300FE2E}"/>
            </a:ext>
          </a:extLst>
        </xdr:cNvPr>
        <xdr:cNvSpPr txBox="1"/>
      </xdr:nvSpPr>
      <xdr:spPr>
        <a:xfrm>
          <a:off x="10806709" y="269676"/>
          <a:ext cx="1891307"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chemeClr val="bg1"/>
              </a:solidFill>
              <a:latin typeface="+mn-lt"/>
              <a:ea typeface="+mn-ea"/>
              <a:cs typeface="+mn-cs"/>
            </a:rPr>
            <a:t>insights</a:t>
          </a:r>
          <a:endParaRPr lang="en-CA" sz="1800" b="1">
            <a:solidFill>
              <a:schemeClr val="bg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74502</xdr:colOff>
      <xdr:row>36</xdr:row>
      <xdr:rowOff>21466</xdr:rowOff>
    </xdr:to>
    <xdr:pic>
      <xdr:nvPicPr>
        <xdr:cNvPr id="12" name="Picture 11">
          <a:extLst>
            <a:ext uri="{FF2B5EF4-FFF2-40B4-BE49-F238E27FC236}">
              <a16:creationId xmlns:a16="http://schemas.microsoft.com/office/drawing/2014/main" id="{87C05C7F-5408-AD04-9AEE-E93F497C3D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278408" cy="6986622"/>
        </a:xfrm>
        <a:prstGeom prst="rect">
          <a:avLst/>
        </a:prstGeom>
      </xdr:spPr>
    </xdr:pic>
    <xdr:clientData/>
  </xdr:twoCellAnchor>
  <xdr:twoCellAnchor>
    <xdr:from>
      <xdr:col>2</xdr:col>
      <xdr:colOff>401835</xdr:colOff>
      <xdr:row>0</xdr:row>
      <xdr:rowOff>133946</xdr:rowOff>
    </xdr:from>
    <xdr:to>
      <xdr:col>10</xdr:col>
      <xdr:colOff>372071</xdr:colOff>
      <xdr:row>4</xdr:row>
      <xdr:rowOff>89298</xdr:rowOff>
    </xdr:to>
    <xdr:sp macro="" textlink="">
      <xdr:nvSpPr>
        <xdr:cNvPr id="4" name="TextBox 3">
          <a:extLst>
            <a:ext uri="{FF2B5EF4-FFF2-40B4-BE49-F238E27FC236}">
              <a16:creationId xmlns:a16="http://schemas.microsoft.com/office/drawing/2014/main" id="{2975011D-EE54-7BD2-8115-8EFDC23EA952}"/>
            </a:ext>
          </a:extLst>
        </xdr:cNvPr>
        <xdr:cNvSpPr txBox="1"/>
      </xdr:nvSpPr>
      <xdr:spPr>
        <a:xfrm>
          <a:off x="1622226" y="133946"/>
          <a:ext cx="4851798" cy="72925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000" b="1">
              <a:solidFill>
                <a:schemeClr val="bg1"/>
              </a:solidFill>
            </a:rPr>
            <a:t>Funding vs Layoffs Analysis</a:t>
          </a:r>
        </a:p>
      </xdr:txBody>
    </xdr:sp>
    <xdr:clientData/>
  </xdr:twoCellAnchor>
  <xdr:twoCellAnchor>
    <xdr:from>
      <xdr:col>1</xdr:col>
      <xdr:colOff>446484</xdr:colOff>
      <xdr:row>5</xdr:row>
      <xdr:rowOff>14882</xdr:rowOff>
    </xdr:from>
    <xdr:to>
      <xdr:col>6</xdr:col>
      <xdr:colOff>357186</xdr:colOff>
      <xdr:row>7</xdr:row>
      <xdr:rowOff>119064</xdr:rowOff>
    </xdr:to>
    <xdr:sp macro="" textlink="">
      <xdr:nvSpPr>
        <xdr:cNvPr id="5" name="TextBox 4">
          <a:extLst>
            <a:ext uri="{FF2B5EF4-FFF2-40B4-BE49-F238E27FC236}">
              <a16:creationId xmlns:a16="http://schemas.microsoft.com/office/drawing/2014/main" id="{E9D1B7EE-EDDA-4BA9-A610-B0EAD0032455}"/>
            </a:ext>
          </a:extLst>
        </xdr:cNvPr>
        <xdr:cNvSpPr txBox="1"/>
      </xdr:nvSpPr>
      <xdr:spPr>
        <a:xfrm>
          <a:off x="1056679" y="982265"/>
          <a:ext cx="2961679" cy="49113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lumMod val="95000"/>
                </a:schemeClr>
              </a:solidFill>
              <a:latin typeface="+mn-lt"/>
              <a:ea typeface="+mn-ea"/>
              <a:cs typeface="+mn-cs"/>
            </a:rPr>
            <a:t> </a:t>
          </a:r>
          <a:r>
            <a:rPr lang="en-CA" sz="1400" b="1">
              <a:solidFill>
                <a:schemeClr val="bg1"/>
              </a:solidFill>
            </a:rPr>
            <a:t>Total Funds Raised(M$)</a:t>
          </a:r>
          <a:endParaRPr lang="en-CA" sz="1050" b="1">
            <a:solidFill>
              <a:schemeClr val="bg1"/>
            </a:solidFill>
            <a:latin typeface="+mn-lt"/>
            <a:ea typeface="+mn-ea"/>
            <a:cs typeface="+mn-cs"/>
          </a:endParaRPr>
        </a:p>
      </xdr:txBody>
    </xdr:sp>
    <xdr:clientData/>
  </xdr:twoCellAnchor>
  <xdr:twoCellAnchor>
    <xdr:from>
      <xdr:col>8</xdr:col>
      <xdr:colOff>509589</xdr:colOff>
      <xdr:row>4</xdr:row>
      <xdr:rowOff>92870</xdr:rowOff>
    </xdr:from>
    <xdr:to>
      <xdr:col>13</xdr:col>
      <xdr:colOff>550665</xdr:colOff>
      <xdr:row>7</xdr:row>
      <xdr:rowOff>122636</xdr:rowOff>
    </xdr:to>
    <xdr:sp macro="" textlink="">
      <xdr:nvSpPr>
        <xdr:cNvPr id="9" name="TextBox 8">
          <a:extLst>
            <a:ext uri="{FF2B5EF4-FFF2-40B4-BE49-F238E27FC236}">
              <a16:creationId xmlns:a16="http://schemas.microsoft.com/office/drawing/2014/main" id="{E00AE6D0-0691-4402-A641-903DDA186694}"/>
            </a:ext>
          </a:extLst>
        </xdr:cNvPr>
        <xdr:cNvSpPr txBox="1"/>
      </xdr:nvSpPr>
      <xdr:spPr>
        <a:xfrm>
          <a:off x="5391152" y="866776"/>
          <a:ext cx="3092052" cy="6101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solidFill>
                <a:schemeClr val="bg1"/>
              </a:solidFill>
              <a:latin typeface="+mn-lt"/>
              <a:ea typeface="+mn-ea"/>
              <a:cs typeface="+mn-cs"/>
            </a:rPr>
            <a:t> </a:t>
          </a:r>
          <a:r>
            <a:rPr lang="en-CA" sz="1400" b="1">
              <a:solidFill>
                <a:schemeClr val="bg1"/>
              </a:solidFill>
            </a:rPr>
            <a:t>Avg Layoffs per Company</a:t>
          </a:r>
          <a:endParaRPr lang="en-CA" sz="1050" b="1">
            <a:solidFill>
              <a:schemeClr val="bg1"/>
            </a:solidFill>
            <a:latin typeface="+mn-lt"/>
            <a:ea typeface="+mn-ea"/>
            <a:cs typeface="+mn-cs"/>
          </a:endParaRPr>
        </a:p>
      </xdr:txBody>
    </xdr:sp>
    <xdr:clientData/>
  </xdr:twoCellAnchor>
  <xdr:twoCellAnchor>
    <xdr:from>
      <xdr:col>5</xdr:col>
      <xdr:colOff>66673</xdr:colOff>
      <xdr:row>4</xdr:row>
      <xdr:rowOff>111327</xdr:rowOff>
    </xdr:from>
    <xdr:to>
      <xdr:col>10</xdr:col>
      <xdr:colOff>208358</xdr:colOff>
      <xdr:row>7</xdr:row>
      <xdr:rowOff>141093</xdr:rowOff>
    </xdr:to>
    <xdr:sp macro="" textlink="">
      <xdr:nvSpPr>
        <xdr:cNvPr id="10" name="TextBox 9">
          <a:extLst>
            <a:ext uri="{FF2B5EF4-FFF2-40B4-BE49-F238E27FC236}">
              <a16:creationId xmlns:a16="http://schemas.microsoft.com/office/drawing/2014/main" id="{87730249-3938-46ED-8185-F80C48E53F57}"/>
            </a:ext>
          </a:extLst>
        </xdr:cNvPr>
        <xdr:cNvSpPr txBox="1"/>
      </xdr:nvSpPr>
      <xdr:spPr>
        <a:xfrm>
          <a:off x="3117650" y="885233"/>
          <a:ext cx="3192661" cy="6101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lumMod val="95000"/>
                </a:schemeClr>
              </a:solidFill>
              <a:latin typeface="+mn-lt"/>
              <a:ea typeface="+mn-ea"/>
              <a:cs typeface="+mn-cs"/>
            </a:rPr>
            <a:t> </a:t>
          </a:r>
          <a:r>
            <a:rPr lang="en-CA" sz="1400" b="1">
              <a:solidFill>
                <a:schemeClr val="bg1"/>
              </a:solidFill>
            </a:rPr>
            <a:t>Avg Funds per Company</a:t>
          </a:r>
          <a:endParaRPr lang="en-CA" sz="1050" b="1">
            <a:solidFill>
              <a:schemeClr val="bg1"/>
            </a:solidFill>
            <a:latin typeface="+mn-lt"/>
            <a:ea typeface="+mn-ea"/>
            <a:cs typeface="+mn-cs"/>
          </a:endParaRPr>
        </a:p>
      </xdr:txBody>
    </xdr:sp>
    <xdr:clientData/>
  </xdr:twoCellAnchor>
  <xdr:twoCellAnchor>
    <xdr:from>
      <xdr:col>2</xdr:col>
      <xdr:colOff>33337</xdr:colOff>
      <xdr:row>6</xdr:row>
      <xdr:rowOff>119063</xdr:rowOff>
    </xdr:from>
    <xdr:to>
      <xdr:col>6</xdr:col>
      <xdr:colOff>197048</xdr:colOff>
      <xdr:row>9</xdr:row>
      <xdr:rowOff>18457</xdr:rowOff>
    </xdr:to>
    <xdr:sp macro="" textlink="an!AF845">
      <xdr:nvSpPr>
        <xdr:cNvPr id="11" name="TextBox 10">
          <a:extLst>
            <a:ext uri="{FF2B5EF4-FFF2-40B4-BE49-F238E27FC236}">
              <a16:creationId xmlns:a16="http://schemas.microsoft.com/office/drawing/2014/main" id="{DA63A86B-661D-4FE7-8CF8-70DE5DF1D813}"/>
            </a:ext>
          </a:extLst>
        </xdr:cNvPr>
        <xdr:cNvSpPr txBox="1"/>
      </xdr:nvSpPr>
      <xdr:spPr>
        <a:xfrm>
          <a:off x="1253728" y="1279922"/>
          <a:ext cx="2604492" cy="479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A47ED7-EFD1-49F9-8040-DABF1413D05D}" type="TxLink">
            <a:rPr lang="en-US" sz="1800" b="1" i="0" u="none" strike="noStrike">
              <a:solidFill>
                <a:srgbClr val="F59E0B"/>
              </a:solidFill>
              <a:latin typeface="Calibri"/>
              <a:ea typeface="+mn-ea"/>
              <a:cs typeface="Calibri"/>
            </a:rPr>
            <a:pPr algn="ctr"/>
            <a:t> 428,898 </a:t>
          </a:fld>
          <a:endParaRPr lang="en-CA" sz="1200" b="1">
            <a:solidFill>
              <a:schemeClr val="bg1"/>
            </a:solidFill>
            <a:latin typeface="+mn-lt"/>
            <a:ea typeface="+mn-ea"/>
            <a:cs typeface="+mn-cs"/>
          </a:endParaRPr>
        </a:p>
      </xdr:txBody>
    </xdr:sp>
    <xdr:clientData/>
  </xdr:twoCellAnchor>
  <xdr:twoCellAnchor>
    <xdr:from>
      <xdr:col>12</xdr:col>
      <xdr:colOff>263309</xdr:colOff>
      <xdr:row>4</xdr:row>
      <xdr:rowOff>96947</xdr:rowOff>
    </xdr:from>
    <xdr:to>
      <xdr:col>17</xdr:col>
      <xdr:colOff>304386</xdr:colOff>
      <xdr:row>7</xdr:row>
      <xdr:rowOff>126713</xdr:rowOff>
    </xdr:to>
    <xdr:sp macro="" textlink="">
      <xdr:nvSpPr>
        <xdr:cNvPr id="14" name="TextBox 13">
          <a:extLst>
            <a:ext uri="{FF2B5EF4-FFF2-40B4-BE49-F238E27FC236}">
              <a16:creationId xmlns:a16="http://schemas.microsoft.com/office/drawing/2014/main" id="{F19D5CCF-A7A8-4377-9FD2-84B25A757E55}"/>
            </a:ext>
          </a:extLst>
        </xdr:cNvPr>
        <xdr:cNvSpPr txBox="1"/>
      </xdr:nvSpPr>
      <xdr:spPr>
        <a:xfrm>
          <a:off x="7622350" y="879824"/>
          <a:ext cx="3107344" cy="61692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bg1"/>
              </a:solidFill>
            </a:rPr>
            <a:t>Layoffs per $1M</a:t>
          </a:r>
          <a:endParaRPr lang="en-CA" sz="1200" b="1">
            <a:solidFill>
              <a:schemeClr val="bg1"/>
            </a:solidFill>
            <a:latin typeface="+mn-lt"/>
            <a:ea typeface="+mn-ea"/>
            <a:cs typeface="+mn-cs"/>
          </a:endParaRPr>
        </a:p>
      </xdr:txBody>
    </xdr:sp>
    <xdr:clientData/>
  </xdr:twoCellAnchor>
  <xdr:twoCellAnchor>
    <xdr:from>
      <xdr:col>17</xdr:col>
      <xdr:colOff>30006</xdr:colOff>
      <xdr:row>4</xdr:row>
      <xdr:rowOff>123303</xdr:rowOff>
    </xdr:from>
    <xdr:to>
      <xdr:col>19</xdr:col>
      <xdr:colOff>526008</xdr:colOff>
      <xdr:row>7</xdr:row>
      <xdr:rowOff>142163</xdr:rowOff>
    </xdr:to>
    <xdr:sp macro="" textlink="">
      <xdr:nvSpPr>
        <xdr:cNvPr id="15" name="TextBox 14">
          <a:extLst>
            <a:ext uri="{FF2B5EF4-FFF2-40B4-BE49-F238E27FC236}">
              <a16:creationId xmlns:a16="http://schemas.microsoft.com/office/drawing/2014/main" id="{34E01C00-77FD-4D59-B32D-CE1223B30BBF}"/>
            </a:ext>
          </a:extLst>
        </xdr:cNvPr>
        <xdr:cNvSpPr txBox="1"/>
      </xdr:nvSpPr>
      <xdr:spPr>
        <a:xfrm>
          <a:off x="10422207" y="862557"/>
          <a:ext cx="1718614" cy="5733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bg1">
                  <a:lumMod val="95000"/>
                </a:schemeClr>
              </a:solidFill>
            </a:rPr>
            <a:t>Funded Companies</a:t>
          </a:r>
        </a:p>
        <a:p>
          <a:pPr algn="ctr"/>
          <a:r>
            <a:rPr lang="en-CA" sz="1400" b="1">
              <a:solidFill>
                <a:schemeClr val="bg1">
                  <a:lumMod val="95000"/>
                </a:schemeClr>
              </a:solidFill>
            </a:rPr>
            <a:t> with Layoffs (%)</a:t>
          </a:r>
        </a:p>
        <a:p>
          <a:pPr algn="ctr"/>
          <a:r>
            <a:rPr lang="en-CA" sz="1400" b="1">
              <a:solidFill>
                <a:schemeClr val="bg1"/>
              </a:solidFill>
            </a:rPr>
            <a:t> </a:t>
          </a:r>
          <a:endParaRPr lang="en-CA" sz="1100" b="1">
            <a:solidFill>
              <a:schemeClr val="bg1"/>
            </a:solidFill>
            <a:latin typeface="+mn-lt"/>
            <a:ea typeface="+mn-ea"/>
            <a:cs typeface="+mn-cs"/>
          </a:endParaRPr>
        </a:p>
      </xdr:txBody>
    </xdr:sp>
    <xdr:clientData/>
  </xdr:twoCellAnchor>
  <xdr:twoCellAnchor>
    <xdr:from>
      <xdr:col>9</xdr:col>
      <xdr:colOff>169624</xdr:colOff>
      <xdr:row>6</xdr:row>
      <xdr:rowOff>91336</xdr:rowOff>
    </xdr:from>
    <xdr:to>
      <xdr:col>13</xdr:col>
      <xdr:colOff>333335</xdr:colOff>
      <xdr:row>8</xdr:row>
      <xdr:rowOff>186450</xdr:rowOff>
    </xdr:to>
    <xdr:sp macro="" textlink="Sheet1!E4">
      <xdr:nvSpPr>
        <xdr:cNvPr id="18" name="TextBox 17">
          <a:extLst>
            <a:ext uri="{FF2B5EF4-FFF2-40B4-BE49-F238E27FC236}">
              <a16:creationId xmlns:a16="http://schemas.microsoft.com/office/drawing/2014/main" id="{4ECB19D4-D034-4115-81C3-3100A9991EB3}"/>
            </a:ext>
          </a:extLst>
        </xdr:cNvPr>
        <xdr:cNvSpPr txBox="1"/>
      </xdr:nvSpPr>
      <xdr:spPr>
        <a:xfrm>
          <a:off x="5688905" y="1265651"/>
          <a:ext cx="2616725" cy="48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07DBF8-193A-416D-BF79-9941766C3BE7}" type="TxLink">
            <a:rPr lang="en-US" sz="2000" b="1" i="0" u="none" strike="noStrike">
              <a:solidFill>
                <a:srgbClr val="F59E0B"/>
              </a:solidFill>
              <a:latin typeface="Calibri"/>
              <a:ea typeface="+mn-ea"/>
              <a:cs typeface="Calibri"/>
            </a:rPr>
            <a:pPr algn="ctr"/>
            <a:t>283.53</a:t>
          </a:fld>
          <a:endParaRPr lang="en-CA" sz="1200" b="1">
            <a:solidFill>
              <a:schemeClr val="bg1"/>
            </a:solidFill>
            <a:latin typeface="+mn-lt"/>
            <a:ea typeface="+mn-ea"/>
            <a:cs typeface="+mn-cs"/>
          </a:endParaRPr>
        </a:p>
      </xdr:txBody>
    </xdr:sp>
    <xdr:clientData/>
  </xdr:twoCellAnchor>
  <xdr:twoCellAnchor>
    <xdr:from>
      <xdr:col>12</xdr:col>
      <xdr:colOff>589507</xdr:colOff>
      <xdr:row>6</xdr:row>
      <xdr:rowOff>96948</xdr:rowOff>
    </xdr:from>
    <xdr:to>
      <xdr:col>17</xdr:col>
      <xdr:colOff>139965</xdr:colOff>
      <xdr:row>8</xdr:row>
      <xdr:rowOff>192062</xdr:rowOff>
    </xdr:to>
    <xdr:sp macro="" textlink="an!AS844">
      <xdr:nvSpPr>
        <xdr:cNvPr id="20" name="TextBox 19">
          <a:extLst>
            <a:ext uri="{FF2B5EF4-FFF2-40B4-BE49-F238E27FC236}">
              <a16:creationId xmlns:a16="http://schemas.microsoft.com/office/drawing/2014/main" id="{92B8B92B-4D70-49D5-BA07-D60772CE6BC0}"/>
            </a:ext>
          </a:extLst>
        </xdr:cNvPr>
        <xdr:cNvSpPr txBox="1"/>
      </xdr:nvSpPr>
      <xdr:spPr>
        <a:xfrm>
          <a:off x="7948548" y="1271263"/>
          <a:ext cx="2616725" cy="48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353A34-2288-4304-8AD8-BFB2109F971E}" type="TxLink">
            <a:rPr lang="en-US" sz="2000" b="1" i="0" u="none" strike="noStrike">
              <a:solidFill>
                <a:srgbClr val="F59E0B"/>
              </a:solidFill>
              <a:latin typeface="Calibri"/>
              <a:ea typeface="+mn-ea"/>
              <a:cs typeface="Calibri"/>
            </a:rPr>
            <a:pPr algn="ctr"/>
            <a:t>0.5</a:t>
          </a:fld>
          <a:endParaRPr lang="en-CA" sz="1200" b="1">
            <a:solidFill>
              <a:schemeClr val="bg1"/>
            </a:solidFill>
            <a:latin typeface="+mn-lt"/>
            <a:ea typeface="+mn-ea"/>
            <a:cs typeface="+mn-cs"/>
          </a:endParaRPr>
        </a:p>
      </xdr:txBody>
    </xdr:sp>
    <xdr:clientData/>
  </xdr:twoCellAnchor>
  <xdr:twoCellAnchor>
    <xdr:from>
      <xdr:col>16</xdr:col>
      <xdr:colOff>262780</xdr:colOff>
      <xdr:row>6</xdr:row>
      <xdr:rowOff>114822</xdr:rowOff>
    </xdr:from>
    <xdr:to>
      <xdr:col>20</xdr:col>
      <xdr:colOff>426492</xdr:colOff>
      <xdr:row>9</xdr:row>
      <xdr:rowOff>14216</xdr:rowOff>
    </xdr:to>
    <xdr:sp macro="" textlink="an!BG840">
      <xdr:nvSpPr>
        <xdr:cNvPr id="21" name="TextBox 20">
          <a:extLst>
            <a:ext uri="{FF2B5EF4-FFF2-40B4-BE49-F238E27FC236}">
              <a16:creationId xmlns:a16="http://schemas.microsoft.com/office/drawing/2014/main" id="{6F3FE014-C81E-4D81-8C24-2639CDA78817}"/>
            </a:ext>
          </a:extLst>
        </xdr:cNvPr>
        <xdr:cNvSpPr txBox="1"/>
      </xdr:nvSpPr>
      <xdr:spPr>
        <a:xfrm>
          <a:off x="10043676" y="1223703"/>
          <a:ext cx="2608935" cy="45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37640B-9D24-4E26-B160-9451B587F389}" type="TxLink">
            <a:rPr lang="en-US" sz="2000" b="1" i="0" u="none" strike="noStrike">
              <a:solidFill>
                <a:srgbClr val="F59E0B"/>
              </a:solidFill>
              <a:latin typeface="Calibri"/>
              <a:ea typeface="+mn-ea"/>
              <a:cs typeface="Calibri"/>
            </a:rPr>
            <a:pPr algn="ctr"/>
            <a:t>92%</a:t>
          </a:fld>
          <a:endParaRPr lang="en-CA" sz="1200" b="1">
            <a:solidFill>
              <a:schemeClr val="bg1"/>
            </a:solidFill>
            <a:latin typeface="+mn-lt"/>
            <a:ea typeface="+mn-ea"/>
            <a:cs typeface="+mn-cs"/>
          </a:endParaRPr>
        </a:p>
      </xdr:txBody>
    </xdr:sp>
    <xdr:clientData/>
  </xdr:twoCellAnchor>
  <xdr:twoCellAnchor>
    <xdr:from>
      <xdr:col>3</xdr:col>
      <xdr:colOff>164822</xdr:colOff>
      <xdr:row>10</xdr:row>
      <xdr:rowOff>29764</xdr:rowOff>
    </xdr:from>
    <xdr:to>
      <xdr:col>11</xdr:col>
      <xdr:colOff>0</xdr:colOff>
      <xdr:row>33</xdr:row>
      <xdr:rowOff>0</xdr:rowOff>
    </xdr:to>
    <xdr:graphicFrame macro="">
      <xdr:nvGraphicFramePr>
        <xdr:cNvPr id="2" name="Chart 1">
          <a:extLst>
            <a:ext uri="{FF2B5EF4-FFF2-40B4-BE49-F238E27FC236}">
              <a16:creationId xmlns:a16="http://schemas.microsoft.com/office/drawing/2014/main" id="{495F3B7B-3E0E-485B-97D7-E474225D7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245806</xdr:colOff>
      <xdr:row>22</xdr:row>
      <xdr:rowOff>12002</xdr:rowOff>
    </xdr:from>
    <xdr:to>
      <xdr:col>19</xdr:col>
      <xdr:colOff>550761</xdr:colOff>
      <xdr:row>35</xdr:row>
      <xdr:rowOff>92177</xdr:rowOff>
    </xdr:to>
    <xdr:graphicFrame macro="">
      <xdr:nvGraphicFramePr>
        <xdr:cNvPr id="19" name="Chart 18">
          <a:extLst>
            <a:ext uri="{FF2B5EF4-FFF2-40B4-BE49-F238E27FC236}">
              <a16:creationId xmlns:a16="http://schemas.microsoft.com/office/drawing/2014/main" id="{CA80690A-4433-45F5-90C9-717C875D9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135686</xdr:colOff>
      <xdr:row>10</xdr:row>
      <xdr:rowOff>46089</xdr:rowOff>
    </xdr:from>
    <xdr:to>
      <xdr:col>19</xdr:col>
      <xdr:colOff>523077</xdr:colOff>
      <xdr:row>21</xdr:row>
      <xdr:rowOff>0</xdr:rowOff>
    </xdr:to>
    <xdr:graphicFrame macro="">
      <xdr:nvGraphicFramePr>
        <xdr:cNvPr id="26" name="Chart 25">
          <a:extLst>
            <a:ext uri="{FF2B5EF4-FFF2-40B4-BE49-F238E27FC236}">
              <a16:creationId xmlns:a16="http://schemas.microsoft.com/office/drawing/2014/main" id="{27D2F6A4-9CFD-4C53-8DC1-5EE872E10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359408</xdr:colOff>
      <xdr:row>1</xdr:row>
      <xdr:rowOff>60864</xdr:rowOff>
    </xdr:from>
    <xdr:to>
      <xdr:col>2</xdr:col>
      <xdr:colOff>0</xdr:colOff>
      <xdr:row>6</xdr:row>
      <xdr:rowOff>0</xdr:rowOff>
    </xdr:to>
    <xdr:pic>
      <xdr:nvPicPr>
        <xdr:cNvPr id="27" name="Picture 26">
          <a:extLst>
            <a:ext uri="{FF2B5EF4-FFF2-40B4-BE49-F238E27FC236}">
              <a16:creationId xmlns:a16="http://schemas.microsoft.com/office/drawing/2014/main" id="{E5A4388D-3C58-4C8E-B744-8414F3EB85AF}"/>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359408" y="245677"/>
          <a:ext cx="863204" cy="863204"/>
        </a:xfrm>
        <a:prstGeom prst="rect">
          <a:avLst/>
        </a:prstGeom>
      </xdr:spPr>
    </xdr:pic>
    <xdr:clientData/>
  </xdr:twoCellAnchor>
  <xdr:twoCellAnchor>
    <xdr:from>
      <xdr:col>14</xdr:col>
      <xdr:colOff>74416</xdr:colOff>
      <xdr:row>0</xdr:row>
      <xdr:rowOff>163710</xdr:rowOff>
    </xdr:from>
    <xdr:to>
      <xdr:col>16</xdr:col>
      <xdr:colOff>580431</xdr:colOff>
      <xdr:row>3</xdr:row>
      <xdr:rowOff>133945</xdr:rowOff>
    </xdr:to>
    <xdr:sp macro="" textlink="">
      <xdr:nvSpPr>
        <xdr:cNvPr id="3" name="Rectangle: Rounded Corners 2">
          <a:extLst>
            <a:ext uri="{FF2B5EF4-FFF2-40B4-BE49-F238E27FC236}">
              <a16:creationId xmlns:a16="http://schemas.microsoft.com/office/drawing/2014/main" id="{A6CE964C-D100-4C42-AC96-E80EA52ACF1E}"/>
            </a:ext>
          </a:extLst>
        </xdr:cNvPr>
        <xdr:cNvSpPr/>
      </xdr:nvSpPr>
      <xdr:spPr>
        <a:xfrm>
          <a:off x="8617150" y="163710"/>
          <a:ext cx="1726406" cy="550665"/>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74415</xdr:colOff>
      <xdr:row>0</xdr:row>
      <xdr:rowOff>148828</xdr:rowOff>
    </xdr:from>
    <xdr:to>
      <xdr:col>13</xdr:col>
      <xdr:colOff>580430</xdr:colOff>
      <xdr:row>3</xdr:row>
      <xdr:rowOff>119063</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6F7090AB-AC29-4675-B803-4F51AD4373A9}"/>
            </a:ext>
          </a:extLst>
        </xdr:cNvPr>
        <xdr:cNvSpPr/>
      </xdr:nvSpPr>
      <xdr:spPr>
        <a:xfrm>
          <a:off x="6786563" y="148828"/>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17</xdr:col>
      <xdr:colOff>74414</xdr:colOff>
      <xdr:row>0</xdr:row>
      <xdr:rowOff>148827</xdr:rowOff>
    </xdr:from>
    <xdr:to>
      <xdr:col>19</xdr:col>
      <xdr:colOff>580429</xdr:colOff>
      <xdr:row>3</xdr:row>
      <xdr:rowOff>119062</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7E738D79-1DB3-4387-AE38-034C95DF938C}"/>
            </a:ext>
          </a:extLst>
        </xdr:cNvPr>
        <xdr:cNvSpPr/>
      </xdr:nvSpPr>
      <xdr:spPr>
        <a:xfrm>
          <a:off x="10447734" y="148827"/>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14</xdr:col>
      <xdr:colOff>29767</xdr:colOff>
      <xdr:row>0</xdr:row>
      <xdr:rowOff>89296</xdr:rowOff>
    </xdr:from>
    <xdr:to>
      <xdr:col>17</xdr:col>
      <xdr:colOff>90488</xdr:colOff>
      <xdr:row>3</xdr:row>
      <xdr:rowOff>188119</xdr:rowOff>
    </xdr:to>
    <xdr:sp macro="" textlink="">
      <xdr:nvSpPr>
        <xdr:cNvPr id="6" name="TextBox 5">
          <a:extLst>
            <a:ext uri="{FF2B5EF4-FFF2-40B4-BE49-F238E27FC236}">
              <a16:creationId xmlns:a16="http://schemas.microsoft.com/office/drawing/2014/main" id="{5464AE96-B40F-45E8-B553-29396BD18109}"/>
            </a:ext>
          </a:extLst>
        </xdr:cNvPr>
        <xdr:cNvSpPr txBox="1"/>
      </xdr:nvSpPr>
      <xdr:spPr>
        <a:xfrm>
          <a:off x="8572501" y="89296"/>
          <a:ext cx="1891307" cy="67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rgbClr val="1E293B"/>
              </a:solidFill>
              <a:latin typeface="+mn-lt"/>
              <a:ea typeface="+mn-ea"/>
              <a:cs typeface="+mn-cs"/>
            </a:rPr>
            <a:t>funding vs </a:t>
          </a:r>
        </a:p>
        <a:p>
          <a:pPr algn="ctr"/>
          <a:r>
            <a:rPr lang="en-CA" sz="1700" b="1">
              <a:solidFill>
                <a:srgbClr val="1E293B"/>
              </a:solidFill>
              <a:latin typeface="+mn-lt"/>
              <a:ea typeface="+mn-ea"/>
              <a:cs typeface="+mn-cs"/>
            </a:rPr>
            <a:t>layoffs</a:t>
          </a:r>
        </a:p>
      </xdr:txBody>
    </xdr:sp>
    <xdr:clientData/>
  </xdr:twoCellAnchor>
  <xdr:twoCellAnchor>
    <xdr:from>
      <xdr:col>11</xdr:col>
      <xdr:colOff>223242</xdr:colOff>
      <xdr:row>0</xdr:row>
      <xdr:rowOff>119062</xdr:rowOff>
    </xdr:from>
    <xdr:to>
      <xdr:col>13</xdr:col>
      <xdr:colOff>422670</xdr:colOff>
      <xdr:row>3</xdr:row>
      <xdr:rowOff>148828</xdr:rowOff>
    </xdr:to>
    <xdr:sp macro="" textlink="">
      <xdr:nvSpPr>
        <xdr:cNvPr id="8" name="TextBox 7">
          <a:extLst>
            <a:ext uri="{FF2B5EF4-FFF2-40B4-BE49-F238E27FC236}">
              <a16:creationId xmlns:a16="http://schemas.microsoft.com/office/drawing/2014/main" id="{945F11F6-25AA-4F02-B608-901F5EC4D7A5}"/>
            </a:ext>
          </a:extLst>
        </xdr:cNvPr>
        <xdr:cNvSpPr txBox="1"/>
      </xdr:nvSpPr>
      <xdr:spPr>
        <a:xfrm>
          <a:off x="6935390" y="119062"/>
          <a:ext cx="1419819" cy="610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chemeClr val="bg1"/>
              </a:solidFill>
              <a:latin typeface="+mn-lt"/>
              <a:ea typeface="+mn-ea"/>
              <a:cs typeface="+mn-cs"/>
            </a:rPr>
            <a:t>overview</a:t>
          </a:r>
          <a:endParaRPr lang="en-CA" sz="1400" b="1">
            <a:solidFill>
              <a:schemeClr val="bg1"/>
            </a:solidFill>
            <a:latin typeface="+mn-lt"/>
            <a:ea typeface="+mn-ea"/>
            <a:cs typeface="+mn-cs"/>
          </a:endParaRPr>
        </a:p>
      </xdr:txBody>
    </xdr:sp>
    <xdr:clientData/>
  </xdr:twoCellAnchor>
  <xdr:twoCellAnchor>
    <xdr:from>
      <xdr:col>17</xdr:col>
      <xdr:colOff>431603</xdr:colOff>
      <xdr:row>1</xdr:row>
      <xdr:rowOff>29766</xdr:rowOff>
    </xdr:from>
    <xdr:to>
      <xdr:col>19</xdr:col>
      <xdr:colOff>163712</xdr:colOff>
      <xdr:row>3</xdr:row>
      <xdr:rowOff>60723</xdr:rowOff>
    </xdr:to>
    <xdr:sp macro="" textlink="">
      <xdr:nvSpPr>
        <xdr:cNvPr id="7" name="TextBox 6">
          <a:extLst>
            <a:ext uri="{FF2B5EF4-FFF2-40B4-BE49-F238E27FC236}">
              <a16:creationId xmlns:a16="http://schemas.microsoft.com/office/drawing/2014/main" id="{C9E6C132-54CA-42C7-A48F-8E8A9AA0DA60}"/>
            </a:ext>
          </a:extLst>
        </xdr:cNvPr>
        <xdr:cNvSpPr txBox="1"/>
      </xdr:nvSpPr>
      <xdr:spPr>
        <a:xfrm>
          <a:off x="10804923" y="223243"/>
          <a:ext cx="952500"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chemeClr val="bg1"/>
              </a:solidFill>
              <a:latin typeface="+mn-lt"/>
              <a:ea typeface="+mn-ea"/>
              <a:cs typeface="+mn-cs"/>
            </a:rPr>
            <a:t>insights</a:t>
          </a:r>
          <a:endParaRPr lang="en-CA" sz="1800" b="1">
            <a:solidFill>
              <a:schemeClr val="bg1"/>
            </a:solidFill>
            <a:latin typeface="+mn-lt"/>
            <a:ea typeface="+mn-ea"/>
            <a:cs typeface="+mn-cs"/>
          </a:endParaRPr>
        </a:p>
      </xdr:txBody>
    </xdr:sp>
    <xdr:clientData/>
  </xdr:twoCellAnchor>
  <xdr:twoCellAnchor>
    <xdr:from>
      <xdr:col>7</xdr:col>
      <xdr:colOff>202045</xdr:colOff>
      <xdr:row>6</xdr:row>
      <xdr:rowOff>144318</xdr:rowOff>
    </xdr:from>
    <xdr:to>
      <xdr:col>9</xdr:col>
      <xdr:colOff>505114</xdr:colOff>
      <xdr:row>9</xdr:row>
      <xdr:rowOff>14431</xdr:rowOff>
    </xdr:to>
    <xdr:sp macro="" textlink="Sheet1!H4">
      <xdr:nvSpPr>
        <xdr:cNvPr id="22" name="TextBox 21">
          <a:extLst>
            <a:ext uri="{FF2B5EF4-FFF2-40B4-BE49-F238E27FC236}">
              <a16:creationId xmlns:a16="http://schemas.microsoft.com/office/drawing/2014/main" id="{128B5329-A321-626E-068E-616C316D3586}"/>
            </a:ext>
          </a:extLst>
        </xdr:cNvPr>
        <xdr:cNvSpPr txBox="1"/>
      </xdr:nvSpPr>
      <xdr:spPr>
        <a:xfrm>
          <a:off x="4445000" y="1270000"/>
          <a:ext cx="1515341" cy="43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0895C4-F5CA-42F1-AB2E-38FD921BECEF}" type="TxLink">
            <a:rPr lang="en-US" sz="2000" b="1" i="0" u="none" strike="noStrike">
              <a:solidFill>
                <a:srgbClr val="F59E0B"/>
              </a:solidFill>
              <a:latin typeface="Calibri"/>
              <a:cs typeface="Calibri"/>
            </a:rPr>
            <a:pPr/>
            <a:t>579</a:t>
          </a:fld>
          <a:endParaRPr lang="en-CA"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116891</xdr:colOff>
      <xdr:row>36</xdr:row>
      <xdr:rowOff>16144</xdr:rowOff>
    </xdr:to>
    <xdr:pic>
      <xdr:nvPicPr>
        <xdr:cNvPr id="3" name="Picture 2">
          <a:extLst>
            <a:ext uri="{FF2B5EF4-FFF2-40B4-BE49-F238E27FC236}">
              <a16:creationId xmlns:a16="http://schemas.microsoft.com/office/drawing/2014/main" id="{4559CC0C-FC9E-CFD2-2F81-F3EDC433D5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86383" cy="6990381"/>
        </a:xfrm>
        <a:prstGeom prst="rect">
          <a:avLst/>
        </a:prstGeom>
      </xdr:spPr>
    </xdr:pic>
    <xdr:clientData/>
  </xdr:twoCellAnchor>
  <xdr:twoCellAnchor>
    <xdr:from>
      <xdr:col>3</xdr:col>
      <xdr:colOff>274449</xdr:colOff>
      <xdr:row>0</xdr:row>
      <xdr:rowOff>161441</xdr:rowOff>
    </xdr:from>
    <xdr:to>
      <xdr:col>9</xdr:col>
      <xdr:colOff>258306</xdr:colOff>
      <xdr:row>3</xdr:row>
      <xdr:rowOff>129153</xdr:rowOff>
    </xdr:to>
    <xdr:sp macro="" textlink="">
      <xdr:nvSpPr>
        <xdr:cNvPr id="7169" name="Text Box 1">
          <a:extLst>
            <a:ext uri="{FF2B5EF4-FFF2-40B4-BE49-F238E27FC236}">
              <a16:creationId xmlns:a16="http://schemas.microsoft.com/office/drawing/2014/main" id="{75AFE910-7FB7-9223-D5C6-3F90C34ECF06}"/>
            </a:ext>
          </a:extLst>
        </xdr:cNvPr>
        <xdr:cNvSpPr txBox="1">
          <a:spLocks noChangeArrowheads="1"/>
        </xdr:cNvSpPr>
      </xdr:nvSpPr>
      <xdr:spPr bwMode="auto">
        <a:xfrm>
          <a:off x="2114873" y="161441"/>
          <a:ext cx="3664704" cy="548898"/>
        </a:xfrm>
        <a:prstGeom prst="rect">
          <a:avLst/>
        </a:prstGeom>
        <a:noFill/>
        <a:ln w="9525">
          <a:noFill/>
          <a:miter lim="800000"/>
          <a:headEnd/>
          <a:tailEnd/>
        </a:ln>
      </xdr:spPr>
      <xdr:txBody>
        <a:bodyPr vertOverflow="clip" wrap="square" lIns="27432" tIns="18288" rIns="0" bIns="0" anchor="t" upright="1"/>
        <a:lstStyle/>
        <a:p>
          <a:pPr algn="l" rtl="0">
            <a:defRPr sz="1000"/>
          </a:pPr>
          <a:r>
            <a:rPr lang="en-CA" sz="3000" b="1">
              <a:solidFill>
                <a:schemeClr val="bg1"/>
              </a:solidFill>
            </a:rPr>
            <a:t>Insights &amp; Conclusions</a:t>
          </a:r>
          <a:endParaRPr lang="en-CA" sz="3000" b="1" i="0" u="none" strike="noStrike" baseline="0">
            <a:solidFill>
              <a:schemeClr val="bg1"/>
            </a:solidFill>
            <a:latin typeface="Calibri"/>
            <a:cs typeface="Calibri"/>
          </a:endParaRPr>
        </a:p>
      </xdr:txBody>
    </xdr:sp>
    <xdr:clientData/>
  </xdr:twoCellAnchor>
  <xdr:twoCellAnchor editAs="oneCell">
    <xdr:from>
      <xdr:col>0</xdr:col>
      <xdr:colOff>287262</xdr:colOff>
      <xdr:row>1</xdr:row>
      <xdr:rowOff>181428</xdr:rowOff>
    </xdr:from>
    <xdr:to>
      <xdr:col>1</xdr:col>
      <xdr:colOff>545704</xdr:colOff>
      <xdr:row>6</xdr:row>
      <xdr:rowOff>61894</xdr:rowOff>
    </xdr:to>
    <xdr:pic>
      <xdr:nvPicPr>
        <xdr:cNvPr id="7" name="Picture 6">
          <a:extLst>
            <a:ext uri="{FF2B5EF4-FFF2-40B4-BE49-F238E27FC236}">
              <a16:creationId xmlns:a16="http://schemas.microsoft.com/office/drawing/2014/main" id="{11B1280C-B963-4A9B-8DB2-91219BD266BE}"/>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87262" y="377976"/>
          <a:ext cx="863204" cy="863204"/>
        </a:xfrm>
        <a:prstGeom prst="rect">
          <a:avLst/>
        </a:prstGeom>
      </xdr:spPr>
    </xdr:pic>
    <xdr:clientData/>
  </xdr:twoCellAnchor>
  <xdr:twoCellAnchor>
    <xdr:from>
      <xdr:col>3</xdr:col>
      <xdr:colOff>396723</xdr:colOff>
      <xdr:row>5</xdr:row>
      <xdr:rowOff>60476</xdr:rowOff>
    </xdr:from>
    <xdr:to>
      <xdr:col>6</xdr:col>
      <xdr:colOff>563033</xdr:colOff>
      <xdr:row>9</xdr:row>
      <xdr:rowOff>60475</xdr:rowOff>
    </xdr:to>
    <xdr:sp macro="" textlink="">
      <xdr:nvSpPr>
        <xdr:cNvPr id="8" name="TextBox 7">
          <a:extLst>
            <a:ext uri="{FF2B5EF4-FFF2-40B4-BE49-F238E27FC236}">
              <a16:creationId xmlns:a16="http://schemas.microsoft.com/office/drawing/2014/main" id="{389C3EF1-200E-C732-379D-E081AD352DD6}"/>
            </a:ext>
          </a:extLst>
        </xdr:cNvPr>
        <xdr:cNvSpPr txBox="1"/>
      </xdr:nvSpPr>
      <xdr:spPr>
        <a:xfrm>
          <a:off x="2211009" y="1043214"/>
          <a:ext cx="1980595" cy="786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100" b="1">
              <a:solidFill>
                <a:srgbClr val="F59E0B"/>
              </a:solidFill>
            </a:rPr>
            <a:t>Key Insights</a:t>
          </a:r>
        </a:p>
      </xdr:txBody>
    </xdr:sp>
    <xdr:clientData/>
  </xdr:twoCellAnchor>
  <xdr:twoCellAnchor>
    <xdr:from>
      <xdr:col>2</xdr:col>
      <xdr:colOff>515256</xdr:colOff>
      <xdr:row>7</xdr:row>
      <xdr:rowOff>182638</xdr:rowOff>
    </xdr:from>
    <xdr:to>
      <xdr:col>18</xdr:col>
      <xdr:colOff>377976</xdr:colOff>
      <xdr:row>22</xdr:row>
      <xdr:rowOff>166308</xdr:rowOff>
    </xdr:to>
    <xdr:sp macro="" textlink="">
      <xdr:nvSpPr>
        <xdr:cNvPr id="9" name="TextBox 8">
          <a:extLst>
            <a:ext uri="{FF2B5EF4-FFF2-40B4-BE49-F238E27FC236}">
              <a16:creationId xmlns:a16="http://schemas.microsoft.com/office/drawing/2014/main" id="{846098C3-2AFA-4895-96DC-B8DFFAF9AB56}"/>
            </a:ext>
          </a:extLst>
        </xdr:cNvPr>
        <xdr:cNvSpPr txBox="1"/>
      </xdr:nvSpPr>
      <xdr:spPr>
        <a:xfrm>
          <a:off x="1724780" y="1558471"/>
          <a:ext cx="9538910" cy="293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tx1"/>
              </a:solidFill>
            </a:rPr>
            <a:t>Layoffs peaked between March and August 2020</a:t>
          </a:r>
          <a:r>
            <a:rPr lang="en-CA" sz="1700">
              <a:solidFill>
                <a:schemeClr val="tx1"/>
              </a:solidFill>
            </a:rPr>
            <a:t>, with the highest numbers during the mid-year months.</a:t>
          </a:r>
        </a:p>
        <a:p>
          <a:endParaRPr lang="en-CA" sz="1700">
            <a:solidFill>
              <a:schemeClr val="tx1"/>
            </a:solidFill>
          </a:endParaRPr>
        </a:p>
        <a:p>
          <a:r>
            <a:rPr lang="en-CA" sz="1700">
              <a:solidFill>
                <a:schemeClr val="tx1"/>
              </a:solidFill>
            </a:rPr>
            <a:t>The </a:t>
          </a:r>
          <a:r>
            <a:rPr lang="en-CA" sz="1700" b="1">
              <a:solidFill>
                <a:schemeClr val="tx1"/>
              </a:solidFill>
            </a:rPr>
            <a:t>United States consistently records the highest number of layoffs</a:t>
          </a:r>
          <a:r>
            <a:rPr lang="en-CA" sz="1700">
              <a:solidFill>
                <a:schemeClr val="tx1"/>
              </a:solidFill>
            </a:rPr>
            <a:t>, reflecting its large concentration of tech and startup companies.</a:t>
          </a:r>
        </a:p>
        <a:p>
          <a:endParaRPr lang="en-CA" sz="1700">
            <a:solidFill>
              <a:schemeClr val="tx1"/>
            </a:solidFill>
          </a:endParaRPr>
        </a:p>
        <a:p>
          <a:r>
            <a:rPr lang="en-CA" sz="1700" b="1">
              <a:solidFill>
                <a:schemeClr val="tx1"/>
              </a:solidFill>
            </a:rPr>
            <a:t>Highly funded companies still experienced layoffs</a:t>
          </a:r>
          <a:r>
            <a:rPr lang="en-CA" sz="1700">
              <a:solidFill>
                <a:schemeClr val="tx1"/>
              </a:solidFill>
            </a:rPr>
            <a:t>, indicating that strong funding does not always prevent workforce reductions.</a:t>
          </a:r>
        </a:p>
        <a:p>
          <a:endParaRPr lang="en-CA" sz="1700">
            <a:solidFill>
              <a:schemeClr val="tx1"/>
            </a:solidFill>
          </a:endParaRPr>
        </a:p>
        <a:p>
          <a:r>
            <a:rPr lang="en-CA" sz="1700" b="1">
              <a:solidFill>
                <a:schemeClr val="tx1"/>
              </a:solidFill>
            </a:rPr>
            <a:t>Funding is concentrated in industries such as Food, Transportation, and Finance</a:t>
          </a:r>
          <a:r>
            <a:rPr lang="en-CA" sz="1700">
              <a:solidFill>
                <a:schemeClr val="tx1"/>
              </a:solidFill>
            </a:rPr>
            <a:t>, but layoffs still occur in these sectors.</a:t>
          </a:r>
        </a:p>
        <a:p>
          <a:endParaRPr lang="en-CA" sz="1400" b="1">
            <a:solidFill>
              <a:srgbClr val="1E293B"/>
            </a:solidFill>
            <a:effectLst/>
          </a:endParaRPr>
        </a:p>
        <a:p>
          <a:endParaRPr lang="en-CA" sz="2800" b="1">
            <a:solidFill>
              <a:srgbClr val="1E293B"/>
            </a:solidFill>
            <a:effectLst/>
          </a:endParaRPr>
        </a:p>
      </xdr:txBody>
    </xdr:sp>
    <xdr:clientData/>
  </xdr:twoCellAnchor>
  <xdr:twoCellAnchor>
    <xdr:from>
      <xdr:col>2</xdr:col>
      <xdr:colOff>516466</xdr:colOff>
      <xdr:row>25</xdr:row>
      <xdr:rowOff>138490</xdr:rowOff>
    </xdr:from>
    <xdr:to>
      <xdr:col>18</xdr:col>
      <xdr:colOff>438453</xdr:colOff>
      <xdr:row>34</xdr:row>
      <xdr:rowOff>30238</xdr:rowOff>
    </xdr:to>
    <xdr:sp macro="" textlink="">
      <xdr:nvSpPr>
        <xdr:cNvPr id="10" name="TextBox 9">
          <a:extLst>
            <a:ext uri="{FF2B5EF4-FFF2-40B4-BE49-F238E27FC236}">
              <a16:creationId xmlns:a16="http://schemas.microsoft.com/office/drawing/2014/main" id="{B2A76DDD-4ED6-4E91-B90E-8B4298F8CF52}"/>
            </a:ext>
          </a:extLst>
        </xdr:cNvPr>
        <xdr:cNvSpPr txBox="1"/>
      </xdr:nvSpPr>
      <xdr:spPr>
        <a:xfrm>
          <a:off x="1725990" y="5052180"/>
          <a:ext cx="9598177" cy="166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a:solidFill>
                <a:schemeClr val="tx1"/>
              </a:solidFill>
            </a:rPr>
            <a:t>Overall, layoffs appear to be driven more by </a:t>
          </a:r>
          <a:r>
            <a:rPr lang="en-CA" sz="1700" b="1">
              <a:solidFill>
                <a:schemeClr val="tx1"/>
              </a:solidFill>
            </a:rPr>
            <a:t>market conditions and company restructuring</a:t>
          </a:r>
          <a:r>
            <a:rPr lang="en-CA" sz="1700">
              <a:solidFill>
                <a:schemeClr val="tx1"/>
              </a:solidFill>
            </a:rPr>
            <a:t> than by funding levels alone.</a:t>
          </a:r>
        </a:p>
        <a:p>
          <a:br>
            <a:rPr lang="en-CA" sz="1700">
              <a:solidFill>
                <a:schemeClr val="tx1"/>
              </a:solidFill>
            </a:rPr>
          </a:br>
          <a:r>
            <a:rPr lang="en-CA" sz="1700">
              <a:solidFill>
                <a:schemeClr val="tx1"/>
              </a:solidFill>
            </a:rPr>
            <a:t>The data also shows that layoffs are </a:t>
          </a:r>
          <a:r>
            <a:rPr lang="en-CA" sz="1700" b="1">
              <a:solidFill>
                <a:schemeClr val="tx1"/>
              </a:solidFill>
            </a:rPr>
            <a:t>highly concentrated in the United States and peaked during mid-2020</a:t>
          </a:r>
          <a:r>
            <a:rPr lang="en-CA" sz="1700">
              <a:solidFill>
                <a:schemeClr val="tx1"/>
              </a:solidFill>
            </a:rPr>
            <a:t>, highlighting the strong impact of economic disruptions during that period.</a:t>
          </a:r>
          <a:endParaRPr lang="en-CA" sz="1700">
            <a:solidFill>
              <a:schemeClr val="tx1"/>
            </a:solidFill>
            <a:effectLst/>
          </a:endParaRPr>
        </a:p>
      </xdr:txBody>
    </xdr:sp>
    <xdr:clientData/>
  </xdr:twoCellAnchor>
  <xdr:twoCellAnchor>
    <xdr:from>
      <xdr:col>3</xdr:col>
      <xdr:colOff>351366</xdr:colOff>
      <xdr:row>22</xdr:row>
      <xdr:rowOff>185055</xdr:rowOff>
    </xdr:from>
    <xdr:to>
      <xdr:col>6</xdr:col>
      <xdr:colOff>517676</xdr:colOff>
      <xdr:row>26</xdr:row>
      <xdr:rowOff>185055</xdr:rowOff>
    </xdr:to>
    <xdr:sp macro="" textlink="">
      <xdr:nvSpPr>
        <xdr:cNvPr id="11" name="TextBox 10">
          <a:extLst>
            <a:ext uri="{FF2B5EF4-FFF2-40B4-BE49-F238E27FC236}">
              <a16:creationId xmlns:a16="http://schemas.microsoft.com/office/drawing/2014/main" id="{A9181C59-6C0A-492A-99D7-7CD80D195066}"/>
            </a:ext>
          </a:extLst>
        </xdr:cNvPr>
        <xdr:cNvSpPr txBox="1"/>
      </xdr:nvSpPr>
      <xdr:spPr>
        <a:xfrm>
          <a:off x="2165652" y="4509103"/>
          <a:ext cx="1980595" cy="786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100" b="1">
              <a:solidFill>
                <a:srgbClr val="F59E0B"/>
              </a:solidFill>
            </a:rPr>
            <a:t>Conclusion</a:t>
          </a:r>
        </a:p>
      </xdr:txBody>
    </xdr:sp>
    <xdr:clientData/>
  </xdr:twoCellAnchor>
  <xdr:twoCellAnchor>
    <xdr:from>
      <xdr:col>17</xdr:col>
      <xdr:colOff>105833</xdr:colOff>
      <xdr:row>0</xdr:row>
      <xdr:rowOff>151191</xdr:rowOff>
    </xdr:from>
    <xdr:to>
      <xdr:col>20</xdr:col>
      <xdr:colOff>17953</xdr:colOff>
      <xdr:row>3</xdr:row>
      <xdr:rowOff>112213</xdr:rowOff>
    </xdr:to>
    <xdr:sp macro="" textlink="">
      <xdr:nvSpPr>
        <xdr:cNvPr id="2" name="Rectangle: Rounded Corners 1">
          <a:extLst>
            <a:ext uri="{FF2B5EF4-FFF2-40B4-BE49-F238E27FC236}">
              <a16:creationId xmlns:a16="http://schemas.microsoft.com/office/drawing/2014/main" id="{0999467A-2C5F-445E-B730-F778CA8A5068}"/>
            </a:ext>
          </a:extLst>
        </xdr:cNvPr>
        <xdr:cNvSpPr/>
      </xdr:nvSpPr>
      <xdr:spPr>
        <a:xfrm>
          <a:off x="10386785" y="151191"/>
          <a:ext cx="1726406" cy="550665"/>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14</xdr:col>
      <xdr:colOff>90715</xdr:colOff>
      <xdr:row>0</xdr:row>
      <xdr:rowOff>151192</xdr:rowOff>
    </xdr:from>
    <xdr:to>
      <xdr:col>17</xdr:col>
      <xdr:colOff>2836</xdr:colOff>
      <xdr:row>3</xdr:row>
      <xdr:rowOff>112214</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5BFA1EF4-6952-4943-9589-5C4F36530921}"/>
            </a:ext>
          </a:extLst>
        </xdr:cNvPr>
        <xdr:cNvSpPr/>
      </xdr:nvSpPr>
      <xdr:spPr>
        <a:xfrm>
          <a:off x="8557382" y="151192"/>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61687</xdr:colOff>
      <xdr:row>0</xdr:row>
      <xdr:rowOff>137281</xdr:rowOff>
    </xdr:from>
    <xdr:to>
      <xdr:col>13</xdr:col>
      <xdr:colOff>578569</xdr:colOff>
      <xdr:row>3</xdr:row>
      <xdr:rowOff>98303</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AA51EA71-9BA2-4B8B-B807-1721249EE0F5}"/>
            </a:ext>
          </a:extLst>
        </xdr:cNvPr>
        <xdr:cNvSpPr/>
      </xdr:nvSpPr>
      <xdr:spPr>
        <a:xfrm>
          <a:off x="6714068" y="137281"/>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193729</xdr:colOff>
      <xdr:row>0</xdr:row>
      <xdr:rowOff>113009</xdr:rowOff>
    </xdr:from>
    <xdr:to>
      <xdr:col>13</xdr:col>
      <xdr:colOff>388820</xdr:colOff>
      <xdr:row>3</xdr:row>
      <xdr:rowOff>116029</xdr:rowOff>
    </xdr:to>
    <xdr:sp macro="" textlink="">
      <xdr:nvSpPr>
        <xdr:cNvPr id="4" name="TextBox 3">
          <a:extLst>
            <a:ext uri="{FF2B5EF4-FFF2-40B4-BE49-F238E27FC236}">
              <a16:creationId xmlns:a16="http://schemas.microsoft.com/office/drawing/2014/main" id="{01413869-30BA-4982-8BB0-ED1F580175E0}"/>
            </a:ext>
          </a:extLst>
        </xdr:cNvPr>
        <xdr:cNvSpPr txBox="1"/>
      </xdr:nvSpPr>
      <xdr:spPr>
        <a:xfrm>
          <a:off x="6941949" y="113009"/>
          <a:ext cx="1422040" cy="584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chemeClr val="bg1"/>
              </a:solidFill>
              <a:latin typeface="+mn-lt"/>
              <a:ea typeface="+mn-ea"/>
              <a:cs typeface="+mn-cs"/>
            </a:rPr>
            <a:t>overview</a:t>
          </a:r>
          <a:endParaRPr lang="en-CA" sz="1400" b="1">
            <a:solidFill>
              <a:schemeClr val="bg1"/>
            </a:solidFill>
            <a:latin typeface="+mn-lt"/>
            <a:ea typeface="+mn-ea"/>
            <a:cs typeface="+mn-cs"/>
          </a:endParaRPr>
        </a:p>
      </xdr:txBody>
    </xdr:sp>
    <xdr:clientData/>
  </xdr:twoCellAnchor>
  <xdr:twoCellAnchor>
    <xdr:from>
      <xdr:col>17</xdr:col>
      <xdr:colOff>493291</xdr:colOff>
      <xdr:row>1</xdr:row>
      <xdr:rowOff>11274</xdr:rowOff>
    </xdr:from>
    <xdr:to>
      <xdr:col>20</xdr:col>
      <xdr:colOff>547506</xdr:colOff>
      <xdr:row>3</xdr:row>
      <xdr:rowOff>24400</xdr:rowOff>
    </xdr:to>
    <xdr:sp macro="" textlink="">
      <xdr:nvSpPr>
        <xdr:cNvPr id="6" name="TextBox 5">
          <a:extLst>
            <a:ext uri="{FF2B5EF4-FFF2-40B4-BE49-F238E27FC236}">
              <a16:creationId xmlns:a16="http://schemas.microsoft.com/office/drawing/2014/main" id="{DF780A5C-3429-4797-99A4-D35DD3936759}"/>
            </a:ext>
          </a:extLst>
        </xdr:cNvPr>
        <xdr:cNvSpPr txBox="1"/>
      </xdr:nvSpPr>
      <xdr:spPr>
        <a:xfrm>
          <a:off x="10774243" y="207822"/>
          <a:ext cx="1868501" cy="4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1E293B"/>
              </a:solidFill>
              <a:latin typeface="+mn-lt"/>
              <a:ea typeface="+mn-ea"/>
              <a:cs typeface="+mn-cs"/>
            </a:rPr>
            <a:t>insights</a:t>
          </a:r>
          <a:endParaRPr lang="en-CA" sz="1800" b="1">
            <a:solidFill>
              <a:srgbClr val="1E293B"/>
            </a:solidFill>
            <a:latin typeface="+mn-lt"/>
            <a:ea typeface="+mn-ea"/>
            <a:cs typeface="+mn-cs"/>
          </a:endParaRPr>
        </a:p>
      </xdr:txBody>
    </xdr:sp>
    <xdr:clientData/>
  </xdr:twoCellAnchor>
  <xdr:twoCellAnchor>
    <xdr:from>
      <xdr:col>14</xdr:col>
      <xdr:colOff>332618</xdr:colOff>
      <xdr:row>0</xdr:row>
      <xdr:rowOff>64576</xdr:rowOff>
    </xdr:from>
    <xdr:to>
      <xdr:col>16</xdr:col>
      <xdr:colOff>347738</xdr:colOff>
      <xdr:row>3</xdr:row>
      <xdr:rowOff>136653</xdr:rowOff>
    </xdr:to>
    <xdr:sp macro="" textlink="">
      <xdr:nvSpPr>
        <xdr:cNvPr id="5" name="TextBox 4">
          <a:extLst>
            <a:ext uri="{FF2B5EF4-FFF2-40B4-BE49-F238E27FC236}">
              <a16:creationId xmlns:a16="http://schemas.microsoft.com/office/drawing/2014/main" id="{5B625F06-C449-4E98-9C95-61900F350F8F}"/>
            </a:ext>
          </a:extLst>
        </xdr:cNvPr>
        <xdr:cNvSpPr txBox="1"/>
      </xdr:nvSpPr>
      <xdr:spPr>
        <a:xfrm>
          <a:off x="8799285" y="64576"/>
          <a:ext cx="1224643" cy="661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chemeClr val="bg1"/>
              </a:solidFill>
              <a:latin typeface="+mn-lt"/>
              <a:ea typeface="+mn-ea"/>
              <a:cs typeface="+mn-cs"/>
            </a:rPr>
            <a:t>funding vs </a:t>
          </a:r>
        </a:p>
        <a:p>
          <a:pPr algn="ctr"/>
          <a:r>
            <a:rPr lang="en-CA" sz="1700" b="1">
              <a:solidFill>
                <a:schemeClr val="bg1"/>
              </a:solidFill>
              <a:latin typeface="+mn-lt"/>
              <a:ea typeface="+mn-ea"/>
              <a:cs typeface="+mn-cs"/>
            </a:rPr>
            <a:t>layoffs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116891</xdr:colOff>
      <xdr:row>36</xdr:row>
      <xdr:rowOff>116428</xdr:rowOff>
    </xdr:to>
    <xdr:pic>
      <xdr:nvPicPr>
        <xdr:cNvPr id="3" name="Picture 2">
          <a:extLst>
            <a:ext uri="{FF2B5EF4-FFF2-40B4-BE49-F238E27FC236}">
              <a16:creationId xmlns:a16="http://schemas.microsoft.com/office/drawing/2014/main" id="{E5BD0546-72C7-A057-125B-B14F67261F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08891" cy="6974428"/>
        </a:xfrm>
        <a:prstGeom prst="rect">
          <a:avLst/>
        </a:prstGeom>
      </xdr:spPr>
    </xdr:pic>
    <xdr:clientData/>
  </xdr:twoCellAnchor>
  <xdr:twoCellAnchor>
    <xdr:from>
      <xdr:col>10</xdr:col>
      <xdr:colOff>527541</xdr:colOff>
      <xdr:row>0</xdr:row>
      <xdr:rowOff>43962</xdr:rowOff>
    </xdr:from>
    <xdr:to>
      <xdr:col>20</xdr:col>
      <xdr:colOff>58615</xdr:colOff>
      <xdr:row>4</xdr:row>
      <xdr:rowOff>87923</xdr:rowOff>
    </xdr:to>
    <xdr:sp macro="" textlink="">
      <xdr:nvSpPr>
        <xdr:cNvPr id="4" name="Rectangle: Rounded Corners 3">
          <a:extLst>
            <a:ext uri="{FF2B5EF4-FFF2-40B4-BE49-F238E27FC236}">
              <a16:creationId xmlns:a16="http://schemas.microsoft.com/office/drawing/2014/main" id="{5E4110E5-8004-16D9-7187-BD8D1B2AFCDC}"/>
            </a:ext>
          </a:extLst>
        </xdr:cNvPr>
        <xdr:cNvSpPr/>
      </xdr:nvSpPr>
      <xdr:spPr>
        <a:xfrm>
          <a:off x="6682156" y="43962"/>
          <a:ext cx="5685690" cy="805961"/>
        </a:xfrm>
        <a:prstGeom prst="roundRect">
          <a:avLst/>
        </a:prstGeom>
        <a:solidFill>
          <a:srgbClr val="3341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102577</xdr:colOff>
      <xdr:row>0</xdr:row>
      <xdr:rowOff>87923</xdr:rowOff>
    </xdr:from>
    <xdr:to>
      <xdr:col>9</xdr:col>
      <xdr:colOff>571500</xdr:colOff>
      <xdr:row>3</xdr:row>
      <xdr:rowOff>146538</xdr:rowOff>
    </xdr:to>
    <xdr:sp macro="" textlink="">
      <xdr:nvSpPr>
        <xdr:cNvPr id="5" name="TextBox 4">
          <a:extLst>
            <a:ext uri="{FF2B5EF4-FFF2-40B4-BE49-F238E27FC236}">
              <a16:creationId xmlns:a16="http://schemas.microsoft.com/office/drawing/2014/main" id="{41A8E10E-1199-8937-2415-A7B6A1A18C0F}"/>
            </a:ext>
          </a:extLst>
        </xdr:cNvPr>
        <xdr:cNvSpPr txBox="1"/>
      </xdr:nvSpPr>
      <xdr:spPr>
        <a:xfrm>
          <a:off x="1948962" y="87923"/>
          <a:ext cx="4161692" cy="63011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b="1">
              <a:solidFill>
                <a:schemeClr val="bg1"/>
              </a:solidFill>
            </a:rPr>
            <a:t>Dashboard </a:t>
          </a:r>
          <a:r>
            <a:rPr lang="en-CA" sz="2800" b="1">
              <a:solidFill>
                <a:schemeClr val="bg1"/>
              </a:solidFill>
            </a:rPr>
            <a:t>Instructions</a:t>
          </a:r>
          <a:endParaRPr lang="en-CA" sz="2400" b="1">
            <a:solidFill>
              <a:schemeClr val="bg1"/>
            </a:solidFill>
          </a:endParaRPr>
        </a:p>
      </xdr:txBody>
    </xdr:sp>
    <xdr:clientData/>
  </xdr:twoCellAnchor>
  <xdr:twoCellAnchor>
    <xdr:from>
      <xdr:col>2</xdr:col>
      <xdr:colOff>491614</xdr:colOff>
      <xdr:row>4</xdr:row>
      <xdr:rowOff>35879</xdr:rowOff>
    </xdr:from>
    <xdr:to>
      <xdr:col>19</xdr:col>
      <xdr:colOff>398795</xdr:colOff>
      <xdr:row>34</xdr:row>
      <xdr:rowOff>122903</xdr:rowOff>
    </xdr:to>
    <xdr:sp macro="" textlink="">
      <xdr:nvSpPr>
        <xdr:cNvPr id="6" name="TextBox 5">
          <a:extLst>
            <a:ext uri="{FF2B5EF4-FFF2-40B4-BE49-F238E27FC236}">
              <a16:creationId xmlns:a16="http://schemas.microsoft.com/office/drawing/2014/main" id="{9F4C95ED-C046-4C5C-909B-0CD660D6C989}"/>
            </a:ext>
          </a:extLst>
        </xdr:cNvPr>
        <xdr:cNvSpPr txBox="1"/>
      </xdr:nvSpPr>
      <xdr:spPr>
        <a:xfrm>
          <a:off x="1720646" y="773298"/>
          <a:ext cx="10353955" cy="561767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600" b="1"/>
        </a:p>
        <a:p>
          <a:r>
            <a:rPr lang="en-CA" sz="1800" b="1">
              <a:solidFill>
                <a:srgbClr val="F59E0B"/>
              </a:solidFill>
            </a:rPr>
            <a:t>Overview</a:t>
          </a:r>
        </a:p>
        <a:p>
          <a:r>
            <a:rPr lang="en-CA" sz="1800">
              <a:solidFill>
                <a:schemeClr val="tx1"/>
              </a:solidFill>
            </a:rPr>
            <a:t>This dashboard analyzes layoffs and funding trends using interactive Excel visuals.</a:t>
          </a:r>
        </a:p>
        <a:p>
          <a:endParaRPr lang="en-CA" sz="1800">
            <a:solidFill>
              <a:schemeClr val="tx1"/>
            </a:solidFill>
          </a:endParaRPr>
        </a:p>
        <a:p>
          <a:r>
            <a:rPr lang="en-CA" sz="1800" b="1">
              <a:solidFill>
                <a:srgbClr val="F59E0B"/>
              </a:solidFill>
            </a:rPr>
            <a:t>How to Use</a:t>
          </a:r>
        </a:p>
        <a:p>
          <a:r>
            <a:rPr lang="en-CA" sz="1800">
              <a:solidFill>
                <a:schemeClr val="tx1"/>
              </a:solidFill>
            </a:rPr>
            <a:t>Use </a:t>
          </a:r>
          <a:r>
            <a:rPr lang="en-CA" sz="1800" b="1">
              <a:solidFill>
                <a:schemeClr val="tx1"/>
              </a:solidFill>
            </a:rPr>
            <a:t>Year</a:t>
          </a:r>
          <a:r>
            <a:rPr lang="en-CA" sz="1800">
              <a:solidFill>
                <a:schemeClr val="tx1"/>
              </a:solidFill>
            </a:rPr>
            <a:t> and </a:t>
          </a:r>
          <a:r>
            <a:rPr lang="en-CA" sz="1800" b="1">
              <a:solidFill>
                <a:schemeClr val="tx1"/>
              </a:solidFill>
            </a:rPr>
            <a:t>Month slicers</a:t>
          </a:r>
          <a:r>
            <a:rPr lang="en-CA" sz="1800">
              <a:solidFill>
                <a:schemeClr val="tx1"/>
              </a:solidFill>
            </a:rPr>
            <a:t> to filter data</a:t>
          </a:r>
        </a:p>
        <a:p>
          <a:r>
            <a:rPr lang="en-CA" sz="1800">
              <a:solidFill>
                <a:schemeClr val="tx1"/>
              </a:solidFill>
            </a:rPr>
            <a:t>Navigate between pages: Overview, Funding vs Layoffs, Insights</a:t>
          </a:r>
        </a:p>
        <a:p>
          <a:r>
            <a:rPr lang="en-CA" sz="1800">
              <a:solidFill>
                <a:schemeClr val="tx1"/>
              </a:solidFill>
            </a:rPr>
            <a:t>All charts and KPIs update dynamically</a:t>
          </a:r>
        </a:p>
        <a:p>
          <a:endParaRPr lang="en-CA" sz="1800">
            <a:solidFill>
              <a:schemeClr val="tx1"/>
            </a:solidFill>
          </a:endParaRPr>
        </a:p>
        <a:p>
          <a:r>
            <a:rPr lang="en-CA" sz="1800" b="1">
              <a:solidFill>
                <a:srgbClr val="F59E0B"/>
              </a:solidFill>
            </a:rPr>
            <a:t>Data Source &amp; Cleaning</a:t>
          </a:r>
        </a:p>
        <a:p>
          <a:r>
            <a:rPr lang="en-CA" sz="1800">
              <a:solidFill>
                <a:schemeClr val="tx1"/>
              </a:solidFill>
            </a:rPr>
            <a:t>Data was cleaned and prepared using </a:t>
          </a:r>
          <a:r>
            <a:rPr lang="en-CA" sz="1800" b="1">
              <a:solidFill>
                <a:schemeClr val="tx1"/>
              </a:solidFill>
            </a:rPr>
            <a:t>MySQL, </a:t>
          </a:r>
          <a:r>
            <a:rPr lang="en-CA" sz="1800" b="0" baseline="0">
              <a:solidFill>
                <a:schemeClr val="tx1"/>
              </a:solidFill>
            </a:rPr>
            <a:t> </a:t>
          </a:r>
        </a:p>
        <a:p>
          <a:r>
            <a:rPr lang="en-CA" sz="1800">
              <a:solidFill>
                <a:schemeClr val="tx1"/>
              </a:solidFill>
            </a:rPr>
            <a:t>Cleaning steps included handling missing values, removing duplicates, and standardizing data</a:t>
          </a:r>
        </a:p>
        <a:p>
          <a:r>
            <a:rPr lang="en-CA" sz="1800">
              <a:solidFill>
                <a:schemeClr val="tx1"/>
              </a:solidFill>
            </a:rPr>
            <a:t>The cleaned dataset was then used in Excel for analysis</a:t>
          </a:r>
          <a:br>
            <a:rPr lang="en-CA" sz="1800">
              <a:solidFill>
                <a:schemeClr val="tx1"/>
              </a:solidFill>
            </a:rPr>
          </a:br>
          <a:endParaRPr lang="en-CA" sz="1800">
            <a:solidFill>
              <a:schemeClr val="tx1"/>
            </a:solidFill>
          </a:endParaRPr>
        </a:p>
        <a:p>
          <a:r>
            <a:rPr lang="en-CA" sz="1800" b="1">
              <a:solidFill>
                <a:srgbClr val="F59E0B"/>
              </a:solidFill>
            </a:rPr>
            <a:t>Excel Features Used</a:t>
          </a:r>
        </a:p>
        <a:p>
          <a:r>
            <a:rPr lang="en-CA" sz="1800">
              <a:solidFill>
                <a:schemeClr val="tx1"/>
              </a:solidFill>
            </a:rPr>
            <a:t>Pivot Tables &amp; Charts</a:t>
          </a:r>
          <a:r>
            <a:rPr lang="en-CA" sz="1800" baseline="0">
              <a:solidFill>
                <a:schemeClr val="tx1"/>
              </a:solidFill>
            </a:rPr>
            <a:t> / </a:t>
          </a:r>
          <a:r>
            <a:rPr lang="en-CA" sz="1800">
              <a:solidFill>
                <a:schemeClr val="tx1"/>
              </a:solidFill>
            </a:rPr>
            <a:t>Slicers</a:t>
          </a:r>
          <a:r>
            <a:rPr lang="en-CA" sz="1800" baseline="0">
              <a:solidFill>
                <a:schemeClr val="tx1"/>
              </a:solidFill>
            </a:rPr>
            <a:t> / </a:t>
          </a:r>
          <a:r>
            <a:rPr lang="en-CA" sz="1800">
              <a:solidFill>
                <a:schemeClr val="tx1"/>
              </a:solidFill>
            </a:rPr>
            <a:t>VLOOKUP</a:t>
          </a:r>
          <a:r>
            <a:rPr lang="en-CA" sz="1800" baseline="0">
              <a:solidFill>
                <a:schemeClr val="tx1"/>
              </a:solidFill>
            </a:rPr>
            <a:t> / </a:t>
          </a:r>
          <a:r>
            <a:rPr lang="en-CA" sz="1800">
              <a:solidFill>
                <a:schemeClr val="tx1"/>
              </a:solidFill>
            </a:rPr>
            <a:t>RANK</a:t>
          </a:r>
          <a:r>
            <a:rPr lang="en-CA" sz="1800" baseline="0">
              <a:solidFill>
                <a:schemeClr val="tx1"/>
              </a:solidFill>
            </a:rPr>
            <a:t> / </a:t>
          </a:r>
          <a:r>
            <a:rPr lang="en-CA" sz="1800">
              <a:solidFill>
                <a:schemeClr val="tx1"/>
              </a:solidFill>
            </a:rPr>
            <a:t>GETPIVOTDATA</a:t>
          </a:r>
          <a:r>
            <a:rPr lang="en-CA" sz="1800" baseline="0">
              <a:solidFill>
                <a:schemeClr val="tx1"/>
              </a:solidFill>
            </a:rPr>
            <a:t> / </a:t>
          </a:r>
          <a:r>
            <a:rPr lang="en-CA" sz="1800">
              <a:solidFill>
                <a:schemeClr val="tx1"/>
              </a:solidFill>
            </a:rPr>
            <a:t>SUM / AVERAGE</a:t>
          </a:r>
        </a:p>
        <a:p>
          <a:endParaRPr lang="en-CA" sz="1800">
            <a:solidFill>
              <a:schemeClr val="tx1"/>
            </a:solidFill>
          </a:endParaRPr>
        </a:p>
        <a:p>
          <a:r>
            <a:rPr lang="en-CA" sz="1800" b="1">
              <a:solidFill>
                <a:srgbClr val="F59E0B"/>
              </a:solidFill>
            </a:rPr>
            <a:t>Notes</a:t>
          </a:r>
        </a:p>
        <a:p>
          <a:r>
            <a:rPr lang="en-CA" sz="1800">
              <a:solidFill>
                <a:schemeClr val="tx1"/>
              </a:solidFill>
            </a:rPr>
            <a:t>Analysis sheet is hidden for clarity</a:t>
          </a:r>
          <a:r>
            <a:rPr lang="en-CA" sz="1800" baseline="0">
              <a:solidFill>
                <a:schemeClr val="tx1"/>
              </a:solidFill>
            </a:rPr>
            <a:t>  </a:t>
          </a:r>
          <a:r>
            <a:rPr lang="en-CA" sz="1800">
              <a:solidFill>
                <a:schemeClr val="tx1"/>
              </a:solidFill>
            </a:rPr>
            <a:t>Dashboard is fully dynamic and interactive</a:t>
          </a:r>
          <a:endParaRPr lang="en-CA" sz="24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3.68836122685" createdVersion="8" refreshedVersion="8" minRefreshableVersion="3" recordCount="1000" xr:uid="{B8AF07BF-7DB3-43A9-ABD2-490ACD58A2D4}">
  <cacheSource type="worksheet">
    <worksheetSource name="Table1"/>
  </cacheSource>
  <cacheFields count="19">
    <cacheField name="company" numFmtId="49">
      <sharedItems containsMixedTypes="1" containsNumber="1" containsInteger="1" minValue="99" maxValue="99" count="823">
        <s v="Included Health"/>
        <s v="&amp;Open"/>
        <s v="#Paid"/>
        <s v="100 Thieves"/>
        <s v="10X Genomics"/>
        <s v="1stdibs"/>
        <s v="2TM"/>
        <s v="2U"/>
        <s v="54gene"/>
        <s v="5B Solar"/>
        <s v="6sense"/>
        <s v="80 Acres Farms"/>
        <s v="8x8"/>
        <s v="98point6"/>
        <n v="99"/>
        <s v="Abra"/>
        <s v="Absci"/>
        <s v="Acast"/>
        <s v="Acko"/>
        <s v="Acorns"/>
        <s v="Actifio"/>
        <s v="ActiveCampaign"/>
        <s v="Ada"/>
        <s v="Ada Health"/>
        <s v="Ada Support"/>
        <s v="Adaptive Biotechnologies"/>
        <s v="Addepar"/>
        <s v="Adobe"/>
        <s v="AdRoll"/>
        <s v="Advata"/>
        <s v="Adwerx"/>
        <s v="Affirm"/>
        <s v="Afterverse"/>
        <s v="Agoda"/>
        <s v="Ahead"/>
        <s v="Air"/>
        <s v="Airbnb"/>
        <s v="Airlift"/>
        <s v="Airtable"/>
        <s v="Airtame"/>
        <s v="Airtime"/>
        <s v="Airy Rooms"/>
        <s v="Aiven"/>
        <s v="Ajaib"/>
        <s v="Akili Labs"/>
        <s v="Akulaku"/>
        <s v="AlayaCare"/>
        <s v="Albert"/>
        <s v="Alerzo"/>
        <s v="Alice"/>
        <s v="AliExpress Russia"/>
        <s v="Allbirds"/>
        <s v="Alto Pharmacy"/>
        <s v="Amazon"/>
        <s v="Amber Group"/>
        <s v="Ambev Tech"/>
        <s v="Amdocs"/>
        <s v="American Robotics"/>
        <s v="Amount"/>
        <s v="Amperity"/>
        <s v="Amplero"/>
        <s v="Anagram"/>
        <s v="Andela"/>
        <s v="AngelList"/>
        <s v="Anodot"/>
        <s v="Antidote Health"/>
        <s v="Anywell"/>
        <s v="Apartment List"/>
        <s v="Apollo"/>
        <s v="Apollo Insurance"/>
        <s v="App Annie"/>
        <s v="Appgate"/>
        <s v="AppLovin"/>
        <s v="ApplyBoard"/>
        <s v="Aqgromalin"/>
        <s v="Aqua Security"/>
        <s v="Arc"/>
        <s v="Arch Oncology"/>
        <s v="Argo AI"/>
        <s v="Argyle"/>
        <s v="Armis"/>
        <s v="Arrival"/>
        <s v="Arrive Logistics"/>
        <s v="Article"/>
        <s v="Articulate"/>
        <s v="Artnight"/>
        <s v="Asana"/>
        <s v="Aspire"/>
        <s v="Assure"/>
        <s v="Astra"/>
        <s v="Astronomer"/>
        <s v="Atlanta Tech Village"/>
        <s v="Atlas Obscura"/>
        <s v="Atlassian"/>
        <s v="AtoB"/>
        <s v="Atsu"/>
        <s v="Attentive"/>
        <s v="AU10TIX"/>
        <s v="Augury"/>
        <s v="Aura"/>
        <s v="Aura Financial"/>
        <s v="Autodesk"/>
        <s v="Automatic"/>
        <s v="Automation Anywhere"/>
        <s v="Automox"/>
        <s v="Avantage Entertainment"/>
        <s v="AvantStay"/>
        <s v="Avast"/>
        <s v="Avo"/>
        <s v="Away"/>
        <s v="Awok"/>
        <s v="Aya"/>
        <s v="B8ta"/>
        <s v="Babylon"/>
        <s v="Back Market"/>
        <s v="Bakkt"/>
        <s v="Bally's Interactive"/>
        <s v="Balto"/>
        <s v="Bamboo Health"/>
        <s v="Banxa"/>
        <s v="Baraja"/>
        <s v="Bark"/>
        <s v="Baton"/>
        <s v="Beam Benefits"/>
        <s v="Beamery"/>
        <s v="BeeTech"/>
        <s v="Bench"/>
        <s v="Benevity"/>
        <s v="Benitago Group"/>
        <s v="Berkeley Lights"/>
        <s v="Berlin Brands Group"/>
        <s v="Bestow"/>
        <s v="Better.com"/>
        <s v="Betterfly"/>
        <s v="Betterment"/>
        <s v="Bevi"/>
        <s v="Beyond Meat"/>
        <s v="BeyondMinds"/>
        <s v="BharatAgri"/>
        <s v="Big Fish Games"/>
        <s v="BigBear.ai"/>
        <s v="BigCommerce"/>
        <s v="Bilibili"/>
        <s v="BioMarin"/>
        <s v="Bird"/>
        <s v="Bitfront"/>
        <s v="BitGo"/>
        <s v="BitMEX"/>
        <s v="BitOasis"/>
        <s v="Bitpanda"/>
        <s v="Bitrise"/>
        <s v="BitSight"/>
        <s v="Bitso"/>
        <s v="BitTitan"/>
        <s v="BitTorrent"/>
        <s v="Bittrex"/>
        <s v="Bizongo"/>
        <s v="Bizpay"/>
        <s v="Bizzabo"/>
        <s v="Black Shark"/>
        <s v="Blackbaud"/>
        <s v="BlackBuck"/>
        <s v="BlackLine"/>
        <s v="Bleacher Report"/>
        <s v="Blend"/>
        <s v="Blockchain.com"/>
        <s v="BlockFi"/>
        <s v="BloomTech"/>
        <s v="Blue Apron"/>
        <s v="Blueground"/>
        <s v="BlueStacks"/>
        <s v="Blume Global"/>
        <s v="Bluprint"/>
        <s v="BM Technologies"/>
        <s v="Bolt"/>
        <s v="Bonsai"/>
        <s v="Bonterra"/>
        <s v="BookClub"/>
        <s v="Booking.com"/>
        <s v="BookMyShow"/>
        <s v="Booksy"/>
        <s v="Booktopia"/>
        <s v="Boosted Commerce"/>
        <s v="Boozt"/>
        <s v="Borrowell"/>
        <s v="Bossa Nova"/>
        <s v="Bounce"/>
        <s v="BounceX"/>
        <s v="Brainly"/>
        <s v="Branch"/>
        <s v="Branch Metrics"/>
        <s v="Brave Care"/>
        <s v="Breathe"/>
        <s v="Breather"/>
        <s v="Brex"/>
        <s v="Bridge Connector"/>
        <s v="Bridgit"/>
        <s v="Bright Machines"/>
        <s v="Bright Money"/>
        <s v="Brighte"/>
        <s v="Brightline"/>
        <s v="Bringg"/>
        <s v="Britishvolt"/>
        <s v="Briza"/>
        <s v="Brodmann17"/>
        <s v="Bryter"/>
        <s v="Buenbit"/>
        <s v="Builder"/>
        <s v="Built In"/>
        <s v="Bullhorn"/>
        <s v="Bullish"/>
        <s v="Bungalow"/>
        <s v="BusBud"/>
        <s v="Buser"/>
        <s v="Bustle Digital Group"/>
        <s v="Butler Hospitality"/>
        <s v="Butterfly Network"/>
        <s v="Button"/>
        <s v="Buy.com / Rakuten"/>
        <s v="Buzzer"/>
        <s v="BuzzFeed"/>
        <s v="BVAccel"/>
        <s v="Bybit"/>
        <s v="Byju's"/>
        <s v="Bytedance"/>
        <s v="C2FO"/>
        <s v="C6 Bank"/>
        <s v="Cabin"/>
        <s v="Cadre"/>
        <s v="Calibrate"/>
        <s v="Caliva"/>
        <s v="Callisto Media"/>
        <s v="Calm"/>
        <s v="Cameo"/>
        <s v="Camp K12"/>
        <s v="Candy Digital"/>
        <s v="Canoo"/>
        <s v="Capital One"/>
        <s v="Capitolis"/>
        <s v="Capsule"/>
        <s v="Captain Fresh"/>
        <s v="CaptivateIQ"/>
        <s v="Carbon Health"/>
        <s v="CarDekho"/>
        <s v="Cardlytics"/>
        <s v="Care.com"/>
        <s v="Careem"/>
        <s v="Career Karma"/>
        <s v="CarGurus"/>
        <s v="Carousell"/>
        <s v="Cars24"/>
        <s v="Carsome"/>
        <s v="Carta"/>
        <s v="Carvana"/>
        <s v="Carwow"/>
        <s v="Casavo"/>
        <s v="Cashfree Payments"/>
        <s v="Casper"/>
        <s v="Castlight Health"/>
        <s v="Catalant"/>
        <s v="Catch.com.au"/>
        <s v="Cazoo"/>
        <s v="Cedar"/>
        <s v="Celsius"/>
        <s v="Cerebral"/>
        <s v="Chainalysis"/>
        <s v="Change Invest"/>
        <s v="Change.org"/>
        <s v="Chargebee"/>
        <s v="Checkmarx"/>
        <s v="Checkout.com"/>
        <s v="Checkr"/>
        <s v="Chessable"/>
        <s v="Chili Piper"/>
        <s v="Chime"/>
        <s v="Chipper Cash"/>
        <s v="Chope"/>
        <s v="ChowNow"/>
        <s v="Chrono24"/>
        <s v="Circ"/>
        <s v="CircleCI"/>
        <s v="Circulo Health"/>
        <s v="Cisco"/>
        <s v="Citizen"/>
        <s v="Citrine Informatics"/>
        <s v="Citrix"/>
        <s v="CityMall"/>
        <s v="Clari"/>
        <s v="Clarify Health"/>
        <s v="ClassPass"/>
        <s v="Clear"/>
        <s v="Clear Capital"/>
        <s v="Clearbanc"/>
        <s v="Clearco"/>
        <s v="CleverTap"/>
        <s v="ClickUp"/>
        <s v="Clinc"/>
        <s v="CloudFactory"/>
        <s v="Cloudinary"/>
        <s v="Clue"/>
        <s v="Clutch"/>
        <s v="Clutter"/>
        <s v="Clyde"/>
        <s v="CNET"/>
        <s v="CoachHub"/>
        <s v="Code42"/>
        <s v="CodeCombat"/>
        <s v="Codexis"/>
        <s v="Coding Dojo"/>
        <s v="Cogito"/>
        <s v="Cognyte"/>
        <s v="Coinbase"/>
        <s v="CoinDCX"/>
        <s v="CoinJar"/>
        <s v="Coinsquare"/>
        <s v="CoinTracker"/>
        <s v="Collective Health"/>
        <s v="Color Health"/>
        <s v="Colossus"/>
        <s v="CommerceHub"/>
        <s v="CommonBond"/>
        <s v="Community"/>
        <s v="Compass"/>
        <s v="Compete"/>
        <s v="Confluent"/>
        <s v="Conga"/>
        <s v="Connected"/>
        <s v="ConsenSys"/>
        <s v="Consider.co"/>
        <s v="ContaAzul"/>
        <s v="ContraFect"/>
        <s v="Convene"/>
        <s v="Convoy"/>
        <s v="Copper"/>
        <s v="Core Scientific"/>
        <s v="Corvus Insurance"/>
        <s v="Coterie Insurance"/>
        <s v="Crayon"/>
        <s v="Credit Sesame"/>
        <s v="Creditas"/>
        <s v="Crejo.Fun"/>
        <s v="CrowdStreet"/>
        <s v="Cruise"/>
        <s v="Crunchyroll"/>
        <s v="Crypto.com"/>
        <s v="CS Disco"/>
        <s v="CTO.ai"/>
        <s v="Cue"/>
        <s v="Culture Amp"/>
        <s v="Culture Trip"/>
        <s v="Curative"/>
        <s v="Curefit"/>
        <s v="Curology"/>
        <s v="Curve"/>
        <s v="Cvent"/>
        <s v="Cybereason"/>
        <s v="CyCognito"/>
        <s v="Cyren"/>
        <s v="Cyteir Therapeutics"/>
        <s v="D2iQ"/>
        <s v="D2L"/>
        <s v="Daily Harvest"/>
        <s v="DailyPay"/>
        <s v="Daloopa"/>
        <s v="Dance"/>
        <s v="Daniel Wellington"/>
        <s v="Dapper Labs"/>
        <s v="Daraz"/>
        <s v="Dark"/>
        <s v="DataRails"/>
        <s v="DataRobot"/>
        <s v="DataStax"/>
        <s v="Datera"/>
        <s v="Dazn"/>
        <s v="DealShare"/>
        <s v="Deep Instinct"/>
        <s v="Definitive Healthcare"/>
        <s v="Degreed"/>
        <s v="DeHaat"/>
        <s v="Deliv"/>
        <s v="Deliveroo"/>
        <s v="Deliveroo Australia"/>
        <s v="Delivery Hero"/>
        <s v="Dell"/>
        <s v="Demandbase"/>
        <s v="Deputy"/>
        <s v="Descartes Labs"/>
        <s v="Desktop Metal"/>
        <s v="Devo"/>
        <s v="DialSource"/>
        <s v="Digital Currency Gruop"/>
        <s v="Digital Surge"/>
        <s v="DigitalOcean"/>
        <s v="DISCO"/>
        <s v="Dispatch"/>
        <s v="Divergent 3D"/>
        <s v="Divvy Homes"/>
        <s v="divvyDOSE"/>
        <s v="Dock"/>
        <s v="Docly"/>
        <s v="DocuSign"/>
        <s v="Doma"/>
        <s v="Domestika"/>
        <s v="Domino Data Lab"/>
        <s v="Domio"/>
        <s v="Domo"/>
        <s v="Dooly"/>
        <s v="DoorDash"/>
        <s v="Dotscience"/>
        <s v="Dover"/>
        <s v="DraftKings"/>
        <s v="Drift"/>
        <s v="Drip"/>
        <s v="DriveWealth"/>
        <s v="Drop"/>
        <s v="Dropbox"/>
        <s v="DSCO"/>
        <s v="Dude Solutions"/>
        <s v="Dukaan"/>
        <s v="Dunzo"/>
        <s v="Dutchie"/>
        <s v="DUX Education"/>
        <s v="Dynamic Signal"/>
        <s v="Earnin"/>
        <s v="Earth Rides"/>
        <s v="EasyPost"/>
        <s v="Eat Just"/>
        <s v="Eatsy"/>
        <s v="Eaze"/>
        <s v="Ebanx"/>
        <s v="eBay"/>
        <s v="Ecobee"/>
        <s v="Eden / Managed By Q"/>
        <s v="Edgio"/>
        <s v="Edifecs"/>
        <s v="Editas Medicine"/>
        <s v="Edmodo"/>
        <s v="eGym"/>
        <s v="Eight Sleep"/>
        <s v="Ejento"/>
        <s v="Elastic"/>
        <s v="Electric"/>
        <s v="Electronic Arts"/>
        <s v="Element"/>
        <s v="Element AI"/>
        <s v="Element Analytics"/>
        <s v="Elementor"/>
        <s v="Elinvar"/>
        <s v="Elliptic"/>
        <s v="Embark"/>
        <s v="Embark Trucks"/>
        <s v="Embroker"/>
        <s v="Emotive"/>
        <s v="EMX Digital"/>
        <s v="Engine eCommerce"/>
        <s v="Enjoei"/>
        <s v="Enjoy"/>
        <s v="Envato"/>
        <s v="Envoy"/>
        <s v="Equitybee"/>
        <s v="EquityZen"/>
        <s v="Ericsson"/>
        <s v="Ermetic"/>
        <s v="Eruditus"/>
        <s v="Esper"/>
        <s v="Etermax"/>
        <s v="Ethos Life"/>
        <s v="eToro"/>
        <s v="Eucalyptus"/>
        <s v="Eventbrite"/>
        <s v="EverBridge"/>
        <s v="Everlane"/>
        <s v="Evernote"/>
        <s v="EVgo"/>
        <s v="Exodus"/>
        <s v="Exotel"/>
        <s v="Expert360"/>
        <s v="Exterro"/>
        <s v="ezCater"/>
        <s v="F5"/>
        <s v="FabHotels"/>
        <s v="Fabric"/>
        <s v="Facily"/>
        <s v="Faire"/>
        <s v="Fandom"/>
        <s v="Fareportal"/>
        <s v="FarEye"/>
        <s v="Fast"/>
        <s v="Fate Therapeutics"/>
        <s v="Favo"/>
        <s v="Faze Medicines"/>
        <s v="Fifth Season"/>
        <s v="Finder"/>
        <s v="Finite State"/>
        <s v="Finleap Connect"/>
        <s v="Fipola"/>
        <s v="Fireblocks"/>
        <s v="Firework"/>
        <s v="FiscalNote"/>
        <s v="Fittr"/>
        <s v="Fiverr"/>
        <s v="Fivetran"/>
        <s v="Flatiron School"/>
        <s v="Flexport"/>
        <s v="Flipboard"/>
        <s v="Flockjay"/>
        <s v="Flowhub"/>
        <s v="Flowr"/>
        <s v="Fluke"/>
        <s v="Flux Systems"/>
        <s v="Flyhomes"/>
        <s v="Flymya"/>
        <s v="Flytedesk"/>
        <s v="Flywheel Sports"/>
        <s v="Flywire"/>
        <s v="Food52"/>
        <s v="Foodpanda"/>
        <s v="Foodsby"/>
        <s v="ForeScout"/>
        <s v="Foresight Insurance"/>
        <s v="Forma.ai"/>
        <s v="Forto"/>
        <s v="Forward"/>
        <s v="FourKites"/>
        <s v="Foxtrot"/>
        <s v="Fraazo"/>
        <s v="Freetrade"/>
        <s v="Frequency Therapeutics"/>
        <s v="Freshbooks"/>
        <s v="FreshDirect"/>
        <s v="Freshly"/>
        <s v="Freshworks"/>
        <s v="Frontdesk"/>
        <s v="FrontRow"/>
        <s v="Frubana"/>
        <s v="FullStory"/>
        <s v="Fundbox"/>
        <s v="Funding Circle"/>
        <s v="Funding Societies"/>
        <s v="Furlenco"/>
        <s v="G/O Media Group"/>
        <s v="G2"/>
        <s v="Gather"/>
        <s v="Gatherly"/>
        <s v="Gavelytics"/>
        <s v="Geekwire"/>
        <s v="Gem"/>
        <s v="Gemini"/>
        <s v="Genesis"/>
        <s v="Genome Medical"/>
        <s v="Getaround"/>
        <s v="Getir"/>
        <s v="GetNinjas"/>
        <s v="Getta"/>
        <s v="GetYourGuide"/>
        <s v="GitHub"/>
        <s v="GitLab"/>
        <s v="Gitpod"/>
        <s v="Glassdoor"/>
        <s v="Glints"/>
        <s v="Glitch"/>
        <s v="GloriFi"/>
        <s v="Glossier"/>
        <s v="Glovo"/>
        <s v="GoBear"/>
        <s v="GoBolt"/>
        <s v="GoDaddy"/>
        <s v="GoFundMe"/>
        <s v="GoHealth"/>
        <s v="Gojek"/>
        <s v="Gokada"/>
        <s v="GoMechanic"/>
        <s v="Gong"/>
        <s v="GoNuts"/>
        <s v="Goodfood"/>
        <s v="GoodGood"/>
        <s v="GoodRx"/>
        <s v="Google"/>
        <s v="GoPro"/>
        <s v="Gopuff"/>
        <s v="Gorillas"/>
        <s v="GoSpotCheck"/>
        <s v="GoStudent"/>
        <s v="GoTo Group"/>
        <s v="Grab"/>
        <s v="Gramophone"/>
        <s v="GrayMeta"/>
        <s v="Greenhouse Software"/>
        <s v="Greenlight"/>
        <s v="Grin"/>
        <s v="Group Nine Media"/>
        <s v="Groupon"/>
        <s v="Grove Collaborative"/>
        <s v="Grover"/>
        <s v="Guardant Health"/>
        <s v="Guidewire"/>
        <s v="GumGum"/>
        <s v="Gusto"/>
        <s v="Gympass"/>
        <s v="HackerEarth"/>
        <s v="Halcyon Health"/>
        <s v="Happy Money"/>
        <s v="Harappa"/>
        <s v="Hash"/>
        <s v="HashiCorp"/>
        <s v="Haus"/>
        <s v="Havenly"/>
        <s v="Headspace"/>
        <s v="Healthcare.com"/>
        <s v="HealthifyMe"/>
        <s v="HealthMatch"/>
        <s v="Hedvig"/>
        <s v="HelloFresh"/>
        <s v="Help.com"/>
        <s v="Her Campus Media"/>
        <s v="Heroes"/>
        <s v="Heycar"/>
        <s v="Hibob"/>
        <s v="HighRadius"/>
        <s v="Highsnobiety"/>
        <s v="Highspot"/>
        <s v="Hipcamp"/>
        <s v="Hippo Insurance"/>
        <s v="Hirect"/>
        <s v="Hireology"/>
        <s v="Hodlnaut"/>
        <s v="Hologram"/>
        <s v="Homebot"/>
        <s v="HomeLight"/>
        <s v="Homepoint"/>
        <s v="Homeward"/>
        <s v="Homie"/>
        <s v="HOOQ"/>
        <s v="Hootsuite"/>
        <s v="Hopin"/>
        <s v="HopSkipDrive"/>
        <s v="Horizn Studios"/>
        <s v="Hotmart"/>
        <s v="Houzz"/>
        <s v="HP"/>
        <s v="Hubba"/>
        <s v="HubHaus"/>
        <s v="Hubilo"/>
        <s v="HubSpot"/>
        <s v="HuffPo"/>
        <s v="Humble"/>
        <s v="Humu"/>
        <s v="Hunty"/>
        <s v="Huobi"/>
        <s v="Hydrow"/>
        <s v="Hyperscience"/>
        <s v="IBM"/>
        <s v="Ibotta"/>
        <s v="ID.me"/>
        <s v="Ideoclick"/>
        <s v="iFit"/>
        <s v="Iflix"/>
        <s v="iFood"/>
        <s v="Ignite"/>
        <s v="Ignition"/>
        <s v="Ike"/>
        <s v="Illumina"/>
        <s v="Immersive Labs"/>
        <s v="Immutable"/>
        <s v="Impact.com"/>
        <s v="Impala"/>
        <s v="Imperfect Foods"/>
        <s v="Impossible Foods"/>
        <s v="Impossible Foods copy"/>
        <s v="Improbable"/>
        <s v="Incredible Health"/>
        <s v="InDebted"/>
        <s v="Indigo"/>
        <s v="Industrious"/>
        <s v="Infarm"/>
        <s v="InfluxData"/>
        <s v="Informatica"/>
        <s v="InfoSum"/>
        <s v="Inmobi"/>
        <s v="Innovaccer"/>
        <s v="Innovid"/>
        <s v="Inscripta"/>
        <s v="Inspirato"/>
        <s v="Instacart"/>
        <s v="Instamojo"/>
        <s v="Instructure"/>
        <s v="Intapp"/>
        <s v="Integral Ad Science"/>
        <s v="Integrate.ai"/>
        <s v="Intel"/>
        <s v="Intercom"/>
        <s v="Intersect"/>
        <s v="Intrinsic"/>
        <s v="Introhive"/>
        <s v="Intuit"/>
        <s v="InVision"/>
        <s v="Invitae"/>
        <s v="Involves"/>
        <s v="iPrice Group"/>
        <s v="Iris Nova"/>
        <s v="IRL"/>
        <s v="iRobot"/>
        <s v="Iron Ox"/>
        <s v="IronNet"/>
        <s v="Jam City"/>
        <s v="Jama"/>
        <s v="JD.ID"/>
        <s v="Jellyfish"/>
        <s v="Jellysmack"/>
        <s v="JetClosing"/>
        <s v="Jetty"/>
        <s v="Jimdo"/>
        <s v="Jiobit"/>
        <s v="Jobcase"/>
        <s v="JOKR"/>
        <s v="Jounce Therapeutics"/>
        <s v="Jumia"/>
        <s v="Jumio"/>
        <s v="Jump"/>
        <s v="Jumpcloud"/>
        <s v="Juni"/>
        <s v="Juniper Square"/>
        <s v="Just Eat Takeaway"/>
        <s v="Juul"/>
        <s v="Kabam"/>
        <s v="Kaltura"/>
        <s v="Kandela"/>
        <s v="Kandji"/>
        <s v="Kaodim"/>
        <s v="Karat"/>
        <s v="Karbon"/>
        <s v="Katerra"/>
        <s v="Kavak"/>
        <s v="Kayak / OpenTable"/>
        <s v="Kazoo"/>
        <s v="KeepTruckin"/>
        <s v="Kenoby"/>
        <s v="Khoros"/>
        <s v="Kiavi"/>
        <s v="Kickstarter"/>
        <s v="Kinde"/>
        <s v="Kite"/>
        <s v="Kitopi"/>
        <s v="Kitty Hawk"/>
        <s v="KiwiCo"/>
        <s v="Klarna"/>
        <s v="Klook"/>
        <s v="Knock"/>
        <s v="Knotel"/>
        <s v="Kodiak Robotics"/>
        <s v="Koho"/>
        <s v="Koinly"/>
        <s v="KoinWorks"/>
        <s v="Komodo Health"/>
        <s v="Konfio"/>
        <s v="Kongregate"/>
        <s v="Kontist"/>
        <s v="Koo"/>
        <s v="Kraken"/>
        <s v="Kry"/>
        <s v="Kuda"/>
        <s v="Kueski"/>
        <s v="Kune"/>
        <s v="Kyruus"/>
        <s v="Labelbox"/>
        <s v="Labster"/>
        <s v="Lacework"/>
        <s v="Ladder Life"/>
        <s v="Lam Research"/>
        <s v="Lambda School"/>
        <s v="Landing"/>
        <s v="Lantern"/>
        <s v="Lastline"/>
        <s v="Latch"/>
        <s v="Lattice"/>
        <s v="Lawgeex"/>
        <s v="Laybuy"/>
        <s v="Le Tote"/>
        <s v="LEAD"/>
        <s v="LeafLink"/>
        <s v="Leafly"/>
        <s v="LearnUpon"/>
        <s v="Legible"/>
        <s v="Lemon"/>
        <s v="Lemonade"/>
        <s v="Lendi"/>
        <s v="Lending Club"/>
        <s v="Lendingkart"/>
        <s v="LendingTree"/>
        <s v="Lendis"/>
        <s v="Lev"/>
        <s v="Lever"/>
        <s v="Lido"/>
        <s v="Lido Learning"/>
        <s v="Life360"/>
        <s v="Liftoff"/>
        <s v="Lighter Capital"/>
        <s v="Lighthouse Labs"/>
        <s v="Lightico"/>
        <s v="Lightricks"/>
        <s v="Lightspeed Commerce"/>
        <s v="Lime"/>
        <s v="Limeade"/>
        <s v="Limelight"/>
        <s v="LinkedIn"/>
        <s v="Linkfire"/>
        <s v="Linktree"/>
        <s v="Lithic"/>
        <s v="Liv Up"/>
        <s v="LivePerson"/>
        <s v="LiveRamp"/>
        <s v="LiveTiles"/>
        <s v="LiveVox"/>
        <s v="Livspace"/>
        <s v="Locomation"/>
        <s v="Loft"/>
        <s v="Loftium"/>
        <s v="Loftsmart"/>
        <s v="Loggi"/>
        <s v="Loja Integrada"/>
        <s v="Lokalise"/>
        <s v="Lola"/>
        <s v="Loom"/>
      </sharedItems>
    </cacheField>
    <cacheField name="location" numFmtId="0">
      <sharedItems/>
    </cacheField>
    <cacheField name="industry" numFmtId="0">
      <sharedItems count="31">
        <s v="Healthcare"/>
        <s v="Marketing"/>
        <s v="Consumer"/>
        <s v="Retail"/>
        <s v="crypto"/>
        <s v="Education"/>
        <s v="Energy"/>
        <s v="Sales"/>
        <s v="Food"/>
        <s v="Support"/>
        <s v="Transportation"/>
        <s v="Media"/>
        <s v="Finance"/>
        <s v="Data"/>
        <s v="Travel"/>
        <s v="Logistics"/>
        <s v="Product"/>
        <s v="Infrastructure"/>
        <s v="Other"/>
        <s v="Recruiting"/>
        <s v="Real Estate"/>
        <s v="Security"/>
        <s v="HR"/>
        <s v="Aerospace"/>
        <s v="Manufacturing"/>
        <s v="NULL"/>
        <s v="Hardware"/>
        <s v="Construction"/>
        <s v="Fitness"/>
        <s v="Fin-Tech"/>
        <s v="Legal"/>
      </sharedItems>
    </cacheField>
    <cacheField name="total_laid_off" numFmtId="0">
      <sharedItems containsMixedTypes="1" containsNumber="1" containsInteger="1" minValue="3" maxValue="12000"/>
    </cacheField>
    <cacheField name="percentage_laid_off" numFmtId="0">
      <sharedItems containsMixedTypes="1" containsNumber="1" minValue="0.01" maxValue="1"/>
    </cacheField>
    <cacheField name="fully laid off" numFmtId="9">
      <sharedItems/>
    </cacheField>
    <cacheField name="categoty_percentage_laid_off" numFmtId="0">
      <sharedItems count="5">
        <s v="small reduction"/>
        <s v="medium reduction"/>
        <b v="0"/>
        <s v="shutdown"/>
        <s v="large reduction"/>
      </sharedItems>
    </cacheField>
    <cacheField name="date" numFmtId="14">
      <sharedItems containsNonDate="0" containsDate="1" containsString="0" containsBlank="1" minDate="2020-01-04T00:00:00" maxDate="2023-12-02T00:00:00" count="360">
        <d v="2022-07-25T00:00:00"/>
        <d v="2022-11-17T00:00:00"/>
        <d v="2023-01-27T00:00:00"/>
        <d v="2022-07-13T00:00:00"/>
        <d v="2022-04-08T00:00:00"/>
        <d v="2020-02-04T00:00:00"/>
        <d v="2022-01-06T00:00:00"/>
        <d v="2022-01-09T00:00:00"/>
        <d v="2022-07-28T00:00:00"/>
        <d v="2022-08-29T00:00:00"/>
        <d v="2022-03-06T00:00:00"/>
        <d v="2022-12-10T00:00:00"/>
        <d v="2023-01-18T00:00:00"/>
        <d v="2022-04-10T00:00:00"/>
        <d v="2022-07-21T00:00:00"/>
        <d v="2022-09-20T00:00:00"/>
        <d v="2022-06-30T00:00:00"/>
        <d v="2022-09-08T00:00:00"/>
        <d v="2022-09-15T00:00:00"/>
        <d v="2020-01-04T00:00:00"/>
        <d v="2020-05-26T00:00:00"/>
        <d v="2020-12-16T00:00:00"/>
        <d v="2022-03-10T00:00:00"/>
        <d v="2022-10-17T00:00:00"/>
        <d v="2020-04-24T00:00:00"/>
        <d v="2022-08-03T00:00:00"/>
        <d v="2022-06-12T00:00:00"/>
        <d v="2020-03-31T00:00:00"/>
        <d v="2022-10-28T00:00:00"/>
        <d v="2022-07-07T00:00:00"/>
        <d v="2022-03-11T00:00:00"/>
        <d v="2023-08-02T00:00:00"/>
        <d v="2020-05-18T00:00:00"/>
        <d v="2022-04-14T00:00:00"/>
        <d v="2020-09-16T00:00:00"/>
        <d v="2023-03-03T00:00:00"/>
        <d v="2020-05-05T00:00:00"/>
        <d v="2022-05-25T00:00:00"/>
        <d v="2022-12-07T00:00:00"/>
        <d v="2022-08-12T00:00:00"/>
        <d v="2022-06-15T00:00:00"/>
        <d v="2022-05-23T00:00:00"/>
        <d v="2020-04-22T00:00:00"/>
        <d v="2020-07-05T00:00:00"/>
        <d v="2022-11-28T00:00:00"/>
        <d v="2023-12-01T00:00:00"/>
        <d v="2020-04-15T00:00:00"/>
        <d v="2022-08-16T00:00:00"/>
        <d v="2022-10-06T00:00:00"/>
        <d v="2023-06-03T00:00:00"/>
        <d v="2022-11-07T00:00:00"/>
        <d v="2022-09-12T00:00:00"/>
        <d v="2022-05-14T00:00:00"/>
        <d v="2020-09-29T00:00:00"/>
        <d v="2023-04-01T00:00:00"/>
        <d v="2022-11-16T00:00:00"/>
        <d v="2022-09-09T00:00:00"/>
        <d v="2023-02-03T00:00:00"/>
        <d v="2023-02-01T00:00:00"/>
        <d v="2023-01-17T00:00:00"/>
        <d v="2022-06-27T00:00:00"/>
        <d v="2023-02-27T00:00:00"/>
        <d v="2022-08-20T00:00:00"/>
        <d v="2020-03-29T00:00:00"/>
        <d v="2020-03-04T00:00:00"/>
        <d v="2022-06-07T00:00:00"/>
        <d v="2022-10-23T00:00:00"/>
        <d v="2022-08-14T00:00:00"/>
        <d v="2022-08-31T00:00:00"/>
        <d v="2022-12-15T00:00:00"/>
        <d v="2022-11-15T00:00:00"/>
        <d v="2020-04-28T00:00:00"/>
        <d v="2023-01-02T00:00:00"/>
        <d v="2022-06-20T00:00:00"/>
        <d v="2022-05-12T00:00:00"/>
        <d v="2022-07-20T00:00:00"/>
        <d v="2023-01-13T00:00:00"/>
        <d v="2020-06-29T00:00:00"/>
        <d v="2022-10-26T00:00:00"/>
        <d v="2022-01-11T00:00:00"/>
        <d v="2022-08-26T00:00:00"/>
        <d v="2023-01-30T00:00:00"/>
        <d v="2023-02-02T00:00:00"/>
        <d v="2022-07-15T00:00:00"/>
        <d v="2022-11-23T00:00:00"/>
        <d v="2022-08-11T00:00:00"/>
        <d v="2020-05-04T00:00:00"/>
        <d v="2020-06-18T00:00:00"/>
        <d v="2022-10-19T00:00:00"/>
        <d v="2020-10-04T00:00:00"/>
        <d v="2023-05-01T00:00:00"/>
        <d v="2023-01-31T00:00:00"/>
        <d v="2022-06-23T00:00:00"/>
        <d v="2021-11-01T00:00:00"/>
        <d v="2020-01-05T00:00:00"/>
        <d v="2020-04-27T00:00:00"/>
        <d v="2022-04-18T00:00:00"/>
        <d v="2022-06-29T00:00:00"/>
        <d v="2022-09-11T00:00:00"/>
        <d v="2022-10-11T00:00:00"/>
        <d v="2022-01-05T00:00:00"/>
        <d v="2020-07-04T00:00:00"/>
        <d v="2020-02-09T00:00:00"/>
        <d v="2020-11-19T00:00:00"/>
        <d v="2020-03-26T00:00:00"/>
        <d v="2022-12-23T00:00:00"/>
        <d v="2022-06-22T00:00:00"/>
        <d v="2022-12-12T00:00:00"/>
        <d v="2022-01-07T00:00:00"/>
        <d v="2023-09-02T00:00:00"/>
        <d v="2023-10-01T00:00:00"/>
        <d v="2020-03-27T00:00:00"/>
        <d v="2022-04-11T00:00:00"/>
        <d v="2022-06-24T00:00:00"/>
        <d v="2021-01-12T00:00:00"/>
        <d v="2022-11-08T00:00:00"/>
        <d v="2023-02-15T00:00:00"/>
        <d v="2022-03-08T00:00:00"/>
        <d v="2022-10-14T00:00:00"/>
        <d v="2023-01-15T00:00:00"/>
        <d v="2020-01-09T00:00:00"/>
        <d v="2022-08-09T00:00:00"/>
        <d v="2022-12-27T00:00:00"/>
        <d v="2022-07-10T00:00:00"/>
        <d v="2022-07-06T00:00:00"/>
        <d v="2022-11-29T00:00:00"/>
        <d v="2020-04-17T00:00:00"/>
        <d v="2022-02-11T00:00:00"/>
        <d v="2022-04-04T00:00:00"/>
        <d v="2022-06-19T00:00:00"/>
        <d v="2022-09-14T00:00:00"/>
        <d v="2023-02-26T00:00:00"/>
        <d v="2022-05-26T00:00:00"/>
        <d v="2021-11-18T00:00:00"/>
        <d v="2023-01-20T00:00:00"/>
        <d v="2020-10-07T00:00:00"/>
        <d v="2022-04-05T00:00:00"/>
        <d v="2022-01-12T00:00:00"/>
        <d v="2022-05-07T00:00:00"/>
        <m/>
        <d v="2020-11-09T00:00:00"/>
        <d v="2022-04-19T00:00:00"/>
        <d v="2022-08-15T00:00:00"/>
        <d v="2022-06-13T00:00:00"/>
        <d v="2020-03-30T00:00:00"/>
        <d v="2023-02-21T00:00:00"/>
        <d v="2023-01-24T00:00:00"/>
        <d v="2022-04-26T00:00:00"/>
        <d v="2022-05-31T00:00:00"/>
        <d v="2020-07-30T00:00:00"/>
        <d v="2020-05-28T00:00:00"/>
        <d v="2023-01-23T00:00:00"/>
        <d v="2022-07-22T00:00:00"/>
        <d v="2022-09-06T00:00:00"/>
        <d v="2020-06-04T00:00:00"/>
        <d v="2020-02-11T00:00:00"/>
        <d v="2023-06-01T00:00:00"/>
        <d v="2020-03-19T00:00:00"/>
        <d v="2021-02-22T00:00:00"/>
        <d v="2022-06-11T00:00:00"/>
        <d v="2020-11-06T00:00:00"/>
        <d v="2022-06-09T00:00:00"/>
        <d v="2022-06-14T00:00:00"/>
        <d v="2020-05-29T00:00:00"/>
        <d v="2022-11-10T00:00:00"/>
        <d v="2020-11-17T00:00:00"/>
        <d v="2022-06-28T00:00:00"/>
        <d v="2020-04-21T00:00:00"/>
        <d v="2022-12-20T00:00:00"/>
        <d v="2020-04-06T00:00:00"/>
        <d v="2022-05-10T00:00:00"/>
        <d v="2020-04-30T00:00:00"/>
        <d v="2022-08-07T00:00:00"/>
        <d v="2022-02-08T00:00:00"/>
        <d v="2020-08-04T00:00:00"/>
        <d v="2022-03-12T00:00:00"/>
        <d v="2021-01-27T00:00:00"/>
        <d v="2023-03-01T00:00:00"/>
        <d v="2022-06-17T00:00:00"/>
        <d v="2021-05-08T00:00:00"/>
        <d v="2020-03-23T00:00:00"/>
        <d v="2020-11-05T00:00:00"/>
        <d v="2022-10-25T00:00:00"/>
        <d v="2023-01-19T00:00:00"/>
        <d v="2022-11-18T00:00:00"/>
        <d v="2022-07-19T00:00:00"/>
        <d v="2022-02-06T00:00:00"/>
        <d v="2020-05-25T00:00:00"/>
        <d v="2022-11-14T00:00:00"/>
        <d v="2020-04-05T00:00:00"/>
        <d v="2020-04-16T00:00:00"/>
        <d v="2022-05-19T00:00:00"/>
        <d v="2022-09-30T00:00:00"/>
        <d v="2023-11-01T00:00:00"/>
        <d v="2022-10-05T00:00:00"/>
        <d v="2022-11-25T00:00:00"/>
        <d v="2023-02-13T00:00:00"/>
        <d v="2023-06-02T00:00:00"/>
        <d v="2022-03-07T00:00:00"/>
        <d v="2022-10-24T00:00:00"/>
        <d v="2022-11-27T00:00:00"/>
        <d v="2022-09-13T00:00:00"/>
        <d v="2020-07-23T00:00:00"/>
        <d v="2022-04-07T00:00:00"/>
        <d v="2023-02-17T00:00:00"/>
        <d v="2022-12-14T00:00:00"/>
        <d v="2020-02-06T00:00:00"/>
        <d v="2022-07-12T00:00:00"/>
        <d v="2022-06-16T00:00:00"/>
        <d v="2022-09-16T00:00:00"/>
        <d v="2023-01-25T00:00:00"/>
        <d v="2020-04-13T00:00:00"/>
        <d v="2022-07-29T00:00:00"/>
        <d v="2023-01-16T00:00:00"/>
        <d v="2022-06-06T00:00:00"/>
        <d v="2020-09-04T00:00:00"/>
        <d v="2020-03-25T00:00:00"/>
        <d v="2022-04-25T00:00:00"/>
        <d v="2022-07-11T00:00:00"/>
        <d v="2020-10-23T00:00:00"/>
        <d v="2022-02-12T00:00:00"/>
        <d v="2022-07-27T00:00:00"/>
        <d v="2023-01-28T00:00:00"/>
        <d v="2023-01-03T00:00:00"/>
        <d v="2023-02-14T00:00:00"/>
        <d v="2022-05-13T00:00:00"/>
        <d v="2022-06-21T00:00:00"/>
        <d v="2022-12-09T00:00:00"/>
        <d v="2023-01-26T00:00:00"/>
        <d v="2020-06-15T00:00:00"/>
        <d v="2020-04-20T00:00:00"/>
        <d v="2020-04-23T00:00:00"/>
        <d v="2022-12-08T00:00:00"/>
        <d v="2020-03-06T00:00:00"/>
        <d v="2020-01-06T00:00:00"/>
        <d v="2020-05-14T00:00:00"/>
        <d v="2022-06-10T00:00:00"/>
        <d v="2020-03-20T00:00:00"/>
        <d v="2020-07-17T00:00:00"/>
        <d v="2022-03-16T00:00:00"/>
        <d v="2020-05-21T00:00:00"/>
        <d v="2022-08-08T00:00:00"/>
        <d v="2022-10-02T00:00:00"/>
        <d v="2022-05-27T00:00:00"/>
        <d v="2023-02-23T00:00:00"/>
        <d v="2020-06-23T00:00:00"/>
        <d v="2022-08-23T00:00:00"/>
        <d v="2022-11-05T00:00:00"/>
        <d v="2020-04-14T00:00:00"/>
        <d v="2020-05-13T00:00:00"/>
        <d v="2021-12-22T00:00:00"/>
        <d v="2022-07-09T00:00:00"/>
        <d v="2022-11-21T00:00:00"/>
        <d v="2022-09-27T00:00:00"/>
        <d v="2022-06-05T00:00:00"/>
        <d v="2020-08-19T00:00:00"/>
        <d v="2022-09-28T00:00:00"/>
        <d v="2023-02-16T00:00:00"/>
        <d v="2022-04-28T00:00:00"/>
        <d v="2020-11-18T00:00:00"/>
        <d v="2022-11-30T00:00:00"/>
        <d v="2020-05-19T00:00:00"/>
        <d v="2022-07-26T00:00:00"/>
        <d v="2021-01-13T00:00:00"/>
        <d v="2022-10-31T00:00:00"/>
        <d v="2023-02-28T00:00:00"/>
        <d v="2020-11-03T00:00:00"/>
        <d v="2023-02-24T00:00:00"/>
        <d v="2020-08-08T00:00:00"/>
        <d v="2020-05-27T00:00:00"/>
        <d v="2023-07-02T00:00:00"/>
        <d v="2022-12-13T00:00:00"/>
        <d v="2023-09-01T00:00:00"/>
        <d v="2022-08-30T00:00:00"/>
        <d v="2022-12-25T00:00:00"/>
        <d v="2022-10-21T00:00:00"/>
        <d v="2020-06-28T00:00:00"/>
        <d v="2022-04-06T00:00:00"/>
        <d v="2020-05-06T00:00:00"/>
        <d v="2022-04-20T00:00:00"/>
        <d v="2022-10-18T00:00:00"/>
        <d v="2023-03-02T00:00:00"/>
        <d v="2022-05-04T00:00:00"/>
        <d v="2023-02-20T00:00:00"/>
        <d v="2020-06-05T00:00:00"/>
        <d v="2022-10-16T00:00:00"/>
        <d v="2021-08-24T00:00:00"/>
        <d v="2020-03-24T00:00:00"/>
        <d v="2022-08-17T00:00:00"/>
        <d v="2020-03-18T00:00:00"/>
        <d v="2022-08-04T00:00:00"/>
        <d v="2022-11-11T00:00:00"/>
        <d v="2022-09-23T00:00:00"/>
        <d v="2022-08-25T00:00:00"/>
        <d v="2022-07-18T00:00:00"/>
        <d v="2020-08-07T00:00:00"/>
        <d v="2022-03-26T00:00:00"/>
        <d v="2020-06-30T00:00:00"/>
        <d v="2022-07-31T00:00:00"/>
        <d v="2020-10-14T00:00:00"/>
        <d v="2022-01-26T00:00:00"/>
        <d v="2020-07-08T00:00:00"/>
        <d v="2020-06-24T00:00:00"/>
        <d v="2022-10-27T00:00:00"/>
        <d v="2022-07-04T00:00:00"/>
        <d v="2022-03-29T00:00:00"/>
        <d v="2022-05-24T00:00:00"/>
        <d v="2020-06-16T00:00:00"/>
        <d v="2022-03-19T00:00:00"/>
        <d v="2022-04-15T00:00:00"/>
        <d v="2022-01-08T00:00:00"/>
        <d v="2020-01-07T00:00:00"/>
        <d v="2022-10-10T00:00:00"/>
        <d v="2020-03-16T00:00:00"/>
        <d v="2020-10-06T00:00:00"/>
        <d v="2020-12-05T00:00:00"/>
        <d v="2022-08-19T00:00:00"/>
        <d v="2022-12-19T00:00:00"/>
        <d v="2022-10-08T00:00:00"/>
        <d v="2022-02-14T00:00:00"/>
        <d v="2020-03-13T00:00:00"/>
        <d v="2022-10-20T00:00:00"/>
        <d v="2023-02-19T00:00:00"/>
        <d v="2021-01-02T00:00:00"/>
        <d v="2021-09-03T00:00:00"/>
        <d v="2022-03-03T00:00:00"/>
        <d v="2020-04-04T00:00:00"/>
        <d v="2023-02-22T00:00:00"/>
        <d v="2022-12-16T00:00:00"/>
        <d v="2021-09-02T00:00:00"/>
        <d v="2021-01-21T00:00:00"/>
        <d v="2020-09-06T00:00:00"/>
        <d v="2020-05-20T00:00:00"/>
        <d v="2020-06-22T00:00:00"/>
        <d v="2021-05-10T00:00:00"/>
        <d v="2022-08-06T00:00:00"/>
        <d v="2022-05-08T00:00:00"/>
        <d v="2021-01-06T00:00:00"/>
        <d v="2020-04-29T00:00:00"/>
        <d v="2022-07-14T00:00:00"/>
        <d v="2022-09-21T00:00:00"/>
        <d v="2022-09-22T00:00:00"/>
        <d v="2022-03-15T00:00:00"/>
        <d v="2020-10-29T00:00:00"/>
        <d v="2022-05-17T00:00:00"/>
        <d v="2022-02-09T00:00:00"/>
        <d v="2023-05-02T00:00:00"/>
        <d v="2021-04-29T00:00:00"/>
        <d v="2022-05-20T00:00:00"/>
        <d v="2020-05-15T00:00:00"/>
        <d v="2022-11-24T00:00:00"/>
        <d v="2022-12-21T00:00:00"/>
        <d v="2022-02-21T00:00:00"/>
        <d v="2020-07-20T00:00:00"/>
        <d v="2022-03-31T00:00:00"/>
        <d v="2021-04-02T00:00:00"/>
        <d v="2020-07-21T00:00:00"/>
        <d v="2022-02-16T00:00:00"/>
        <d v="2020-01-11T00:00:00"/>
        <d v="2020-03-05T00:00:00"/>
      </sharedItems>
      <fieldGroup par="16"/>
    </cacheField>
    <cacheField name="day" numFmtId="14">
      <sharedItems count="32">
        <s v="25"/>
        <s v="17"/>
        <s v="27"/>
        <s v="13"/>
        <s v="08"/>
        <s v="04"/>
        <s v="06"/>
        <s v="09"/>
        <s v="28"/>
        <s v="29"/>
        <s v="10"/>
        <s v="18"/>
        <s v="21"/>
        <s v="20"/>
        <s v="30"/>
        <s v="15"/>
        <s v="26"/>
        <s v="16"/>
        <s v="24"/>
        <s v="03"/>
        <s v="12"/>
        <s v="31"/>
        <s v="07"/>
        <s v="11"/>
        <s v="02"/>
        <s v="14"/>
        <s v="05"/>
        <s v="23"/>
        <s v="22"/>
        <s v="01"/>
        <s v="19"/>
        <s v="00"/>
      </sharedItems>
    </cacheField>
    <cacheField name="month new" numFmtId="167">
      <sharedItems containsSemiMixedTypes="0" containsNonDate="0" containsDate="1" containsString="0" minDate="2000-01-01T00:00:00" maxDate="2000-12-02T00:00:00" count="12">
        <d v="2000-07-01T00:00:00"/>
        <d v="2000-11-01T00:00:00"/>
        <d v="2000-01-01T00:00:00"/>
        <d v="2000-04-01T00:00:00"/>
        <d v="2000-02-01T00:00:00"/>
        <d v="2000-08-01T00:00:00"/>
        <d v="2000-03-01T00:00:00"/>
        <d v="2000-12-01T00:00:00"/>
        <d v="2000-09-01T00:00:00"/>
        <d v="2000-06-01T00:00:00"/>
        <d v="2000-05-01T00:00:00"/>
        <d v="2000-10-01T00:00:00"/>
      </sharedItems>
      <fieldGroup par="18"/>
    </cacheField>
    <cacheField name="month num" numFmtId="17">
      <sharedItems/>
    </cacheField>
    <cacheField name="month" numFmtId="166">
      <sharedItems containsBlank="1" count="13">
        <s v="Dec"/>
        <s v="Nov"/>
        <s v="Jan"/>
        <s v="Jul"/>
        <s v="Apr"/>
        <s v="Feb"/>
        <s v="Aug"/>
        <s v="Mar"/>
        <s v="Sep"/>
        <s v="Jun"/>
        <s v="May"/>
        <s v="Oct"/>
        <m/>
      </sharedItems>
    </cacheField>
    <cacheField name="year" numFmtId="0">
      <sharedItems containsMixedTypes="1" containsNumber="1" containsInteger="1" minValue="2020" maxValue="2023" count="5">
        <n v="2022"/>
        <n v="2023"/>
        <n v="2020"/>
        <n v="2021"/>
        <s v="unknown"/>
      </sharedItems>
    </cacheField>
    <cacheField name="stage" numFmtId="0">
      <sharedItems/>
    </cacheField>
    <cacheField name="country" numFmtId="0">
      <sharedItems count="39">
        <s v="United States"/>
        <s v="Ireland"/>
        <s v="Canada"/>
        <s v="Brazil"/>
        <s v="Australia"/>
        <s v="Sweden"/>
        <s v="India"/>
        <s v="Germany"/>
        <s v="Singapore"/>
        <s v="Pakistan"/>
        <s v="Denmark"/>
        <s v="Indonesia"/>
        <s v="Finland"/>
        <s v="Nigeria"/>
        <s v="Russia"/>
        <s v="Hong Kong"/>
        <s v="Israel"/>
        <s v="United Kingdom"/>
        <s v="United Arab Emirates"/>
        <s v="France"/>
        <s v="Chile"/>
        <s v="China"/>
        <s v="Seychelles"/>
        <s v="Austria"/>
        <s v="Hungary"/>
        <s v="Mexico"/>
        <s v="Netherlands"/>
        <s v="Poland"/>
        <s v="Argentina"/>
        <s v="Malaysia"/>
        <s v="Italy"/>
        <s v="Kenya"/>
        <s v="Japan"/>
        <s v="Myanmar"/>
        <s v="Romania"/>
        <s v="Colombia"/>
        <s v="Turkey"/>
        <s v="Spain"/>
        <s v="New Zealand"/>
      </sharedItems>
    </cacheField>
    <cacheField name="funds_raised_millions" numFmtId="0">
      <sharedItems containsMixedTypes="1" containsNumber="1" containsInteger="1" minValue="0" maxValue="9900"/>
    </cacheField>
    <cacheField name="Months (date)" numFmtId="0" databaseField="0">
      <fieldGroup base="7">
        <rangePr groupBy="months" startDate="2020-01-04T00:00:00" endDate="2023-12-02T00:00:00"/>
        <groupItems count="14">
          <s v="&lt;1/4/2020"/>
          <s v="Jan"/>
          <s v="Feb"/>
          <s v="Mar"/>
          <s v="Apr"/>
          <s v="May"/>
          <s v="Jun"/>
          <s v="Jul"/>
          <s v="Aug"/>
          <s v="Sep"/>
          <s v="Oct"/>
          <s v="Nov"/>
          <s v="Dec"/>
          <s v="&gt;12/2/2023"/>
        </groupItems>
      </fieldGroup>
    </cacheField>
    <cacheField name="Days (month new)" numFmtId="0" databaseField="0">
      <fieldGroup base="9">
        <rangePr groupBy="days" startDate="2000-01-01T00:00:00" endDate="2000-12-02T00:00:00"/>
        <groupItems count="368">
          <s v="&lt;1/1/20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00"/>
        </groupItems>
      </fieldGroup>
    </cacheField>
    <cacheField name="Months (month new)" numFmtId="0" databaseField="0">
      <fieldGroup base="9">
        <rangePr groupBy="months" startDate="2000-01-01T00:00:00" endDate="2000-12-02T00:00:00"/>
        <groupItems count="14">
          <s v="&lt;1/1/2000"/>
          <s v="Jan"/>
          <s v="Feb"/>
          <s v="Mar"/>
          <s v="Apr"/>
          <s v="May"/>
          <s v="Jun"/>
          <s v="Jul"/>
          <s v="Aug"/>
          <s v="Sep"/>
          <s v="Oct"/>
          <s v="Nov"/>
          <s v="Dec"/>
          <s v="&gt;12/2/2000"/>
        </groupItems>
      </fieldGroup>
    </cacheField>
  </cacheFields>
  <extLst>
    <ext xmlns:x14="http://schemas.microsoft.com/office/spreadsheetml/2009/9/main" uri="{725AE2AE-9491-48be-B2B4-4EB974FC3084}">
      <x14:pivotCacheDefinition pivotCacheId="200551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F Bay Area"/>
    <x v="0"/>
    <s v="NULL"/>
    <n v="0.06"/>
    <s v="0"/>
    <x v="0"/>
    <x v="0"/>
    <x v="0"/>
    <x v="0"/>
    <s v="07"/>
    <x v="0"/>
    <x v="0"/>
    <s v="Series E"/>
    <x v="0"/>
    <n v="272"/>
  </r>
  <r>
    <x v="1"/>
    <s v="Dublin"/>
    <x v="1"/>
    <n v="9"/>
    <n v="0.09"/>
    <s v="0"/>
    <x v="0"/>
    <x v="1"/>
    <x v="1"/>
    <x v="1"/>
    <s v="11"/>
    <x v="1"/>
    <x v="0"/>
    <s v="Series A"/>
    <x v="1"/>
    <n v="35"/>
  </r>
  <r>
    <x v="2"/>
    <s v="Toronto"/>
    <x v="1"/>
    <n v="19"/>
    <n v="0.17"/>
    <s v="0"/>
    <x v="1"/>
    <x v="2"/>
    <x v="2"/>
    <x v="2"/>
    <s v="01"/>
    <x v="2"/>
    <x v="1"/>
    <s v="Series B"/>
    <x v="2"/>
    <n v="21"/>
  </r>
  <r>
    <x v="3"/>
    <s v="Los Angeles"/>
    <x v="2"/>
    <n v="12"/>
    <s v="NULL"/>
    <s v="0"/>
    <x v="2"/>
    <x v="3"/>
    <x v="3"/>
    <x v="0"/>
    <s v="07"/>
    <x v="3"/>
    <x v="0"/>
    <s v="Series C"/>
    <x v="0"/>
    <n v="120"/>
  </r>
  <r>
    <x v="4"/>
    <s v="SF Bay Area"/>
    <x v="0"/>
    <n v="100"/>
    <n v="0.08"/>
    <s v="0"/>
    <x v="0"/>
    <x v="4"/>
    <x v="4"/>
    <x v="3"/>
    <s v="04"/>
    <x v="4"/>
    <x v="0"/>
    <s v="Post-IPO"/>
    <x v="0"/>
    <n v="242"/>
  </r>
  <r>
    <x v="5"/>
    <s v="New York City"/>
    <x v="3"/>
    <n v="70"/>
    <n v="0.17"/>
    <s v="0"/>
    <x v="1"/>
    <x v="5"/>
    <x v="5"/>
    <x v="4"/>
    <s v="02"/>
    <x v="5"/>
    <x v="2"/>
    <s v="Series D"/>
    <x v="0"/>
    <n v="253"/>
  </r>
  <r>
    <x v="6"/>
    <s v="Sao Paulo"/>
    <x v="4"/>
    <n v="90"/>
    <n v="0.12"/>
    <s v="0"/>
    <x v="1"/>
    <x v="6"/>
    <x v="6"/>
    <x v="2"/>
    <s v="01"/>
    <x v="2"/>
    <x v="0"/>
    <s v="Unknown"/>
    <x v="3"/>
    <n v="250"/>
  </r>
  <r>
    <x v="6"/>
    <s v="Sao Paulo"/>
    <x v="4"/>
    <n v="100"/>
    <n v="0.15"/>
    <s v="0"/>
    <x v="1"/>
    <x v="7"/>
    <x v="7"/>
    <x v="2"/>
    <s v="01"/>
    <x v="2"/>
    <x v="0"/>
    <s v="Unknown"/>
    <x v="3"/>
    <n v="250"/>
  </r>
  <r>
    <x v="7"/>
    <s v="Washington D.C."/>
    <x v="5"/>
    <s v="NULL"/>
    <n v="0.2"/>
    <s v="0"/>
    <x v="1"/>
    <x v="8"/>
    <x v="8"/>
    <x v="0"/>
    <s v="07"/>
    <x v="3"/>
    <x v="0"/>
    <s v="Post-IPO"/>
    <x v="0"/>
    <n v="426"/>
  </r>
  <r>
    <x v="8"/>
    <s v="Washington D.C."/>
    <x v="0"/>
    <n v="95"/>
    <n v="0.3"/>
    <s v="0"/>
    <x v="1"/>
    <x v="9"/>
    <x v="9"/>
    <x v="5"/>
    <s v="08"/>
    <x v="6"/>
    <x v="0"/>
    <s v="Series B"/>
    <x v="0"/>
    <n v="44"/>
  </r>
  <r>
    <x v="9"/>
    <s v="Sydney"/>
    <x v="6"/>
    <s v="NULL"/>
    <n v="0.25"/>
    <s v="0"/>
    <x v="1"/>
    <x v="10"/>
    <x v="6"/>
    <x v="6"/>
    <s v="03"/>
    <x v="7"/>
    <x v="0"/>
    <s v="Series A"/>
    <x v="4"/>
    <n v="12"/>
  </r>
  <r>
    <x v="10"/>
    <s v="SF Bay Area"/>
    <x v="7"/>
    <n v="150"/>
    <n v="0.1"/>
    <s v="0"/>
    <x v="0"/>
    <x v="11"/>
    <x v="10"/>
    <x v="7"/>
    <s v="12"/>
    <x v="0"/>
    <x v="0"/>
    <s v="Series E"/>
    <x v="0"/>
    <n v="426"/>
  </r>
  <r>
    <x v="11"/>
    <s v="Cincinnati"/>
    <x v="8"/>
    <s v="NULL"/>
    <n v="0.1"/>
    <s v="0"/>
    <x v="0"/>
    <x v="12"/>
    <x v="11"/>
    <x v="2"/>
    <s v="01"/>
    <x v="2"/>
    <x v="1"/>
    <s v="Unknown"/>
    <x v="0"/>
    <n v="275"/>
  </r>
  <r>
    <x v="12"/>
    <s v="SF Bay Area"/>
    <x v="9"/>
    <n v="155"/>
    <n v="7.0000000000000007E-2"/>
    <s v="0"/>
    <x v="0"/>
    <x v="12"/>
    <x v="11"/>
    <x v="2"/>
    <s v="01"/>
    <x v="2"/>
    <x v="1"/>
    <s v="Post-IPO"/>
    <x v="0"/>
    <n v="253"/>
  </r>
  <r>
    <x v="12"/>
    <s v="SF Bay Area"/>
    <x v="9"/>
    <n v="200"/>
    <n v="0.09"/>
    <s v="0"/>
    <x v="0"/>
    <x v="13"/>
    <x v="10"/>
    <x v="3"/>
    <s v="04"/>
    <x v="4"/>
    <x v="0"/>
    <s v="Post-IPO"/>
    <x v="0"/>
    <n v="253"/>
  </r>
  <r>
    <x v="13"/>
    <s v="Seattle"/>
    <x v="0"/>
    <s v="NULL"/>
    <n v="0.1"/>
    <s v="0"/>
    <x v="0"/>
    <x v="14"/>
    <x v="12"/>
    <x v="0"/>
    <s v="07"/>
    <x v="3"/>
    <x v="0"/>
    <s v="Series E"/>
    <x v="0"/>
    <n v="247"/>
  </r>
  <r>
    <x v="14"/>
    <s v="Sao Paulo"/>
    <x v="10"/>
    <n v="75"/>
    <n v="0.02"/>
    <s v="0"/>
    <x v="0"/>
    <x v="15"/>
    <x v="13"/>
    <x v="8"/>
    <s v="09"/>
    <x v="8"/>
    <x v="0"/>
    <s v="Acquired"/>
    <x v="3"/>
    <n v="244"/>
  </r>
  <r>
    <x v="15"/>
    <s v="SF Bay Area"/>
    <x v="4"/>
    <n v="12"/>
    <n v="0.05"/>
    <s v="0"/>
    <x v="0"/>
    <x v="16"/>
    <x v="14"/>
    <x v="9"/>
    <s v="06"/>
    <x v="9"/>
    <x v="0"/>
    <s v="Series C"/>
    <x v="0"/>
    <n v="106"/>
  </r>
  <r>
    <x v="16"/>
    <s v="Vancouver"/>
    <x v="0"/>
    <n v="40"/>
    <s v="NULL"/>
    <s v="0"/>
    <x v="2"/>
    <x v="17"/>
    <x v="4"/>
    <x v="8"/>
    <s v="09"/>
    <x v="8"/>
    <x v="0"/>
    <s v="Post-IPO"/>
    <x v="0"/>
    <n v="237"/>
  </r>
  <r>
    <x v="17"/>
    <s v="Stockholm"/>
    <x v="11"/>
    <n v="70"/>
    <n v="0.15"/>
    <s v="0"/>
    <x v="1"/>
    <x v="18"/>
    <x v="15"/>
    <x v="8"/>
    <s v="09"/>
    <x v="8"/>
    <x v="0"/>
    <s v="Post-IPO"/>
    <x v="5"/>
    <n v="126"/>
  </r>
  <r>
    <x v="18"/>
    <s v="Mumbai"/>
    <x v="12"/>
    <n v="45"/>
    <n v="0.09"/>
    <s v="0"/>
    <x v="0"/>
    <x v="19"/>
    <x v="5"/>
    <x v="2"/>
    <s v="01"/>
    <x v="2"/>
    <x v="2"/>
    <s v="Unknown"/>
    <x v="6"/>
    <n v="143"/>
  </r>
  <r>
    <x v="19"/>
    <s v="Portland"/>
    <x v="12"/>
    <n v="50"/>
    <s v="NULL"/>
    <s v="0"/>
    <x v="2"/>
    <x v="20"/>
    <x v="16"/>
    <x v="10"/>
    <s v="05"/>
    <x v="10"/>
    <x v="2"/>
    <s v="Unknown"/>
    <x v="0"/>
    <n v="207"/>
  </r>
  <r>
    <x v="20"/>
    <s v="Boston"/>
    <x v="13"/>
    <n v="54"/>
    <s v="NULL"/>
    <s v="0"/>
    <x v="2"/>
    <x v="21"/>
    <x v="17"/>
    <x v="7"/>
    <s v="12"/>
    <x v="0"/>
    <x v="2"/>
    <s v="Acquired"/>
    <x v="0"/>
    <n v="352"/>
  </r>
  <r>
    <x v="21"/>
    <s v="Chicago"/>
    <x v="1"/>
    <s v="NULL"/>
    <n v="0.15"/>
    <s v="0"/>
    <x v="1"/>
    <x v="22"/>
    <x v="10"/>
    <x v="6"/>
    <s v="03"/>
    <x v="7"/>
    <x v="0"/>
    <s v="Series C"/>
    <x v="0"/>
    <n v="360"/>
  </r>
  <r>
    <x v="22"/>
    <s v="Toronto"/>
    <x v="9"/>
    <n v="78"/>
    <n v="0.16"/>
    <s v="0"/>
    <x v="1"/>
    <x v="15"/>
    <x v="13"/>
    <x v="8"/>
    <s v="09"/>
    <x v="8"/>
    <x v="0"/>
    <s v="Series C"/>
    <x v="2"/>
    <n v="190"/>
  </r>
  <r>
    <x v="23"/>
    <s v="Berlin"/>
    <x v="0"/>
    <n v="50"/>
    <s v="NULL"/>
    <s v="0"/>
    <x v="2"/>
    <x v="23"/>
    <x v="1"/>
    <x v="11"/>
    <s v="10"/>
    <x v="11"/>
    <x v="0"/>
    <s v="Series B"/>
    <x v="7"/>
    <n v="189"/>
  </r>
  <r>
    <x v="24"/>
    <s v="Toronto"/>
    <x v="9"/>
    <n v="36"/>
    <n v="0.23"/>
    <s v="0"/>
    <x v="1"/>
    <x v="24"/>
    <x v="18"/>
    <x v="3"/>
    <s v="04"/>
    <x v="4"/>
    <x v="2"/>
    <s v="Series B"/>
    <x v="2"/>
    <n v="60"/>
  </r>
  <r>
    <x v="25"/>
    <s v="Seattle"/>
    <x v="0"/>
    <n v="100"/>
    <n v="0.12"/>
    <s v="0"/>
    <x v="1"/>
    <x v="25"/>
    <x v="19"/>
    <x v="5"/>
    <s v="08"/>
    <x v="6"/>
    <x v="0"/>
    <s v="Post-IPO"/>
    <x v="0"/>
    <n v="406"/>
  </r>
  <r>
    <x v="26"/>
    <s v="SF Bay Area"/>
    <x v="12"/>
    <n v="20"/>
    <n v="0.03"/>
    <s v="0"/>
    <x v="0"/>
    <x v="12"/>
    <x v="11"/>
    <x v="2"/>
    <s v="01"/>
    <x v="2"/>
    <x v="1"/>
    <s v="Series F"/>
    <x v="0"/>
    <n v="491"/>
  </r>
  <r>
    <x v="27"/>
    <s v="SF Bay Area"/>
    <x v="1"/>
    <n v="100"/>
    <s v="NULL"/>
    <s v="0"/>
    <x v="2"/>
    <x v="26"/>
    <x v="20"/>
    <x v="9"/>
    <s v="06"/>
    <x v="9"/>
    <x v="0"/>
    <s v="Post-IPO"/>
    <x v="0"/>
    <n v="2"/>
  </r>
  <r>
    <x v="28"/>
    <s v="Salt Lake City"/>
    <x v="1"/>
    <n v="210"/>
    <n v="0.3"/>
    <s v="0"/>
    <x v="1"/>
    <x v="27"/>
    <x v="21"/>
    <x v="6"/>
    <s v="03"/>
    <x v="7"/>
    <x v="2"/>
    <s v="Series C"/>
    <x v="0"/>
    <n v="89"/>
  </r>
  <r>
    <x v="29"/>
    <s v="Seattle"/>
    <x v="0"/>
    <n v="32"/>
    <n v="0.21"/>
    <s v="0"/>
    <x v="1"/>
    <x v="28"/>
    <x v="8"/>
    <x v="11"/>
    <s v="10"/>
    <x v="11"/>
    <x v="0"/>
    <s v="NULL"/>
    <x v="0"/>
    <s v="NULL"/>
  </r>
  <r>
    <x v="30"/>
    <s v="Durham"/>
    <x v="1"/>
    <n v="40"/>
    <s v="NULL"/>
    <s v="0"/>
    <x v="2"/>
    <x v="29"/>
    <x v="22"/>
    <x v="0"/>
    <s v="07"/>
    <x v="3"/>
    <x v="0"/>
    <s v="Unknown"/>
    <x v="0"/>
    <n v="20"/>
  </r>
  <r>
    <x v="31"/>
    <s v="SF Bay Area"/>
    <x v="12"/>
    <s v="NULL"/>
    <n v="0.01"/>
    <s v="0"/>
    <x v="0"/>
    <x v="30"/>
    <x v="23"/>
    <x v="6"/>
    <s v="03"/>
    <x v="7"/>
    <x v="0"/>
    <s v="Post-IPO"/>
    <x v="0"/>
    <n v="1500"/>
  </r>
  <r>
    <x v="31"/>
    <s v="SF Bay Area"/>
    <x v="12"/>
    <n v="500"/>
    <n v="0.19"/>
    <s v="0"/>
    <x v="1"/>
    <x v="31"/>
    <x v="24"/>
    <x v="5"/>
    <s v="08"/>
    <x v="6"/>
    <x v="1"/>
    <s v="Post-IPO"/>
    <x v="0"/>
    <n v="1500"/>
  </r>
  <r>
    <x v="32"/>
    <s v="Brasilia"/>
    <x v="2"/>
    <n v="60"/>
    <n v="0.2"/>
    <s v="0"/>
    <x v="1"/>
    <x v="10"/>
    <x v="6"/>
    <x v="6"/>
    <s v="03"/>
    <x v="7"/>
    <x v="0"/>
    <s v="Unknown"/>
    <x v="3"/>
    <s v="NULL"/>
  </r>
  <r>
    <x v="33"/>
    <s v="Singapore"/>
    <x v="14"/>
    <n v="1500"/>
    <n v="0.25"/>
    <s v="0"/>
    <x v="1"/>
    <x v="32"/>
    <x v="11"/>
    <x v="10"/>
    <s v="05"/>
    <x v="10"/>
    <x v="2"/>
    <s v="Acquired"/>
    <x v="8"/>
    <s v="NULL"/>
  </r>
  <r>
    <x v="34"/>
    <s v="SF Bay Area"/>
    <x v="0"/>
    <n v="44"/>
    <n v="1"/>
    <s v="1"/>
    <x v="3"/>
    <x v="33"/>
    <x v="25"/>
    <x v="3"/>
    <s v="04"/>
    <x v="4"/>
    <x v="0"/>
    <s v="Unknown"/>
    <x v="0"/>
    <n v="9"/>
  </r>
  <r>
    <x v="35"/>
    <s v="New York City"/>
    <x v="1"/>
    <s v="NULL"/>
    <n v="0.16"/>
    <s v="0"/>
    <x v="1"/>
    <x v="34"/>
    <x v="17"/>
    <x v="8"/>
    <s v="09"/>
    <x v="8"/>
    <x v="2"/>
    <s v="Series A"/>
    <x v="0"/>
    <n v="18"/>
  </r>
  <r>
    <x v="36"/>
    <s v="SF Bay Area"/>
    <x v="14"/>
    <n v="30"/>
    <s v="NULL"/>
    <s v="0"/>
    <x v="2"/>
    <x v="35"/>
    <x v="19"/>
    <x v="6"/>
    <s v="03"/>
    <x v="7"/>
    <x v="1"/>
    <s v="Post-IPO"/>
    <x v="0"/>
    <n v="6400"/>
  </r>
  <r>
    <x v="36"/>
    <s v="SF Bay Area"/>
    <x v="14"/>
    <n v="1900"/>
    <n v="0.25"/>
    <s v="0"/>
    <x v="1"/>
    <x v="36"/>
    <x v="26"/>
    <x v="10"/>
    <s v="05"/>
    <x v="10"/>
    <x v="2"/>
    <s v="Private Equity"/>
    <x v="0"/>
    <n v="5400"/>
  </r>
  <r>
    <x v="37"/>
    <s v="Lahore"/>
    <x v="15"/>
    <s v="NULL"/>
    <n v="0.31"/>
    <s v="0"/>
    <x v="1"/>
    <x v="37"/>
    <x v="0"/>
    <x v="10"/>
    <s v="05"/>
    <x v="10"/>
    <x v="0"/>
    <s v="Series B"/>
    <x v="9"/>
    <n v="109"/>
  </r>
  <r>
    <x v="37"/>
    <s v="Lahore"/>
    <x v="15"/>
    <s v="NULL"/>
    <n v="1"/>
    <s v="1"/>
    <x v="3"/>
    <x v="38"/>
    <x v="22"/>
    <x v="7"/>
    <s v="12"/>
    <x v="0"/>
    <x v="0"/>
    <s v="Series B"/>
    <x v="9"/>
    <n v="109"/>
  </r>
  <r>
    <x v="38"/>
    <s v="SF Bay Area"/>
    <x v="16"/>
    <n v="254"/>
    <n v="0.2"/>
    <s v="0"/>
    <x v="1"/>
    <x v="39"/>
    <x v="20"/>
    <x v="5"/>
    <s v="08"/>
    <x v="6"/>
    <x v="0"/>
    <s v="Series F"/>
    <x v="0"/>
    <n v="1400"/>
  </r>
  <r>
    <x v="39"/>
    <s v="Copenhagen"/>
    <x v="2"/>
    <n v="15"/>
    <s v="NULL"/>
    <s v="0"/>
    <x v="2"/>
    <x v="40"/>
    <x v="15"/>
    <x v="9"/>
    <s v="06"/>
    <x v="9"/>
    <x v="0"/>
    <s v="Unknown"/>
    <x v="10"/>
    <n v="7"/>
  </r>
  <r>
    <x v="40"/>
    <s v="New York City"/>
    <x v="2"/>
    <n v="30"/>
    <n v="0.2"/>
    <s v="0"/>
    <x v="1"/>
    <x v="41"/>
    <x v="27"/>
    <x v="10"/>
    <s v="05"/>
    <x v="10"/>
    <x v="0"/>
    <s v="Series B"/>
    <x v="0"/>
    <n v="33"/>
  </r>
  <r>
    <x v="41"/>
    <s v="Jakarta"/>
    <x v="14"/>
    <s v="NULL"/>
    <n v="0.7"/>
    <s v="0"/>
    <x v="4"/>
    <x v="42"/>
    <x v="28"/>
    <x v="3"/>
    <s v="04"/>
    <x v="4"/>
    <x v="2"/>
    <s v="Unknown"/>
    <x v="11"/>
    <s v="NULL"/>
  </r>
  <r>
    <x v="41"/>
    <s v="Jakarta"/>
    <x v="14"/>
    <s v="NULL"/>
    <n v="1"/>
    <s v="1"/>
    <x v="3"/>
    <x v="43"/>
    <x v="26"/>
    <x v="0"/>
    <s v="07"/>
    <x v="3"/>
    <x v="2"/>
    <s v="Unknown"/>
    <x v="11"/>
    <s v="NULL"/>
  </r>
  <r>
    <x v="42"/>
    <s v="Helsinki"/>
    <x v="17"/>
    <s v="NULL"/>
    <n v="0.2"/>
    <s v="0"/>
    <x v="1"/>
    <x v="12"/>
    <x v="11"/>
    <x v="2"/>
    <s v="01"/>
    <x v="2"/>
    <x v="1"/>
    <s v="Series D"/>
    <x v="12"/>
    <n v="420"/>
  </r>
  <r>
    <x v="43"/>
    <s v="Jakarta"/>
    <x v="12"/>
    <n v="67"/>
    <n v="0.08"/>
    <s v="0"/>
    <x v="0"/>
    <x v="44"/>
    <x v="8"/>
    <x v="1"/>
    <s v="11"/>
    <x v="1"/>
    <x v="0"/>
    <s v="Unknown"/>
    <x v="11"/>
    <n v="245"/>
  </r>
  <r>
    <x v="44"/>
    <s v="Baltimore"/>
    <x v="0"/>
    <n v="46"/>
    <n v="0.3"/>
    <s v="0"/>
    <x v="1"/>
    <x v="45"/>
    <x v="29"/>
    <x v="7"/>
    <s v="12"/>
    <x v="0"/>
    <x v="1"/>
    <s v="Seed"/>
    <x v="0"/>
    <s v="NULL"/>
  </r>
  <r>
    <x v="45"/>
    <s v="Jakarta"/>
    <x v="12"/>
    <n v="100"/>
    <s v="NULL"/>
    <s v="0"/>
    <x v="2"/>
    <x v="46"/>
    <x v="15"/>
    <x v="3"/>
    <s v="04"/>
    <x v="4"/>
    <x v="2"/>
    <s v="Series D"/>
    <x v="11"/>
    <n v="160"/>
  </r>
  <r>
    <x v="46"/>
    <s v="Montreal"/>
    <x v="0"/>
    <n v="80"/>
    <n v="0.14000000000000001"/>
    <s v="0"/>
    <x v="1"/>
    <x v="47"/>
    <x v="17"/>
    <x v="5"/>
    <s v="08"/>
    <x v="6"/>
    <x v="0"/>
    <s v="Series D"/>
    <x v="2"/>
    <n v="293"/>
  </r>
  <r>
    <x v="47"/>
    <s v="Los Angeles"/>
    <x v="12"/>
    <n v="20"/>
    <n v="0.08"/>
    <s v="0"/>
    <x v="0"/>
    <x v="48"/>
    <x v="6"/>
    <x v="11"/>
    <s v="10"/>
    <x v="11"/>
    <x v="0"/>
    <s v="Series C"/>
    <x v="0"/>
    <n v="175"/>
  </r>
  <r>
    <x v="48"/>
    <s v="Ibadan"/>
    <x v="3"/>
    <n v="400"/>
    <s v="NULL"/>
    <s v="0"/>
    <x v="2"/>
    <x v="49"/>
    <x v="19"/>
    <x v="9"/>
    <s v="06"/>
    <x v="9"/>
    <x v="1"/>
    <s v="Series B"/>
    <x v="13"/>
    <n v="16"/>
  </r>
  <r>
    <x v="49"/>
    <s v="Sao Paulo"/>
    <x v="0"/>
    <n v="63"/>
    <s v="NULL"/>
    <s v="0"/>
    <x v="2"/>
    <x v="50"/>
    <x v="22"/>
    <x v="1"/>
    <s v="11"/>
    <x v="1"/>
    <x v="0"/>
    <s v="Series C"/>
    <x v="3"/>
    <n v="174"/>
  </r>
  <r>
    <x v="49"/>
    <s v="Sao Paulo"/>
    <x v="0"/>
    <n v="113"/>
    <n v="0.16"/>
    <s v="0"/>
    <x v="1"/>
    <x v="51"/>
    <x v="20"/>
    <x v="8"/>
    <s v="09"/>
    <x v="8"/>
    <x v="0"/>
    <s v="Series C"/>
    <x v="3"/>
    <n v="174"/>
  </r>
  <r>
    <x v="50"/>
    <s v="Moscow"/>
    <x v="3"/>
    <n v="400"/>
    <n v="0.4"/>
    <s v="0"/>
    <x v="1"/>
    <x v="52"/>
    <x v="25"/>
    <x v="10"/>
    <s v="05"/>
    <x v="10"/>
    <x v="0"/>
    <s v="Acquired"/>
    <x v="14"/>
    <n v="60"/>
  </r>
  <r>
    <x v="51"/>
    <s v="SF Bay Area"/>
    <x v="3"/>
    <n v="23"/>
    <s v="NULL"/>
    <s v="0"/>
    <x v="2"/>
    <x v="8"/>
    <x v="8"/>
    <x v="0"/>
    <s v="07"/>
    <x v="3"/>
    <x v="0"/>
    <s v="Post-IPO"/>
    <x v="0"/>
    <n v="202"/>
  </r>
  <r>
    <x v="52"/>
    <s v="SF Bay Area"/>
    <x v="0"/>
    <n v="47"/>
    <n v="0.06"/>
    <s v="0"/>
    <x v="0"/>
    <x v="53"/>
    <x v="9"/>
    <x v="8"/>
    <s v="09"/>
    <x v="8"/>
    <x v="2"/>
    <s v="Series D"/>
    <x v="0"/>
    <n v="356"/>
  </r>
  <r>
    <x v="53"/>
    <s v="Seattle"/>
    <x v="3"/>
    <n v="150"/>
    <s v="NULL"/>
    <s v="0"/>
    <x v="2"/>
    <x v="28"/>
    <x v="8"/>
    <x v="11"/>
    <s v="10"/>
    <x v="11"/>
    <x v="0"/>
    <s v="Post-IPO"/>
    <x v="0"/>
    <n v="108"/>
  </r>
  <r>
    <x v="53"/>
    <s v="Seattle"/>
    <x v="3"/>
    <n v="8000"/>
    <n v="0.02"/>
    <s v="0"/>
    <x v="0"/>
    <x v="54"/>
    <x v="29"/>
    <x v="3"/>
    <s v="04"/>
    <x v="4"/>
    <x v="1"/>
    <s v="Post-IPO"/>
    <x v="0"/>
    <n v="108"/>
  </r>
  <r>
    <x v="53"/>
    <s v="Seattle"/>
    <x v="3"/>
    <n v="10000"/>
    <n v="0.03"/>
    <s v="0"/>
    <x v="0"/>
    <x v="55"/>
    <x v="17"/>
    <x v="1"/>
    <s v="11"/>
    <x v="1"/>
    <x v="0"/>
    <s v="Post-IPO"/>
    <x v="0"/>
    <n v="108"/>
  </r>
  <r>
    <x v="54"/>
    <s v="Hong Kong"/>
    <x v="4"/>
    <s v="NULL"/>
    <n v="0.1"/>
    <s v="0"/>
    <x v="0"/>
    <x v="56"/>
    <x v="7"/>
    <x v="8"/>
    <s v="09"/>
    <x v="8"/>
    <x v="0"/>
    <s v="Series B"/>
    <x v="15"/>
    <n v="328"/>
  </r>
  <r>
    <x v="55"/>
    <s v="Blumenau"/>
    <x v="8"/>
    <n v="50"/>
    <s v="NULL"/>
    <s v="0"/>
    <x v="2"/>
    <x v="57"/>
    <x v="19"/>
    <x v="4"/>
    <s v="02"/>
    <x v="5"/>
    <x v="1"/>
    <s v="Acquired"/>
    <x v="3"/>
    <s v="NULL"/>
  </r>
  <r>
    <x v="56"/>
    <s v="St. Louis"/>
    <x v="9"/>
    <n v="700"/>
    <n v="0.03"/>
    <s v="0"/>
    <x v="0"/>
    <x v="58"/>
    <x v="29"/>
    <x v="4"/>
    <s v="02"/>
    <x v="5"/>
    <x v="1"/>
    <s v="Post-IPO"/>
    <x v="0"/>
    <s v="NULL"/>
  </r>
  <r>
    <x v="57"/>
    <s v="Boston"/>
    <x v="18"/>
    <n v="50"/>
    <n v="0.65"/>
    <s v="0"/>
    <x v="4"/>
    <x v="59"/>
    <x v="1"/>
    <x v="2"/>
    <s v="01"/>
    <x v="2"/>
    <x v="1"/>
    <s v="Acquired"/>
    <x v="0"/>
    <n v="92"/>
  </r>
  <r>
    <x v="58"/>
    <s v="Chicago"/>
    <x v="12"/>
    <s v="NULL"/>
    <n v="0.18"/>
    <s v="0"/>
    <x v="1"/>
    <x v="60"/>
    <x v="2"/>
    <x v="9"/>
    <s v="06"/>
    <x v="9"/>
    <x v="0"/>
    <s v="Unknown"/>
    <x v="0"/>
    <n v="283"/>
  </r>
  <r>
    <x v="58"/>
    <s v="Chicago"/>
    <x v="12"/>
    <n v="130"/>
    <n v="0.25"/>
    <s v="0"/>
    <x v="1"/>
    <x v="61"/>
    <x v="2"/>
    <x v="4"/>
    <s v="02"/>
    <x v="5"/>
    <x v="1"/>
    <s v="Unknown"/>
    <x v="0"/>
    <n v="283"/>
  </r>
  <r>
    <x v="59"/>
    <s v="Seattle"/>
    <x v="1"/>
    <n v="13"/>
    <n v="0.03"/>
    <s v="0"/>
    <x v="0"/>
    <x v="62"/>
    <x v="13"/>
    <x v="5"/>
    <s v="08"/>
    <x v="6"/>
    <x v="0"/>
    <s v="Series D"/>
    <x v="0"/>
    <n v="187"/>
  </r>
  <r>
    <x v="60"/>
    <s v="Seattle"/>
    <x v="1"/>
    <n v="17"/>
    <n v="1"/>
    <s v="1"/>
    <x v="3"/>
    <x v="63"/>
    <x v="9"/>
    <x v="6"/>
    <s v="03"/>
    <x v="7"/>
    <x v="2"/>
    <s v="Series B"/>
    <x v="0"/>
    <n v="25"/>
  </r>
  <r>
    <x v="61"/>
    <s v="Los Angeles"/>
    <x v="0"/>
    <n v="17"/>
    <s v="NULL"/>
    <s v="0"/>
    <x v="2"/>
    <x v="64"/>
    <x v="5"/>
    <x v="6"/>
    <s v="03"/>
    <x v="7"/>
    <x v="2"/>
    <s v="Series A"/>
    <x v="0"/>
    <n v="14"/>
  </r>
  <r>
    <x v="62"/>
    <s v="New York City"/>
    <x v="19"/>
    <n v="135"/>
    <n v="0.1"/>
    <s v="0"/>
    <x v="0"/>
    <x v="36"/>
    <x v="26"/>
    <x v="10"/>
    <s v="05"/>
    <x v="10"/>
    <x v="2"/>
    <s v="Series D"/>
    <x v="0"/>
    <n v="181"/>
  </r>
  <r>
    <x v="63"/>
    <s v="SF Bay Area"/>
    <x v="19"/>
    <n v="20"/>
    <s v="NULL"/>
    <s v="0"/>
    <x v="2"/>
    <x v="27"/>
    <x v="21"/>
    <x v="6"/>
    <s v="03"/>
    <x v="7"/>
    <x v="2"/>
    <s v="Series B"/>
    <x v="0"/>
    <n v="26"/>
  </r>
  <r>
    <x v="64"/>
    <s v="Tel Aviv"/>
    <x v="13"/>
    <n v="35"/>
    <n v="0.27"/>
    <s v="0"/>
    <x v="1"/>
    <x v="65"/>
    <x v="22"/>
    <x v="9"/>
    <s v="06"/>
    <x v="9"/>
    <x v="0"/>
    <s v="Series C"/>
    <x v="0"/>
    <n v="64"/>
  </r>
  <r>
    <x v="65"/>
    <s v="Tel Aviv"/>
    <x v="0"/>
    <n v="23"/>
    <n v="0.38"/>
    <s v="0"/>
    <x v="1"/>
    <x v="66"/>
    <x v="27"/>
    <x v="11"/>
    <s v="10"/>
    <x v="11"/>
    <x v="0"/>
    <s v="Unknown"/>
    <x v="16"/>
    <n v="36"/>
  </r>
  <r>
    <x v="66"/>
    <s v="Tel Aviv"/>
    <x v="20"/>
    <n v="11"/>
    <s v="NULL"/>
    <s v="0"/>
    <x v="2"/>
    <x v="67"/>
    <x v="25"/>
    <x v="5"/>
    <s v="08"/>
    <x v="6"/>
    <x v="0"/>
    <s v="Series A"/>
    <x v="16"/>
    <n v="15"/>
  </r>
  <r>
    <x v="67"/>
    <s v="SF Bay Area"/>
    <x v="20"/>
    <n v="29"/>
    <n v="0.1"/>
    <s v="0"/>
    <x v="0"/>
    <x v="68"/>
    <x v="21"/>
    <x v="5"/>
    <s v="08"/>
    <x v="6"/>
    <x v="0"/>
    <s v="Series D"/>
    <x v="0"/>
    <n v="169"/>
  </r>
  <r>
    <x v="68"/>
    <s v="SF Bay Area"/>
    <x v="16"/>
    <s v="NULL"/>
    <n v="0.15"/>
    <s v="0"/>
    <x v="1"/>
    <x v="69"/>
    <x v="15"/>
    <x v="7"/>
    <s v="12"/>
    <x v="0"/>
    <x v="0"/>
    <s v="Series D"/>
    <x v="0"/>
    <n v="183"/>
  </r>
  <r>
    <x v="69"/>
    <s v="Vancouver"/>
    <x v="12"/>
    <s v="NULL"/>
    <n v="0.25"/>
    <s v="0"/>
    <x v="1"/>
    <x v="70"/>
    <x v="15"/>
    <x v="1"/>
    <s v="11"/>
    <x v="1"/>
    <x v="0"/>
    <s v="Series B"/>
    <x v="2"/>
    <n v="11"/>
  </r>
  <r>
    <x v="70"/>
    <s v="SF Bay Area"/>
    <x v="13"/>
    <n v="80"/>
    <n v="0.18"/>
    <s v="0"/>
    <x v="1"/>
    <x v="71"/>
    <x v="8"/>
    <x v="3"/>
    <s v="04"/>
    <x v="4"/>
    <x v="2"/>
    <s v="Unknown"/>
    <x v="0"/>
    <n v="156"/>
  </r>
  <r>
    <x v="71"/>
    <s v="Miami"/>
    <x v="21"/>
    <n v="34"/>
    <n v="0.08"/>
    <s v="0"/>
    <x v="0"/>
    <x v="72"/>
    <x v="24"/>
    <x v="2"/>
    <s v="01"/>
    <x v="2"/>
    <x v="1"/>
    <s v="Post-IPO"/>
    <x v="0"/>
    <s v="NULL"/>
  </r>
  <r>
    <x v="71"/>
    <s v="Miami"/>
    <x v="21"/>
    <n v="130"/>
    <n v="0.22"/>
    <s v="0"/>
    <x v="1"/>
    <x v="14"/>
    <x v="12"/>
    <x v="0"/>
    <s v="07"/>
    <x v="3"/>
    <x v="0"/>
    <s v="Post-IPO"/>
    <x v="0"/>
    <s v="NULL"/>
  </r>
  <r>
    <x v="72"/>
    <s v="SF Bay Area"/>
    <x v="1"/>
    <n v="300"/>
    <n v="0.12"/>
    <s v="0"/>
    <x v="1"/>
    <x v="60"/>
    <x v="2"/>
    <x v="9"/>
    <s v="06"/>
    <x v="9"/>
    <x v="0"/>
    <s v="Post-IPO"/>
    <x v="0"/>
    <n v="1600"/>
  </r>
  <r>
    <x v="73"/>
    <s v="Waterloo"/>
    <x v="5"/>
    <n v="90"/>
    <n v="0.06"/>
    <s v="0"/>
    <x v="0"/>
    <x v="44"/>
    <x v="8"/>
    <x v="1"/>
    <s v="11"/>
    <x v="1"/>
    <x v="0"/>
    <s v="Series D"/>
    <x v="2"/>
    <n v="483"/>
  </r>
  <r>
    <x v="74"/>
    <s v="Chennai"/>
    <x v="8"/>
    <n v="80"/>
    <n v="0.3"/>
    <s v="0"/>
    <x v="1"/>
    <x v="73"/>
    <x v="13"/>
    <x v="9"/>
    <s v="06"/>
    <x v="9"/>
    <x v="0"/>
    <s v="Unknown"/>
    <x v="6"/>
    <n v="12"/>
  </r>
  <r>
    <x v="75"/>
    <s v="Boston"/>
    <x v="21"/>
    <n v="65"/>
    <n v="0.1"/>
    <s v="0"/>
    <x v="0"/>
    <x v="74"/>
    <x v="20"/>
    <x v="10"/>
    <s v="05"/>
    <x v="10"/>
    <x v="0"/>
    <s v="Series E"/>
    <x v="0"/>
    <n v="265"/>
  </r>
  <r>
    <x v="75"/>
    <s v="Tel Aviv"/>
    <x v="21"/>
    <n v="24"/>
    <n v="0.09"/>
    <s v="0"/>
    <x v="0"/>
    <x v="19"/>
    <x v="5"/>
    <x v="2"/>
    <s v="01"/>
    <x v="2"/>
    <x v="2"/>
    <s v="Series C"/>
    <x v="16"/>
    <n v="100"/>
  </r>
  <r>
    <x v="76"/>
    <s v="SF Bay Area"/>
    <x v="22"/>
    <n v="13"/>
    <s v="NULL"/>
    <s v="0"/>
    <x v="2"/>
    <x v="75"/>
    <x v="13"/>
    <x v="0"/>
    <s v="07"/>
    <x v="3"/>
    <x v="0"/>
    <s v="Seed"/>
    <x v="0"/>
    <n v="1"/>
  </r>
  <r>
    <x v="77"/>
    <s v="Brisbane"/>
    <x v="0"/>
    <s v="NULL"/>
    <n v="1"/>
    <s v="1"/>
    <x v="3"/>
    <x v="76"/>
    <x v="3"/>
    <x v="2"/>
    <s v="01"/>
    <x v="2"/>
    <x v="1"/>
    <s v="Series C"/>
    <x v="0"/>
    <n v="155"/>
  </r>
  <r>
    <x v="78"/>
    <s v="Munich"/>
    <x v="10"/>
    <n v="100"/>
    <s v="NULL"/>
    <s v="0"/>
    <x v="2"/>
    <x v="77"/>
    <x v="9"/>
    <x v="9"/>
    <s v="06"/>
    <x v="9"/>
    <x v="2"/>
    <s v="Unknown"/>
    <x v="7"/>
    <n v="3600"/>
  </r>
  <r>
    <x v="78"/>
    <s v="Pittsburgh"/>
    <x v="10"/>
    <n v="150"/>
    <n v="0.05"/>
    <s v="0"/>
    <x v="0"/>
    <x v="29"/>
    <x v="22"/>
    <x v="0"/>
    <s v="07"/>
    <x v="3"/>
    <x v="0"/>
    <s v="Unknown"/>
    <x v="0"/>
    <n v="3600"/>
  </r>
  <r>
    <x v="78"/>
    <s v="Pittsburgh"/>
    <x v="10"/>
    <n v="173"/>
    <s v="NULL"/>
    <s v="0"/>
    <x v="2"/>
    <x v="78"/>
    <x v="16"/>
    <x v="11"/>
    <s v="10"/>
    <x v="11"/>
    <x v="0"/>
    <s v="Unknown"/>
    <x v="0"/>
    <n v="3600"/>
  </r>
  <r>
    <x v="78"/>
    <s v="SF Bay Area"/>
    <x v="10"/>
    <n v="259"/>
    <s v="NULL"/>
    <s v="0"/>
    <x v="2"/>
    <x v="79"/>
    <x v="23"/>
    <x v="2"/>
    <s v="01"/>
    <x v="2"/>
    <x v="0"/>
    <s v="Unknown"/>
    <x v="0"/>
    <n v="3600"/>
  </r>
  <r>
    <x v="79"/>
    <s v="New York City"/>
    <x v="12"/>
    <n v="20"/>
    <n v="7.0000000000000007E-2"/>
    <s v="0"/>
    <x v="0"/>
    <x v="80"/>
    <x v="16"/>
    <x v="5"/>
    <s v="08"/>
    <x v="6"/>
    <x v="0"/>
    <s v="Series B"/>
    <x v="0"/>
    <n v="78"/>
  </r>
  <r>
    <x v="80"/>
    <s v="SF Bay Area"/>
    <x v="21"/>
    <n v="25"/>
    <n v="0.04"/>
    <s v="0"/>
    <x v="0"/>
    <x v="39"/>
    <x v="20"/>
    <x v="5"/>
    <s v="08"/>
    <x v="6"/>
    <x v="0"/>
    <s v="Private Equity"/>
    <x v="0"/>
    <n v="537"/>
  </r>
  <r>
    <x v="81"/>
    <s v="London"/>
    <x v="10"/>
    <s v="NULL"/>
    <n v="0.3"/>
    <s v="0"/>
    <x v="1"/>
    <x v="3"/>
    <x v="3"/>
    <x v="0"/>
    <s v="07"/>
    <x v="3"/>
    <x v="0"/>
    <s v="Post-IPO"/>
    <x v="17"/>
    <n v="629"/>
  </r>
  <r>
    <x v="81"/>
    <s v="London"/>
    <x v="10"/>
    <n v="800"/>
    <n v="0.5"/>
    <s v="0"/>
    <x v="1"/>
    <x v="81"/>
    <x v="14"/>
    <x v="2"/>
    <s v="01"/>
    <x v="2"/>
    <x v="1"/>
    <s v="Post-IPO"/>
    <x v="17"/>
    <n v="629"/>
  </r>
  <r>
    <x v="82"/>
    <s v="Austin"/>
    <x v="15"/>
    <n v="75"/>
    <n v="7.0000000000000007E-2"/>
    <s v="0"/>
    <x v="0"/>
    <x v="64"/>
    <x v="5"/>
    <x v="6"/>
    <s v="03"/>
    <x v="7"/>
    <x v="2"/>
    <s v="Series B"/>
    <x v="0"/>
    <n v="35"/>
  </r>
  <r>
    <x v="83"/>
    <s v="Vancouver"/>
    <x v="3"/>
    <n v="216"/>
    <n v="0.17"/>
    <s v="0"/>
    <x v="1"/>
    <x v="4"/>
    <x v="4"/>
    <x v="3"/>
    <s v="04"/>
    <x v="4"/>
    <x v="0"/>
    <s v="Series B"/>
    <x v="2"/>
    <s v="NULL"/>
  </r>
  <r>
    <x v="84"/>
    <s v="New York City"/>
    <x v="5"/>
    <n v="38"/>
    <s v="NULL"/>
    <s v="0"/>
    <x v="2"/>
    <x v="82"/>
    <x v="24"/>
    <x v="4"/>
    <s v="02"/>
    <x v="5"/>
    <x v="1"/>
    <s v="Series A"/>
    <x v="0"/>
    <n v="1500"/>
  </r>
  <r>
    <x v="85"/>
    <s v="Berlin"/>
    <x v="3"/>
    <n v="26"/>
    <n v="0.36"/>
    <s v="0"/>
    <x v="1"/>
    <x v="68"/>
    <x v="21"/>
    <x v="5"/>
    <s v="08"/>
    <x v="6"/>
    <x v="0"/>
    <s v="Unknown"/>
    <x v="7"/>
    <s v="NULL"/>
  </r>
  <r>
    <x v="86"/>
    <s v="SF Bay Area"/>
    <x v="18"/>
    <n v="180"/>
    <n v="0.09"/>
    <s v="0"/>
    <x v="0"/>
    <x v="70"/>
    <x v="15"/>
    <x v="1"/>
    <s v="11"/>
    <x v="1"/>
    <x v="0"/>
    <s v="Post-IPO"/>
    <x v="0"/>
    <n v="453"/>
  </r>
  <r>
    <x v="87"/>
    <s v="SF Bay Area"/>
    <x v="1"/>
    <n v="23"/>
    <s v="NULL"/>
    <s v="0"/>
    <x v="2"/>
    <x v="83"/>
    <x v="15"/>
    <x v="0"/>
    <s v="07"/>
    <x v="3"/>
    <x v="0"/>
    <s v="Series A"/>
    <x v="0"/>
    <n v="27"/>
  </r>
  <r>
    <x v="88"/>
    <s v="Salt Lake City"/>
    <x v="12"/>
    <s v="NULL"/>
    <n v="1"/>
    <s v="1"/>
    <x v="3"/>
    <x v="84"/>
    <x v="27"/>
    <x v="1"/>
    <s v="11"/>
    <x v="1"/>
    <x v="0"/>
    <s v="Seed"/>
    <x v="0"/>
    <n v="2"/>
  </r>
  <r>
    <x v="89"/>
    <s v="SF Bay Area"/>
    <x v="23"/>
    <s v="NULL"/>
    <n v="0.16"/>
    <s v="0"/>
    <x v="1"/>
    <x v="85"/>
    <x v="23"/>
    <x v="5"/>
    <s v="08"/>
    <x v="6"/>
    <x v="0"/>
    <s v="Post-IPO"/>
    <x v="0"/>
    <n v="300"/>
  </r>
  <r>
    <x v="89"/>
    <s v="SF Bay Area"/>
    <x v="23"/>
    <n v="40"/>
    <n v="0.25"/>
    <s v="0"/>
    <x v="1"/>
    <x v="86"/>
    <x v="5"/>
    <x v="10"/>
    <s v="05"/>
    <x v="10"/>
    <x v="2"/>
    <s v="Unknown"/>
    <x v="0"/>
    <n v="100"/>
  </r>
  <r>
    <x v="90"/>
    <s v="Cincinnati"/>
    <x v="13"/>
    <n v="76"/>
    <n v="0.2"/>
    <s v="0"/>
    <x v="1"/>
    <x v="54"/>
    <x v="29"/>
    <x v="3"/>
    <s v="04"/>
    <x v="4"/>
    <x v="1"/>
    <s v="Series C"/>
    <x v="0"/>
    <n v="282"/>
  </r>
  <r>
    <x v="91"/>
    <s v="Atlanta"/>
    <x v="20"/>
    <s v="NULL"/>
    <n v="0.5"/>
    <s v="0"/>
    <x v="1"/>
    <x v="5"/>
    <x v="5"/>
    <x v="4"/>
    <s v="02"/>
    <x v="5"/>
    <x v="2"/>
    <s v="Unknown"/>
    <x v="0"/>
    <s v="NULL"/>
  </r>
  <r>
    <x v="92"/>
    <s v="New York City"/>
    <x v="11"/>
    <n v="15"/>
    <s v="NULL"/>
    <s v="0"/>
    <x v="2"/>
    <x v="87"/>
    <x v="11"/>
    <x v="9"/>
    <s v="06"/>
    <x v="9"/>
    <x v="2"/>
    <s v="Series B"/>
    <x v="0"/>
    <n v="32"/>
  </r>
  <r>
    <x v="93"/>
    <s v="Sydney"/>
    <x v="18"/>
    <n v="500"/>
    <n v="0.05"/>
    <s v="0"/>
    <x v="0"/>
    <x v="49"/>
    <x v="19"/>
    <x v="9"/>
    <s v="06"/>
    <x v="9"/>
    <x v="1"/>
    <s v="Post-IPO"/>
    <x v="4"/>
    <n v="210"/>
  </r>
  <r>
    <x v="94"/>
    <s v="SF Bay Area"/>
    <x v="12"/>
    <n v="32"/>
    <n v="0.3"/>
    <s v="0"/>
    <x v="1"/>
    <x v="88"/>
    <x v="30"/>
    <x v="11"/>
    <s v="10"/>
    <x v="11"/>
    <x v="0"/>
    <s v="Series B"/>
    <x v="0"/>
    <n v="177"/>
  </r>
  <r>
    <x v="95"/>
    <s v="Seattle"/>
    <x v="17"/>
    <n v="6"/>
    <n v="1"/>
    <s v="1"/>
    <x v="3"/>
    <x v="89"/>
    <x v="5"/>
    <x v="11"/>
    <s v="10"/>
    <x v="11"/>
    <x v="2"/>
    <s v="Unknown"/>
    <x v="0"/>
    <n v="1"/>
  </r>
  <r>
    <x v="96"/>
    <s v="New York City"/>
    <x v="1"/>
    <s v="NULL"/>
    <n v="0.15"/>
    <s v="0"/>
    <x v="1"/>
    <x v="90"/>
    <x v="29"/>
    <x v="10"/>
    <s v="05"/>
    <x v="10"/>
    <x v="1"/>
    <s v="Series E"/>
    <x v="0"/>
    <n v="863"/>
  </r>
  <r>
    <x v="97"/>
    <s v="Tel Aviv"/>
    <x v="21"/>
    <n v="19"/>
    <n v="0.09"/>
    <s v="0"/>
    <x v="0"/>
    <x v="91"/>
    <x v="21"/>
    <x v="2"/>
    <s v="01"/>
    <x v="2"/>
    <x v="1"/>
    <s v="Unknown"/>
    <x v="16"/>
    <n v="80"/>
  </r>
  <r>
    <x v="98"/>
    <s v="New York City"/>
    <x v="24"/>
    <n v="20"/>
    <n v="0.05"/>
    <s v="0"/>
    <x v="0"/>
    <x v="54"/>
    <x v="29"/>
    <x v="3"/>
    <s v="04"/>
    <x v="4"/>
    <x v="1"/>
    <s v="Series E"/>
    <x v="0"/>
    <n v="274"/>
  </r>
  <r>
    <x v="99"/>
    <s v="Boston"/>
    <x v="21"/>
    <n v="70"/>
    <n v="0.09"/>
    <s v="0"/>
    <x v="0"/>
    <x v="92"/>
    <x v="27"/>
    <x v="9"/>
    <s v="06"/>
    <x v="9"/>
    <x v="0"/>
    <s v="Series F"/>
    <x v="0"/>
    <n v="500"/>
  </r>
  <r>
    <x v="100"/>
    <s v="SF Bay Area"/>
    <x v="12"/>
    <s v="NULL"/>
    <n v="1"/>
    <s v="1"/>
    <x v="3"/>
    <x v="93"/>
    <x v="29"/>
    <x v="1"/>
    <s v="11"/>
    <x v="1"/>
    <x v="3"/>
    <s v="Unknown"/>
    <x v="0"/>
    <n v="584"/>
  </r>
  <r>
    <x v="101"/>
    <s v="SF Bay Area"/>
    <x v="18"/>
    <n v="250"/>
    <n v="0.02"/>
    <s v="0"/>
    <x v="0"/>
    <x v="82"/>
    <x v="24"/>
    <x v="4"/>
    <s v="02"/>
    <x v="5"/>
    <x v="1"/>
    <s v="Post-IPO"/>
    <x v="0"/>
    <s v="NULL"/>
  </r>
  <r>
    <x v="102"/>
    <s v="SF Bay Area"/>
    <x v="10"/>
    <s v="NULL"/>
    <n v="1"/>
    <s v="1"/>
    <x v="3"/>
    <x v="94"/>
    <x v="26"/>
    <x v="2"/>
    <s v="01"/>
    <x v="2"/>
    <x v="2"/>
    <s v="Acquired"/>
    <x v="0"/>
    <n v="24"/>
  </r>
  <r>
    <x v="103"/>
    <s v="SF Bay Area"/>
    <x v="18"/>
    <n v="260"/>
    <n v="0.1"/>
    <s v="0"/>
    <x v="0"/>
    <x v="95"/>
    <x v="2"/>
    <x v="3"/>
    <s v="04"/>
    <x v="4"/>
    <x v="2"/>
    <s v="Series B"/>
    <x v="0"/>
    <n v="840"/>
  </r>
  <r>
    <x v="104"/>
    <s v="Boulder"/>
    <x v="17"/>
    <s v="NULL"/>
    <n v="0.11"/>
    <s v="0"/>
    <x v="1"/>
    <x v="96"/>
    <x v="11"/>
    <x v="3"/>
    <s v="04"/>
    <x v="4"/>
    <x v="0"/>
    <s v="Series C"/>
    <x v="0"/>
    <n v="152"/>
  </r>
  <r>
    <x v="105"/>
    <s v="Minneapolis"/>
    <x v="11"/>
    <n v="5"/>
    <n v="0.2"/>
    <s v="0"/>
    <x v="1"/>
    <x v="64"/>
    <x v="5"/>
    <x v="6"/>
    <s v="03"/>
    <x v="7"/>
    <x v="2"/>
    <s v="Unknown"/>
    <x v="0"/>
    <s v="NULL"/>
  </r>
  <r>
    <x v="106"/>
    <s v="Los Angeles"/>
    <x v="14"/>
    <n v="80"/>
    <s v="NULL"/>
    <s v="0"/>
    <x v="2"/>
    <x v="97"/>
    <x v="9"/>
    <x v="9"/>
    <s v="06"/>
    <x v="9"/>
    <x v="0"/>
    <s v="Unknown"/>
    <x v="0"/>
    <n v="811"/>
  </r>
  <r>
    <x v="106"/>
    <s v="Los Angeles"/>
    <x v="14"/>
    <n v="144"/>
    <n v="0.22"/>
    <s v="0"/>
    <x v="1"/>
    <x v="98"/>
    <x v="23"/>
    <x v="8"/>
    <s v="09"/>
    <x v="8"/>
    <x v="0"/>
    <s v="Private Equity"/>
    <x v="0"/>
    <n v="686"/>
  </r>
  <r>
    <x v="107"/>
    <s v="Phoenix"/>
    <x v="21"/>
    <s v="NULL"/>
    <n v="0.25"/>
    <s v="0"/>
    <x v="1"/>
    <x v="99"/>
    <x v="23"/>
    <x v="11"/>
    <s v="10"/>
    <x v="11"/>
    <x v="0"/>
    <s v="Unknown"/>
    <x v="0"/>
    <s v="NULL"/>
  </r>
  <r>
    <x v="108"/>
    <s v="Tel Aviv"/>
    <x v="8"/>
    <n v="500"/>
    <n v="0.67"/>
    <s v="0"/>
    <x v="4"/>
    <x v="100"/>
    <x v="26"/>
    <x v="2"/>
    <s v="01"/>
    <x v="2"/>
    <x v="0"/>
    <s v="Series B"/>
    <x v="16"/>
    <n v="45"/>
  </r>
  <r>
    <x v="109"/>
    <s v="New York City"/>
    <x v="3"/>
    <n v="60"/>
    <n v="0.1"/>
    <s v="0"/>
    <x v="0"/>
    <x v="101"/>
    <x v="5"/>
    <x v="0"/>
    <s v="07"/>
    <x v="3"/>
    <x v="2"/>
    <s v="Series D"/>
    <x v="0"/>
    <n v="181"/>
  </r>
  <r>
    <x v="110"/>
    <s v="Dubai"/>
    <x v="3"/>
    <s v="NULL"/>
    <n v="1"/>
    <s v="1"/>
    <x v="3"/>
    <x v="102"/>
    <x v="7"/>
    <x v="4"/>
    <s v="02"/>
    <x v="5"/>
    <x v="2"/>
    <s v="Series A"/>
    <x v="18"/>
    <n v="30"/>
  </r>
  <r>
    <x v="111"/>
    <s v="Toronto"/>
    <x v="12"/>
    <n v="5"/>
    <n v="0.25"/>
    <s v="0"/>
    <x v="1"/>
    <x v="103"/>
    <x v="30"/>
    <x v="1"/>
    <s v="11"/>
    <x v="1"/>
    <x v="2"/>
    <s v="Seed"/>
    <x v="0"/>
    <n v="3"/>
  </r>
  <r>
    <x v="112"/>
    <s v="SF Bay Area"/>
    <x v="3"/>
    <n v="250"/>
    <n v="0.5"/>
    <s v="0"/>
    <x v="1"/>
    <x v="104"/>
    <x v="16"/>
    <x v="6"/>
    <s v="03"/>
    <x v="7"/>
    <x v="2"/>
    <s v="Series C"/>
    <x v="0"/>
    <n v="88"/>
  </r>
  <r>
    <x v="113"/>
    <s v="London"/>
    <x v="0"/>
    <n v="100"/>
    <s v="NULL"/>
    <s v="0"/>
    <x v="2"/>
    <x v="38"/>
    <x v="22"/>
    <x v="7"/>
    <s v="12"/>
    <x v="0"/>
    <x v="0"/>
    <s v="Post-IPO"/>
    <x v="17"/>
    <n v="1100"/>
  </r>
  <r>
    <x v="114"/>
    <s v="Paris"/>
    <x v="3"/>
    <n v="93"/>
    <n v="0.13"/>
    <s v="0"/>
    <x v="1"/>
    <x v="105"/>
    <x v="27"/>
    <x v="7"/>
    <s v="12"/>
    <x v="0"/>
    <x v="0"/>
    <s v="Series E"/>
    <x v="19"/>
    <n v="1000"/>
  </r>
  <r>
    <x v="115"/>
    <s v="Atlanta"/>
    <x v="4"/>
    <s v="NULL"/>
    <n v="0.15"/>
    <s v="0"/>
    <x v="1"/>
    <x v="39"/>
    <x v="20"/>
    <x v="5"/>
    <s v="08"/>
    <x v="6"/>
    <x v="0"/>
    <s v="Post-IPO"/>
    <x v="0"/>
    <n v="932"/>
  </r>
  <r>
    <x v="116"/>
    <s v="Providence"/>
    <x v="25"/>
    <s v="NULL"/>
    <n v="0.15"/>
    <s v="0"/>
    <x v="1"/>
    <x v="12"/>
    <x v="11"/>
    <x v="2"/>
    <s v="01"/>
    <x v="2"/>
    <x v="1"/>
    <s v="Post-IPO"/>
    <x v="0"/>
    <n v="946"/>
  </r>
  <r>
    <x v="117"/>
    <s v="St. Louis"/>
    <x v="7"/>
    <n v="30"/>
    <s v="NULL"/>
    <s v="0"/>
    <x v="2"/>
    <x v="106"/>
    <x v="28"/>
    <x v="9"/>
    <s v="06"/>
    <x v="9"/>
    <x v="0"/>
    <s v="Series B"/>
    <x v="0"/>
    <n v="51"/>
  </r>
  <r>
    <x v="117"/>
    <s v="St. Louis"/>
    <x v="7"/>
    <n v="35"/>
    <s v="NULL"/>
    <s v="0"/>
    <x v="2"/>
    <x v="107"/>
    <x v="20"/>
    <x v="7"/>
    <s v="12"/>
    <x v="0"/>
    <x v="0"/>
    <s v="Series B"/>
    <x v="0"/>
    <n v="51"/>
  </r>
  <r>
    <x v="118"/>
    <s v="Louisville"/>
    <x v="0"/>
    <n v="52"/>
    <s v="NULL"/>
    <s v="0"/>
    <x v="2"/>
    <x v="108"/>
    <x v="22"/>
    <x v="2"/>
    <s v="01"/>
    <x v="2"/>
    <x v="0"/>
    <s v="Unknown"/>
    <x v="0"/>
    <s v="NULL"/>
  </r>
  <r>
    <x v="119"/>
    <s v="Melbourne"/>
    <x v="4"/>
    <n v="70"/>
    <n v="0.3"/>
    <s v="0"/>
    <x v="1"/>
    <x v="60"/>
    <x v="2"/>
    <x v="9"/>
    <s v="06"/>
    <x v="9"/>
    <x v="0"/>
    <s v="Post-IPO"/>
    <x v="4"/>
    <n v="13"/>
  </r>
  <r>
    <x v="120"/>
    <s v="Sydney"/>
    <x v="10"/>
    <s v="NULL"/>
    <n v="0.75"/>
    <s v="0"/>
    <x v="4"/>
    <x v="31"/>
    <x v="24"/>
    <x v="5"/>
    <s v="08"/>
    <x v="6"/>
    <x v="1"/>
    <s v="Unknown"/>
    <x v="4"/>
    <n v="63"/>
  </r>
  <r>
    <x v="121"/>
    <s v="New York City"/>
    <x v="3"/>
    <n v="126"/>
    <n v="0.12"/>
    <s v="0"/>
    <x v="1"/>
    <x v="109"/>
    <x v="24"/>
    <x v="8"/>
    <s v="09"/>
    <x v="8"/>
    <x v="1"/>
    <s v="Post-IPO"/>
    <x v="0"/>
    <s v="NULL"/>
  </r>
  <r>
    <x v="122"/>
    <s v="SF Bay Area"/>
    <x v="10"/>
    <n v="16"/>
    <n v="0.25"/>
    <s v="0"/>
    <x v="1"/>
    <x v="97"/>
    <x v="9"/>
    <x v="9"/>
    <s v="06"/>
    <x v="9"/>
    <x v="0"/>
    <s v="Series A"/>
    <x v="0"/>
    <n v="13"/>
  </r>
  <r>
    <x v="123"/>
    <s v="Columbus"/>
    <x v="0"/>
    <n v="31"/>
    <n v="0.08"/>
    <s v="0"/>
    <x v="0"/>
    <x v="31"/>
    <x v="24"/>
    <x v="5"/>
    <s v="08"/>
    <x v="6"/>
    <x v="1"/>
    <s v="Series E"/>
    <x v="0"/>
    <n v="168"/>
  </r>
  <r>
    <x v="124"/>
    <s v="London"/>
    <x v="22"/>
    <s v="NULL"/>
    <n v="0.12"/>
    <s v="0"/>
    <x v="1"/>
    <x v="110"/>
    <x v="29"/>
    <x v="11"/>
    <s v="10"/>
    <x v="11"/>
    <x v="1"/>
    <s v="Series D"/>
    <x v="0"/>
    <n v="223"/>
  </r>
  <r>
    <x v="125"/>
    <s v="Sao Paulo"/>
    <x v="12"/>
    <n v="30"/>
    <s v="NULL"/>
    <s v="0"/>
    <x v="2"/>
    <x v="89"/>
    <x v="5"/>
    <x v="11"/>
    <s v="10"/>
    <x v="11"/>
    <x v="2"/>
    <s v="Series B"/>
    <x v="3"/>
    <n v="14"/>
  </r>
  <r>
    <x v="126"/>
    <s v="Vancouver"/>
    <x v="12"/>
    <n v="47"/>
    <n v="0.1"/>
    <s v="0"/>
    <x v="0"/>
    <x v="111"/>
    <x v="2"/>
    <x v="6"/>
    <s v="03"/>
    <x v="7"/>
    <x v="2"/>
    <s v="Series B"/>
    <x v="2"/>
    <n v="49"/>
  </r>
  <r>
    <x v="127"/>
    <s v="Calgary"/>
    <x v="18"/>
    <n v="137"/>
    <n v="0.14000000000000001"/>
    <s v="0"/>
    <x v="1"/>
    <x v="12"/>
    <x v="11"/>
    <x v="2"/>
    <s v="01"/>
    <x v="2"/>
    <x v="1"/>
    <s v="Unknown"/>
    <x v="2"/>
    <n v="69"/>
  </r>
  <r>
    <x v="128"/>
    <s v="New York City"/>
    <x v="3"/>
    <s v="NULL"/>
    <n v="0.14000000000000001"/>
    <s v="0"/>
    <x v="1"/>
    <x v="112"/>
    <x v="23"/>
    <x v="3"/>
    <s v="04"/>
    <x v="4"/>
    <x v="0"/>
    <s v="Series A"/>
    <x v="0"/>
    <n v="380"/>
  </r>
  <r>
    <x v="129"/>
    <s v="SF Bay Area"/>
    <x v="0"/>
    <s v="NULL"/>
    <n v="0.12"/>
    <s v="0"/>
    <x v="1"/>
    <x v="17"/>
    <x v="4"/>
    <x v="8"/>
    <s v="09"/>
    <x v="8"/>
    <x v="0"/>
    <s v="Post-IPO"/>
    <x v="0"/>
    <n v="272"/>
  </r>
  <r>
    <x v="130"/>
    <s v="Berlin"/>
    <x v="3"/>
    <n v="100"/>
    <n v="0.1"/>
    <s v="0"/>
    <x v="0"/>
    <x v="48"/>
    <x v="6"/>
    <x v="11"/>
    <s v="10"/>
    <x v="11"/>
    <x v="0"/>
    <s v="Unknown"/>
    <x v="7"/>
    <n v="1000"/>
  </r>
  <r>
    <x v="131"/>
    <s v="Dallas"/>
    <x v="12"/>
    <n v="41"/>
    <n v="0.14000000000000001"/>
    <s v="0"/>
    <x v="1"/>
    <x v="113"/>
    <x v="18"/>
    <x v="9"/>
    <s v="06"/>
    <x v="9"/>
    <x v="0"/>
    <s v="Series C"/>
    <x v="0"/>
    <n v="137"/>
  </r>
  <r>
    <x v="132"/>
    <s v="New York City"/>
    <x v="20"/>
    <n v="900"/>
    <n v="0.09"/>
    <s v="0"/>
    <x v="0"/>
    <x v="114"/>
    <x v="20"/>
    <x v="2"/>
    <s v="01"/>
    <x v="2"/>
    <x v="3"/>
    <s v="Unknown"/>
    <x v="0"/>
    <n v="905"/>
  </r>
  <r>
    <x v="132"/>
    <s v="New York City"/>
    <x v="20"/>
    <n v="3000"/>
    <n v="0.33"/>
    <s v="0"/>
    <x v="1"/>
    <x v="25"/>
    <x v="19"/>
    <x v="5"/>
    <s v="08"/>
    <x v="6"/>
    <x v="0"/>
    <s v="Unknown"/>
    <x v="0"/>
    <n v="905"/>
  </r>
  <r>
    <x v="133"/>
    <s v="Santiago"/>
    <x v="0"/>
    <s v="NULL"/>
    <n v="0.3"/>
    <s v="0"/>
    <x v="1"/>
    <x v="12"/>
    <x v="11"/>
    <x v="2"/>
    <s v="01"/>
    <x v="2"/>
    <x v="1"/>
    <s v="Series C"/>
    <x v="20"/>
    <n v="204"/>
  </r>
  <r>
    <x v="133"/>
    <s v="Santiago"/>
    <x v="0"/>
    <n v="30"/>
    <s v="NULL"/>
    <s v="0"/>
    <x v="2"/>
    <x v="115"/>
    <x v="4"/>
    <x v="1"/>
    <s v="11"/>
    <x v="1"/>
    <x v="0"/>
    <s v="Series C"/>
    <x v="20"/>
    <n v="204"/>
  </r>
  <r>
    <x v="134"/>
    <s v="New York City"/>
    <x v="12"/>
    <n v="28"/>
    <s v="NULL"/>
    <s v="0"/>
    <x v="2"/>
    <x v="116"/>
    <x v="15"/>
    <x v="4"/>
    <s v="02"/>
    <x v="5"/>
    <x v="1"/>
    <s v="Series F"/>
    <x v="0"/>
    <n v="435"/>
  </r>
  <r>
    <x v="135"/>
    <s v="Boston"/>
    <x v="8"/>
    <n v="30"/>
    <n v="0.2"/>
    <s v="0"/>
    <x v="1"/>
    <x v="111"/>
    <x v="2"/>
    <x v="6"/>
    <s v="03"/>
    <x v="7"/>
    <x v="2"/>
    <s v="Series C"/>
    <x v="0"/>
    <n v="60"/>
  </r>
  <r>
    <x v="136"/>
    <s v="Los Angeles"/>
    <x v="8"/>
    <n v="40"/>
    <s v="NULL"/>
    <s v="0"/>
    <x v="2"/>
    <x v="117"/>
    <x v="4"/>
    <x v="6"/>
    <s v="03"/>
    <x v="7"/>
    <x v="0"/>
    <s v="Post-IPO"/>
    <x v="0"/>
    <n v="122"/>
  </r>
  <r>
    <x v="136"/>
    <s v="Los Angeles"/>
    <x v="8"/>
    <n v="200"/>
    <n v="0.19"/>
    <s v="0"/>
    <x v="1"/>
    <x v="118"/>
    <x v="25"/>
    <x v="11"/>
    <s v="10"/>
    <x v="11"/>
    <x v="0"/>
    <s v="Post-IPO"/>
    <x v="0"/>
    <n v="122"/>
  </r>
  <r>
    <x v="137"/>
    <s v="Tel Aviv"/>
    <x v="13"/>
    <n v="65"/>
    <n v="1"/>
    <s v="1"/>
    <x v="3"/>
    <x v="41"/>
    <x v="27"/>
    <x v="10"/>
    <s v="05"/>
    <x v="10"/>
    <x v="0"/>
    <s v="Series A"/>
    <x v="16"/>
    <n v="16"/>
  </r>
  <r>
    <x v="138"/>
    <s v="Mumbai"/>
    <x v="8"/>
    <n v="40"/>
    <n v="0.43"/>
    <s v="0"/>
    <x v="1"/>
    <x v="119"/>
    <x v="15"/>
    <x v="2"/>
    <s v="01"/>
    <x v="2"/>
    <x v="1"/>
    <s v="Series A"/>
    <x v="6"/>
    <n v="21"/>
  </r>
  <r>
    <x v="139"/>
    <s v="Seattle"/>
    <x v="11"/>
    <n v="250"/>
    <s v="NULL"/>
    <s v="0"/>
    <x v="2"/>
    <x v="120"/>
    <x v="7"/>
    <x v="2"/>
    <s v="01"/>
    <x v="2"/>
    <x v="2"/>
    <s v="Acquired"/>
    <x v="0"/>
    <n v="95"/>
  </r>
  <r>
    <x v="140"/>
    <s v="Baltimore"/>
    <x v="13"/>
    <s v="NULL"/>
    <n v="7.0000000000000007E-2"/>
    <s v="0"/>
    <x v="0"/>
    <x v="121"/>
    <x v="7"/>
    <x v="5"/>
    <s v="08"/>
    <x v="6"/>
    <x v="0"/>
    <s v="Post-IPO"/>
    <x v="0"/>
    <n v="200"/>
  </r>
  <r>
    <x v="141"/>
    <s v="Austin"/>
    <x v="3"/>
    <n v="180"/>
    <n v="0.13"/>
    <s v="0"/>
    <x v="1"/>
    <x v="69"/>
    <x v="15"/>
    <x v="7"/>
    <s v="12"/>
    <x v="0"/>
    <x v="0"/>
    <s v="Post-IPO"/>
    <x v="0"/>
    <n v="224"/>
  </r>
  <r>
    <x v="142"/>
    <s v="Shanghai"/>
    <x v="11"/>
    <s v="NULL"/>
    <n v="0.3"/>
    <s v="0"/>
    <x v="1"/>
    <x v="122"/>
    <x v="2"/>
    <x v="7"/>
    <s v="12"/>
    <x v="0"/>
    <x v="0"/>
    <s v="Post-IPO"/>
    <x v="21"/>
    <n v="3700"/>
  </r>
  <r>
    <x v="143"/>
    <s v="SF Bay Area"/>
    <x v="0"/>
    <n v="120"/>
    <n v="0.04"/>
    <s v="0"/>
    <x v="0"/>
    <x v="123"/>
    <x v="10"/>
    <x v="0"/>
    <s v="07"/>
    <x v="3"/>
    <x v="0"/>
    <s v="Post-IPO"/>
    <x v="0"/>
    <n v="585"/>
  </r>
  <r>
    <x v="144"/>
    <s v="Los Angeles"/>
    <x v="10"/>
    <n v="138"/>
    <n v="0.23"/>
    <s v="0"/>
    <x v="1"/>
    <x v="124"/>
    <x v="6"/>
    <x v="0"/>
    <s v="07"/>
    <x v="3"/>
    <x v="0"/>
    <s v="Post-IPO"/>
    <x v="0"/>
    <n v="783"/>
  </r>
  <r>
    <x v="144"/>
    <s v="Los Angeles"/>
    <x v="10"/>
    <n v="406"/>
    <n v="0.3"/>
    <s v="0"/>
    <x v="1"/>
    <x v="111"/>
    <x v="2"/>
    <x v="6"/>
    <s v="03"/>
    <x v="7"/>
    <x v="2"/>
    <s v="Series D"/>
    <x v="0"/>
    <n v="623"/>
  </r>
  <r>
    <x v="145"/>
    <s v="SF Bay Area"/>
    <x v="4"/>
    <s v="NULL"/>
    <n v="1"/>
    <s v="1"/>
    <x v="3"/>
    <x v="125"/>
    <x v="9"/>
    <x v="1"/>
    <s v="11"/>
    <x v="1"/>
    <x v="0"/>
    <s v="Unknown"/>
    <x v="0"/>
    <s v="NULL"/>
  </r>
  <r>
    <x v="146"/>
    <s v="SF Bay Area"/>
    <x v="4"/>
    <s v="NULL"/>
    <n v="0.12"/>
    <s v="0"/>
    <x v="1"/>
    <x v="126"/>
    <x v="1"/>
    <x v="3"/>
    <s v="04"/>
    <x v="4"/>
    <x v="2"/>
    <s v="Series B"/>
    <x v="0"/>
    <n v="69"/>
  </r>
  <r>
    <x v="147"/>
    <s v="Non-U.S."/>
    <x v="4"/>
    <s v="NULL"/>
    <n v="0.3"/>
    <s v="0"/>
    <x v="1"/>
    <x v="127"/>
    <x v="23"/>
    <x v="4"/>
    <s v="02"/>
    <x v="5"/>
    <x v="0"/>
    <s v="Seed"/>
    <x v="22"/>
    <n v="0"/>
  </r>
  <r>
    <x v="147"/>
    <s v="Non-U.S."/>
    <x v="4"/>
    <n v="75"/>
    <n v="0.25"/>
    <s v="0"/>
    <x v="1"/>
    <x v="128"/>
    <x v="5"/>
    <x v="3"/>
    <s v="04"/>
    <x v="4"/>
    <x v="0"/>
    <s v="Seed"/>
    <x v="22"/>
    <n v="0"/>
  </r>
  <r>
    <x v="148"/>
    <s v="Dubai"/>
    <x v="4"/>
    <n v="9"/>
    <n v="0.05"/>
    <s v="0"/>
    <x v="0"/>
    <x v="129"/>
    <x v="30"/>
    <x v="9"/>
    <s v="06"/>
    <x v="9"/>
    <x v="0"/>
    <s v="Series B"/>
    <x v="18"/>
    <n v="30"/>
  </r>
  <r>
    <x v="149"/>
    <s v="Vienna"/>
    <x v="4"/>
    <n v="270"/>
    <n v="0.27"/>
    <s v="0"/>
    <x v="1"/>
    <x v="113"/>
    <x v="18"/>
    <x v="9"/>
    <s v="06"/>
    <x v="9"/>
    <x v="0"/>
    <s v="Series C"/>
    <x v="23"/>
    <n v="546"/>
  </r>
  <r>
    <x v="150"/>
    <s v="Budapest"/>
    <x v="17"/>
    <s v="NULL"/>
    <n v="0.14000000000000001"/>
    <s v="0"/>
    <x v="1"/>
    <x v="130"/>
    <x v="25"/>
    <x v="8"/>
    <s v="09"/>
    <x v="8"/>
    <x v="0"/>
    <s v="Series C"/>
    <x v="24"/>
    <n v="83"/>
  </r>
  <r>
    <x v="151"/>
    <s v="Tel Aviv"/>
    <x v="21"/>
    <n v="40"/>
    <s v="NULL"/>
    <s v="0"/>
    <x v="2"/>
    <x v="131"/>
    <x v="16"/>
    <x v="4"/>
    <s v="02"/>
    <x v="5"/>
    <x v="1"/>
    <s v="Unknown"/>
    <x v="16"/>
    <n v="401"/>
  </r>
  <r>
    <x v="152"/>
    <s v="Mexico City"/>
    <x v="4"/>
    <n v="80"/>
    <n v="0.11"/>
    <s v="0"/>
    <x v="1"/>
    <x v="132"/>
    <x v="16"/>
    <x v="10"/>
    <s v="05"/>
    <x v="10"/>
    <x v="0"/>
    <s v="Series C"/>
    <x v="25"/>
    <n v="378"/>
  </r>
  <r>
    <x v="152"/>
    <s v="Mexico City"/>
    <x v="4"/>
    <n v="100"/>
    <s v="NULL"/>
    <s v="0"/>
    <x v="2"/>
    <x v="125"/>
    <x v="9"/>
    <x v="1"/>
    <s v="11"/>
    <x v="1"/>
    <x v="0"/>
    <s v="Series C"/>
    <x v="25"/>
    <n v="378"/>
  </r>
  <r>
    <x v="153"/>
    <s v="Seattle"/>
    <x v="13"/>
    <n v="70"/>
    <n v="0.27"/>
    <s v="0"/>
    <x v="1"/>
    <x v="133"/>
    <x v="11"/>
    <x v="1"/>
    <s v="11"/>
    <x v="1"/>
    <x v="3"/>
    <s v="Acquired"/>
    <x v="0"/>
    <n v="46"/>
  </r>
  <r>
    <x v="154"/>
    <s v="SF Bay Area"/>
    <x v="17"/>
    <n v="92"/>
    <s v="NULL"/>
    <s v="0"/>
    <x v="2"/>
    <x v="134"/>
    <x v="13"/>
    <x v="2"/>
    <s v="01"/>
    <x v="2"/>
    <x v="1"/>
    <s v="Acquired"/>
    <x v="0"/>
    <s v="NULL"/>
  </r>
  <r>
    <x v="155"/>
    <s v="Seattle"/>
    <x v="4"/>
    <n v="80"/>
    <s v="NULL"/>
    <s v="0"/>
    <x v="2"/>
    <x v="82"/>
    <x v="24"/>
    <x v="4"/>
    <s v="02"/>
    <x v="5"/>
    <x v="1"/>
    <s v="Unknown"/>
    <x v="0"/>
    <s v="NULL"/>
  </r>
  <r>
    <x v="156"/>
    <s v="Mumbai"/>
    <x v="15"/>
    <n v="140"/>
    <s v="NULL"/>
    <s v="0"/>
    <x v="2"/>
    <x v="135"/>
    <x v="22"/>
    <x v="11"/>
    <s v="10"/>
    <x v="11"/>
    <x v="2"/>
    <s v="Series C"/>
    <x v="6"/>
    <n v="70"/>
  </r>
  <r>
    <x v="157"/>
    <s v="Sydney"/>
    <x v="12"/>
    <s v="NULL"/>
    <n v="0.3"/>
    <s v="0"/>
    <x v="1"/>
    <x v="136"/>
    <x v="26"/>
    <x v="3"/>
    <s v="04"/>
    <x v="4"/>
    <x v="0"/>
    <s v="Unknown"/>
    <x v="4"/>
    <n v="45"/>
  </r>
  <r>
    <x v="158"/>
    <s v="New York City"/>
    <x v="1"/>
    <n v="100"/>
    <n v="0.37"/>
    <s v="0"/>
    <x v="1"/>
    <x v="137"/>
    <x v="20"/>
    <x v="2"/>
    <s v="01"/>
    <x v="2"/>
    <x v="0"/>
    <s v="Series E"/>
    <x v="0"/>
    <n v="194"/>
  </r>
  <r>
    <x v="158"/>
    <s v="New York City"/>
    <x v="1"/>
    <n v="120"/>
    <n v="0.3"/>
    <s v="0"/>
    <x v="1"/>
    <x v="138"/>
    <x v="22"/>
    <x v="10"/>
    <s v="05"/>
    <x v="10"/>
    <x v="0"/>
    <s v="Series E"/>
    <x v="0"/>
    <n v="194"/>
  </r>
  <r>
    <x v="159"/>
    <s v="Shenzen"/>
    <x v="26"/>
    <n v="900"/>
    <s v="NULL"/>
    <s v="0"/>
    <x v="2"/>
    <x v="76"/>
    <x v="3"/>
    <x v="2"/>
    <s v="01"/>
    <x v="2"/>
    <x v="1"/>
    <s v="Unknown"/>
    <x v="21"/>
    <s v="NULL"/>
  </r>
  <r>
    <x v="160"/>
    <s v="Charleston"/>
    <x v="18"/>
    <n v="500"/>
    <n v="0.14000000000000001"/>
    <s v="0"/>
    <x v="1"/>
    <x v="139"/>
    <x v="31"/>
    <x v="2"/>
    <s v="01"/>
    <x v="12"/>
    <x v="4"/>
    <s v="Post-IPO"/>
    <x v="0"/>
    <n v="272"/>
  </r>
  <r>
    <x v="161"/>
    <s v="Bengaluru"/>
    <x v="15"/>
    <n v="200"/>
    <s v="NULL"/>
    <s v="0"/>
    <x v="2"/>
    <x v="126"/>
    <x v="1"/>
    <x v="3"/>
    <s v="04"/>
    <x v="4"/>
    <x v="2"/>
    <s v="Series D"/>
    <x v="6"/>
    <n v="293"/>
  </r>
  <r>
    <x v="162"/>
    <s v="Los Angeles"/>
    <x v="12"/>
    <n v="95"/>
    <n v="0.05"/>
    <s v="0"/>
    <x v="0"/>
    <x v="39"/>
    <x v="20"/>
    <x v="5"/>
    <s v="08"/>
    <x v="6"/>
    <x v="0"/>
    <s v="Private Equity"/>
    <x v="0"/>
    <n v="220"/>
  </r>
  <r>
    <x v="163"/>
    <s v="London"/>
    <x v="11"/>
    <n v="20"/>
    <s v="NULL"/>
    <s v="0"/>
    <x v="2"/>
    <x v="140"/>
    <x v="7"/>
    <x v="1"/>
    <s v="11"/>
    <x v="1"/>
    <x v="2"/>
    <s v="Acquired"/>
    <x v="17"/>
    <n v="41"/>
  </r>
  <r>
    <x v="164"/>
    <s v="SF Bay Area"/>
    <x v="12"/>
    <n v="100"/>
    <n v="0.06"/>
    <s v="0"/>
    <x v="0"/>
    <x v="99"/>
    <x v="23"/>
    <x v="11"/>
    <s v="10"/>
    <x v="11"/>
    <x v="0"/>
    <s v="Post-IPO"/>
    <x v="0"/>
    <n v="665"/>
  </r>
  <r>
    <x v="164"/>
    <s v="SF Bay Area"/>
    <x v="12"/>
    <n v="200"/>
    <n v="0.1"/>
    <s v="0"/>
    <x v="0"/>
    <x v="141"/>
    <x v="30"/>
    <x v="3"/>
    <s v="04"/>
    <x v="4"/>
    <x v="0"/>
    <s v="Post-IPO"/>
    <x v="0"/>
    <n v="665"/>
  </r>
  <r>
    <x v="164"/>
    <s v="SF Bay Area"/>
    <x v="12"/>
    <n v="220"/>
    <n v="0.12"/>
    <s v="0"/>
    <x v="1"/>
    <x v="142"/>
    <x v="15"/>
    <x v="5"/>
    <s v="08"/>
    <x v="6"/>
    <x v="0"/>
    <s v="Post-IPO"/>
    <x v="0"/>
    <n v="665"/>
  </r>
  <r>
    <x v="164"/>
    <s v="SF Bay Area"/>
    <x v="12"/>
    <n v="340"/>
    <n v="0.28000000000000003"/>
    <s v="0"/>
    <x v="1"/>
    <x v="110"/>
    <x v="29"/>
    <x v="11"/>
    <s v="10"/>
    <x v="11"/>
    <x v="1"/>
    <s v="Post-IPO"/>
    <x v="0"/>
    <n v="665"/>
  </r>
  <r>
    <x v="165"/>
    <s v="London"/>
    <x v="4"/>
    <n v="110"/>
    <n v="0.28000000000000003"/>
    <s v="0"/>
    <x v="1"/>
    <x v="45"/>
    <x v="29"/>
    <x v="7"/>
    <s v="12"/>
    <x v="0"/>
    <x v="1"/>
    <s v="Series D"/>
    <x v="17"/>
    <n v="490"/>
  </r>
  <r>
    <x v="165"/>
    <s v="London"/>
    <x v="4"/>
    <n v="150"/>
    <n v="0.25"/>
    <s v="0"/>
    <x v="1"/>
    <x v="14"/>
    <x v="12"/>
    <x v="0"/>
    <s v="07"/>
    <x v="3"/>
    <x v="0"/>
    <s v="Series D"/>
    <x v="17"/>
    <n v="490"/>
  </r>
  <r>
    <x v="166"/>
    <s v="New York City"/>
    <x v="4"/>
    <s v="NULL"/>
    <n v="1"/>
    <s v="1"/>
    <x v="3"/>
    <x v="44"/>
    <x v="8"/>
    <x v="1"/>
    <s v="11"/>
    <x v="1"/>
    <x v="0"/>
    <s v="Series E"/>
    <x v="0"/>
    <n v="1000"/>
  </r>
  <r>
    <x v="166"/>
    <s v="New York City"/>
    <x v="4"/>
    <n v="250"/>
    <n v="0.2"/>
    <s v="0"/>
    <x v="1"/>
    <x v="143"/>
    <x v="3"/>
    <x v="9"/>
    <s v="06"/>
    <x v="9"/>
    <x v="0"/>
    <s v="Series E"/>
    <x v="0"/>
    <n v="1000"/>
  </r>
  <r>
    <x v="167"/>
    <s v="SF Bay Area"/>
    <x v="5"/>
    <n v="88"/>
    <n v="0.5"/>
    <s v="0"/>
    <x v="1"/>
    <x v="137"/>
    <x v="20"/>
    <x v="2"/>
    <s v="01"/>
    <x v="2"/>
    <x v="0"/>
    <s v="Unknown"/>
    <x v="0"/>
    <s v="NULL"/>
  </r>
  <r>
    <x v="168"/>
    <s v="New York City"/>
    <x v="8"/>
    <s v="NULL"/>
    <n v="0.1"/>
    <s v="0"/>
    <x v="0"/>
    <x v="39"/>
    <x v="20"/>
    <x v="5"/>
    <s v="08"/>
    <x v="6"/>
    <x v="0"/>
    <s v="Post-IPO"/>
    <x v="0"/>
    <n v="352"/>
  </r>
  <r>
    <x v="169"/>
    <s v="New York City"/>
    <x v="20"/>
    <n v="130"/>
    <n v="0.25"/>
    <s v="0"/>
    <x v="1"/>
    <x v="111"/>
    <x v="2"/>
    <x v="6"/>
    <s v="03"/>
    <x v="7"/>
    <x v="2"/>
    <s v="Series B"/>
    <x v="0"/>
    <n v="77"/>
  </r>
  <r>
    <x v="170"/>
    <s v="SF Bay Area"/>
    <x v="18"/>
    <n v="60"/>
    <s v="NULL"/>
    <s v="0"/>
    <x v="2"/>
    <x v="75"/>
    <x v="13"/>
    <x v="0"/>
    <s v="07"/>
    <x v="3"/>
    <x v="0"/>
    <s v="Series C"/>
    <x v="0"/>
    <n v="48"/>
  </r>
  <r>
    <x v="171"/>
    <s v="SF Bay Area"/>
    <x v="15"/>
    <n v="30"/>
    <n v="0.1"/>
    <s v="0"/>
    <x v="0"/>
    <x v="144"/>
    <x v="14"/>
    <x v="6"/>
    <s v="03"/>
    <x v="7"/>
    <x v="2"/>
    <s v="Unknown"/>
    <x v="0"/>
    <s v="NULL"/>
  </r>
  <r>
    <x v="172"/>
    <s v="Denver"/>
    <x v="5"/>
    <n v="137"/>
    <n v="1"/>
    <s v="1"/>
    <x v="3"/>
    <x v="20"/>
    <x v="16"/>
    <x v="10"/>
    <s v="05"/>
    <x v="10"/>
    <x v="2"/>
    <s v="Acquired"/>
    <x v="0"/>
    <n v="108"/>
  </r>
  <r>
    <x v="173"/>
    <s v="Philadelphia"/>
    <x v="12"/>
    <s v="NULL"/>
    <n v="0.25"/>
    <s v="0"/>
    <x v="1"/>
    <x v="81"/>
    <x v="14"/>
    <x v="2"/>
    <s v="01"/>
    <x v="2"/>
    <x v="1"/>
    <s v="Post-IPO"/>
    <x v="0"/>
    <s v="NULL"/>
  </r>
  <r>
    <x v="174"/>
    <s v="Lagos"/>
    <x v="10"/>
    <n v="17"/>
    <s v="NULL"/>
    <s v="0"/>
    <x v="2"/>
    <x v="145"/>
    <x v="12"/>
    <x v="4"/>
    <s v="02"/>
    <x v="5"/>
    <x v="1"/>
    <s v="Series F"/>
    <x v="13"/>
    <s v="NULL"/>
  </r>
  <r>
    <x v="174"/>
    <s v="SF Bay Area"/>
    <x v="12"/>
    <n v="50"/>
    <n v="0.1"/>
    <s v="0"/>
    <x v="0"/>
    <x v="146"/>
    <x v="18"/>
    <x v="2"/>
    <s v="01"/>
    <x v="2"/>
    <x v="1"/>
    <s v="Series E"/>
    <x v="0"/>
    <n v="1300"/>
  </r>
  <r>
    <x v="174"/>
    <s v="SF Bay Area"/>
    <x v="12"/>
    <n v="240"/>
    <n v="0.27"/>
    <s v="0"/>
    <x v="1"/>
    <x v="37"/>
    <x v="0"/>
    <x v="10"/>
    <s v="05"/>
    <x v="10"/>
    <x v="0"/>
    <s v="Series E"/>
    <x v="0"/>
    <n v="1300"/>
  </r>
  <r>
    <x v="175"/>
    <s v="Toronto"/>
    <x v="3"/>
    <n v="29"/>
    <n v="0.34"/>
    <s v="0"/>
    <x v="1"/>
    <x v="147"/>
    <x v="16"/>
    <x v="3"/>
    <s v="04"/>
    <x v="4"/>
    <x v="0"/>
    <s v="Series A"/>
    <x v="2"/>
    <n v="27"/>
  </r>
  <r>
    <x v="175"/>
    <s v="Toronto"/>
    <x v="3"/>
    <n v="30"/>
    <n v="0.55000000000000004"/>
    <s v="0"/>
    <x v="4"/>
    <x v="73"/>
    <x v="13"/>
    <x v="9"/>
    <s v="06"/>
    <x v="9"/>
    <x v="0"/>
    <s v="Series A"/>
    <x v="2"/>
    <n v="27"/>
  </r>
  <r>
    <x v="176"/>
    <s v="Austin"/>
    <x v="18"/>
    <n v="140"/>
    <n v="0.1"/>
    <s v="0"/>
    <x v="0"/>
    <x v="76"/>
    <x v="3"/>
    <x v="2"/>
    <s v="01"/>
    <x v="2"/>
    <x v="1"/>
    <s v="Unknown"/>
    <x v="0"/>
    <s v="NULL"/>
  </r>
  <r>
    <x v="177"/>
    <s v="Salt Lake City"/>
    <x v="5"/>
    <n v="12"/>
    <n v="0.25"/>
    <s v="0"/>
    <x v="1"/>
    <x v="148"/>
    <x v="21"/>
    <x v="10"/>
    <s v="05"/>
    <x v="10"/>
    <x v="0"/>
    <s v="Series A"/>
    <x v="0"/>
    <n v="26"/>
  </r>
  <r>
    <x v="178"/>
    <s v="Amsterdam"/>
    <x v="14"/>
    <n v="4375"/>
    <n v="0.25"/>
    <s v="0"/>
    <x v="1"/>
    <x v="149"/>
    <x v="14"/>
    <x v="0"/>
    <s v="07"/>
    <x v="3"/>
    <x v="2"/>
    <s v="Acquired"/>
    <x v="26"/>
    <s v="NULL"/>
  </r>
  <r>
    <x v="178"/>
    <s v="Grand Rapids"/>
    <x v="14"/>
    <n v="226"/>
    <s v="NULL"/>
    <s v="0"/>
    <x v="2"/>
    <x v="79"/>
    <x v="23"/>
    <x v="2"/>
    <s v="01"/>
    <x v="2"/>
    <x v="0"/>
    <s v="Acquired"/>
    <x v="0"/>
    <s v="NULL"/>
  </r>
  <r>
    <x v="179"/>
    <s v="Mumbai"/>
    <x v="2"/>
    <n v="270"/>
    <n v="0.18"/>
    <s v="0"/>
    <x v="1"/>
    <x v="150"/>
    <x v="8"/>
    <x v="10"/>
    <s v="05"/>
    <x v="10"/>
    <x v="2"/>
    <s v="Unknown"/>
    <x v="6"/>
    <n v="224"/>
  </r>
  <r>
    <x v="180"/>
    <s v="SF Bay Area"/>
    <x v="2"/>
    <n v="200"/>
    <s v="NULL"/>
    <s v="0"/>
    <x v="2"/>
    <x v="19"/>
    <x v="5"/>
    <x v="2"/>
    <s v="01"/>
    <x v="2"/>
    <x v="2"/>
    <s v="Series B"/>
    <x v="0"/>
    <n v="48"/>
  </r>
  <r>
    <x v="181"/>
    <s v="Sydney"/>
    <x v="3"/>
    <n v="30"/>
    <s v="NULL"/>
    <s v="0"/>
    <x v="2"/>
    <x v="151"/>
    <x v="27"/>
    <x v="2"/>
    <s v="01"/>
    <x v="2"/>
    <x v="1"/>
    <s v="Series A"/>
    <x v="4"/>
    <n v="23"/>
  </r>
  <r>
    <x v="182"/>
    <s v="Los Angeles"/>
    <x v="3"/>
    <s v="NULL"/>
    <n v="0.05"/>
    <s v="0"/>
    <x v="0"/>
    <x v="152"/>
    <x v="28"/>
    <x v="0"/>
    <s v="07"/>
    <x v="3"/>
    <x v="0"/>
    <s v="Series B"/>
    <x v="0"/>
    <n v="137"/>
  </r>
  <r>
    <x v="183"/>
    <s v="Malmo"/>
    <x v="3"/>
    <n v="70"/>
    <n v="0.05"/>
    <s v="0"/>
    <x v="0"/>
    <x v="153"/>
    <x v="6"/>
    <x v="8"/>
    <s v="09"/>
    <x v="8"/>
    <x v="0"/>
    <s v="Post-IPO"/>
    <x v="5"/>
    <n v="56"/>
  </r>
  <r>
    <x v="184"/>
    <s v="Toronto"/>
    <x v="12"/>
    <n v="15"/>
    <n v="0.2"/>
    <s v="0"/>
    <x v="1"/>
    <x v="154"/>
    <x v="5"/>
    <x v="9"/>
    <s v="06"/>
    <x v="9"/>
    <x v="2"/>
    <s v="Series B"/>
    <x v="2"/>
    <n v="72"/>
  </r>
  <r>
    <x v="185"/>
    <s v="SF Bay Area"/>
    <x v="3"/>
    <s v="NULL"/>
    <n v="0.5"/>
    <s v="0"/>
    <x v="1"/>
    <x v="155"/>
    <x v="23"/>
    <x v="4"/>
    <s v="02"/>
    <x v="5"/>
    <x v="2"/>
    <s v="Unknown"/>
    <x v="0"/>
    <n v="102"/>
  </r>
  <r>
    <x v="185"/>
    <s v="SF Bay Area"/>
    <x v="3"/>
    <n v="61"/>
    <s v="NULL"/>
    <s v="0"/>
    <x v="2"/>
    <x v="77"/>
    <x v="9"/>
    <x v="9"/>
    <s v="06"/>
    <x v="9"/>
    <x v="2"/>
    <s v="Unknown"/>
    <x v="0"/>
    <n v="102"/>
  </r>
  <r>
    <x v="186"/>
    <s v="Bengaluru"/>
    <x v="10"/>
    <n v="40"/>
    <n v="0.05"/>
    <s v="0"/>
    <x v="0"/>
    <x v="156"/>
    <x v="29"/>
    <x v="9"/>
    <s v="06"/>
    <x v="9"/>
    <x v="1"/>
    <s v="Series D"/>
    <x v="6"/>
    <n v="214"/>
  </r>
  <r>
    <x v="186"/>
    <s v="Bengaluru"/>
    <x v="10"/>
    <n v="120"/>
    <s v="NULL"/>
    <s v="0"/>
    <x v="2"/>
    <x v="157"/>
    <x v="30"/>
    <x v="6"/>
    <s v="03"/>
    <x v="7"/>
    <x v="2"/>
    <s v="Series D"/>
    <x v="6"/>
    <n v="214"/>
  </r>
  <r>
    <x v="186"/>
    <s v="Bengaluru"/>
    <x v="10"/>
    <n v="130"/>
    <n v="0.22"/>
    <s v="0"/>
    <x v="1"/>
    <x v="77"/>
    <x v="9"/>
    <x v="9"/>
    <s v="06"/>
    <x v="9"/>
    <x v="2"/>
    <s v="Series D"/>
    <x v="6"/>
    <n v="214"/>
  </r>
  <r>
    <x v="186"/>
    <s v="Bengaluru"/>
    <x v="10"/>
    <n v="200"/>
    <n v="0.4"/>
    <s v="0"/>
    <x v="1"/>
    <x v="158"/>
    <x v="28"/>
    <x v="4"/>
    <s v="02"/>
    <x v="5"/>
    <x v="3"/>
    <s v="Series D"/>
    <x v="6"/>
    <n v="214"/>
  </r>
  <r>
    <x v="187"/>
    <s v="New York City"/>
    <x v="1"/>
    <n v="77"/>
    <n v="0.2"/>
    <s v="0"/>
    <x v="1"/>
    <x v="154"/>
    <x v="5"/>
    <x v="9"/>
    <s v="06"/>
    <x v="9"/>
    <x v="2"/>
    <s v="Series B"/>
    <x v="0"/>
    <n v="75"/>
  </r>
  <r>
    <x v="188"/>
    <s v="Krakow"/>
    <x v="5"/>
    <n v="25"/>
    <s v="NULL"/>
    <s v="0"/>
    <x v="2"/>
    <x v="159"/>
    <x v="23"/>
    <x v="9"/>
    <s v="06"/>
    <x v="9"/>
    <x v="0"/>
    <s v="Series D"/>
    <x v="27"/>
    <n v="148"/>
  </r>
  <r>
    <x v="189"/>
    <s v="New York City"/>
    <x v="3"/>
    <n v="3"/>
    <n v="0.27"/>
    <s v="0"/>
    <x v="1"/>
    <x v="160"/>
    <x v="6"/>
    <x v="1"/>
    <s v="11"/>
    <x v="1"/>
    <x v="2"/>
    <s v="Seed"/>
    <x v="0"/>
    <n v="2"/>
  </r>
  <r>
    <x v="190"/>
    <s v="SF Bay Area"/>
    <x v="1"/>
    <n v="100"/>
    <n v="0.2"/>
    <s v="0"/>
    <x v="1"/>
    <x v="101"/>
    <x v="5"/>
    <x v="0"/>
    <s v="07"/>
    <x v="3"/>
    <x v="2"/>
    <s v="Series E"/>
    <x v="0"/>
    <n v="367"/>
  </r>
  <r>
    <x v="191"/>
    <s v="Portland"/>
    <x v="0"/>
    <n v="40"/>
    <n v="0.33"/>
    <s v="0"/>
    <x v="1"/>
    <x v="161"/>
    <x v="7"/>
    <x v="9"/>
    <s v="06"/>
    <x v="9"/>
    <x v="0"/>
    <s v="Series B"/>
    <x v="0"/>
    <n v="42"/>
  </r>
  <r>
    <x v="192"/>
    <s v="New Delhi"/>
    <x v="0"/>
    <n v="50"/>
    <n v="0.33"/>
    <s v="0"/>
    <x v="1"/>
    <x v="162"/>
    <x v="25"/>
    <x v="9"/>
    <s v="06"/>
    <x v="9"/>
    <x v="0"/>
    <s v="Series A"/>
    <x v="6"/>
    <n v="6"/>
  </r>
  <r>
    <x v="193"/>
    <s v="Montreal"/>
    <x v="20"/>
    <n v="120"/>
    <n v="0.8"/>
    <s v="0"/>
    <x v="3"/>
    <x v="21"/>
    <x v="17"/>
    <x v="7"/>
    <s v="12"/>
    <x v="0"/>
    <x v="2"/>
    <s v="Series D"/>
    <x v="2"/>
    <n v="131"/>
  </r>
  <r>
    <x v="194"/>
    <s v="SF Bay Area"/>
    <x v="12"/>
    <n v="62"/>
    <n v="0.15"/>
    <s v="0"/>
    <x v="1"/>
    <x v="163"/>
    <x v="9"/>
    <x v="10"/>
    <s v="05"/>
    <x v="10"/>
    <x v="2"/>
    <s v="Series C"/>
    <x v="0"/>
    <n v="732"/>
  </r>
  <r>
    <x v="194"/>
    <s v="SF Bay Area"/>
    <x v="12"/>
    <n v="136"/>
    <n v="0.11"/>
    <s v="0"/>
    <x v="1"/>
    <x v="164"/>
    <x v="10"/>
    <x v="1"/>
    <s v="11"/>
    <x v="1"/>
    <x v="0"/>
    <s v="Series D"/>
    <x v="0"/>
    <n v="1500"/>
  </r>
  <r>
    <x v="195"/>
    <s v="Nashville"/>
    <x v="0"/>
    <n v="154"/>
    <n v="1"/>
    <s v="1"/>
    <x v="3"/>
    <x v="165"/>
    <x v="1"/>
    <x v="1"/>
    <s v="11"/>
    <x v="1"/>
    <x v="2"/>
    <s v="Series B"/>
    <x v="0"/>
    <n v="45"/>
  </r>
  <r>
    <x v="196"/>
    <s v="Waterloo"/>
    <x v="27"/>
    <n v="13"/>
    <n v="0.13"/>
    <s v="0"/>
    <x v="1"/>
    <x v="26"/>
    <x v="20"/>
    <x v="9"/>
    <s v="06"/>
    <x v="9"/>
    <x v="0"/>
    <s v="Series B"/>
    <x v="2"/>
    <n v="36"/>
  </r>
  <r>
    <x v="197"/>
    <s v="SF Bay Area"/>
    <x v="13"/>
    <n v="30"/>
    <n v="0.08"/>
    <s v="0"/>
    <x v="0"/>
    <x v="166"/>
    <x v="8"/>
    <x v="9"/>
    <s v="06"/>
    <x v="9"/>
    <x v="0"/>
    <s v="Unknown"/>
    <x v="16"/>
    <n v="250"/>
  </r>
  <r>
    <x v="198"/>
    <s v="Bengaluru"/>
    <x v="12"/>
    <n v="100"/>
    <n v="0.5"/>
    <s v="0"/>
    <x v="1"/>
    <x v="83"/>
    <x v="15"/>
    <x v="0"/>
    <s v="07"/>
    <x v="3"/>
    <x v="0"/>
    <s v="Series A"/>
    <x v="6"/>
    <n v="31"/>
  </r>
  <r>
    <x v="199"/>
    <s v="Sydney"/>
    <x v="6"/>
    <n v="30"/>
    <n v="0.15"/>
    <s v="0"/>
    <x v="1"/>
    <x v="73"/>
    <x v="13"/>
    <x v="9"/>
    <s v="06"/>
    <x v="9"/>
    <x v="0"/>
    <s v="Series C"/>
    <x v="4"/>
    <n v="145"/>
  </r>
  <r>
    <x v="199"/>
    <s v="Sydney"/>
    <x v="6"/>
    <n v="58"/>
    <s v="NULL"/>
    <s v="0"/>
    <x v="2"/>
    <x v="56"/>
    <x v="7"/>
    <x v="8"/>
    <s v="09"/>
    <x v="8"/>
    <x v="0"/>
    <s v="Series C"/>
    <x v="4"/>
    <n v="145"/>
  </r>
  <r>
    <x v="200"/>
    <s v="SF Bay Area"/>
    <x v="0"/>
    <s v="NULL"/>
    <n v="0.2"/>
    <s v="0"/>
    <x v="1"/>
    <x v="79"/>
    <x v="23"/>
    <x v="2"/>
    <s v="01"/>
    <x v="2"/>
    <x v="0"/>
    <s v="Series C"/>
    <x v="0"/>
    <n v="212"/>
  </r>
  <r>
    <x v="201"/>
    <s v="Tel Aviv"/>
    <x v="15"/>
    <n v="10"/>
    <n v="0.1"/>
    <s v="0"/>
    <x v="0"/>
    <x v="167"/>
    <x v="12"/>
    <x v="3"/>
    <s v="04"/>
    <x v="4"/>
    <x v="2"/>
    <s v="Series D"/>
    <x v="16"/>
    <n v="84"/>
  </r>
  <r>
    <x v="202"/>
    <s v="London"/>
    <x v="10"/>
    <n v="206"/>
    <n v="1"/>
    <s v="1"/>
    <x v="3"/>
    <x v="59"/>
    <x v="1"/>
    <x v="2"/>
    <s v="01"/>
    <x v="2"/>
    <x v="1"/>
    <s v="Unknown"/>
    <x v="17"/>
    <n v="2400"/>
  </r>
  <r>
    <x v="203"/>
    <s v="Toronto"/>
    <x v="12"/>
    <n v="26"/>
    <n v="0.4"/>
    <s v="0"/>
    <x v="1"/>
    <x v="168"/>
    <x v="13"/>
    <x v="7"/>
    <s v="12"/>
    <x v="0"/>
    <x v="0"/>
    <s v="Series A"/>
    <x v="2"/>
    <n v="10"/>
  </r>
  <r>
    <x v="204"/>
    <s v="Tel Aviv"/>
    <x v="18"/>
    <s v="NULL"/>
    <n v="1"/>
    <s v="1"/>
    <x v="3"/>
    <x v="51"/>
    <x v="20"/>
    <x v="8"/>
    <s v="09"/>
    <x v="8"/>
    <x v="0"/>
    <s v="Series A"/>
    <x v="16"/>
    <n v="25"/>
  </r>
  <r>
    <x v="205"/>
    <s v="Berlin"/>
    <x v="16"/>
    <n v="100"/>
    <n v="0.3"/>
    <s v="0"/>
    <x v="1"/>
    <x v="3"/>
    <x v="3"/>
    <x v="0"/>
    <s v="07"/>
    <x v="3"/>
    <x v="0"/>
    <s v="Series B"/>
    <x v="7"/>
    <n v="89"/>
  </r>
  <r>
    <x v="206"/>
    <s v="Buenos Aires"/>
    <x v="4"/>
    <n v="80"/>
    <n v="0.45"/>
    <s v="0"/>
    <x v="1"/>
    <x v="41"/>
    <x v="27"/>
    <x v="10"/>
    <s v="05"/>
    <x v="10"/>
    <x v="0"/>
    <s v="Series A"/>
    <x v="28"/>
    <n v="11"/>
  </r>
  <r>
    <x v="207"/>
    <s v="Los Angeles"/>
    <x v="16"/>
    <n v="39"/>
    <n v="0.14000000000000001"/>
    <s v="0"/>
    <x v="1"/>
    <x v="169"/>
    <x v="6"/>
    <x v="3"/>
    <s v="04"/>
    <x v="4"/>
    <x v="2"/>
    <s v="Series A"/>
    <x v="0"/>
    <n v="29"/>
  </r>
  <r>
    <x v="208"/>
    <s v="Chicago"/>
    <x v="19"/>
    <n v="28"/>
    <s v="NULL"/>
    <s v="0"/>
    <x v="2"/>
    <x v="89"/>
    <x v="5"/>
    <x v="11"/>
    <s v="10"/>
    <x v="11"/>
    <x v="2"/>
    <s v="Series C"/>
    <x v="0"/>
    <n v="29"/>
  </r>
  <r>
    <x v="208"/>
    <s v="Chicago"/>
    <x v="19"/>
    <n v="50"/>
    <n v="0.25"/>
    <s v="0"/>
    <x v="1"/>
    <x v="170"/>
    <x v="10"/>
    <x v="10"/>
    <s v="05"/>
    <x v="10"/>
    <x v="0"/>
    <s v="Series C"/>
    <x v="0"/>
    <n v="29"/>
  </r>
  <r>
    <x v="209"/>
    <s v="Boston"/>
    <x v="7"/>
    <n v="100"/>
    <s v="NULL"/>
    <s v="0"/>
    <x v="2"/>
    <x v="171"/>
    <x v="14"/>
    <x v="3"/>
    <s v="04"/>
    <x v="4"/>
    <x v="2"/>
    <s v="Acquired"/>
    <x v="0"/>
    <n v="32"/>
  </r>
  <r>
    <x v="210"/>
    <s v="Hong Kong"/>
    <x v="4"/>
    <n v="30"/>
    <n v="0.08"/>
    <s v="0"/>
    <x v="0"/>
    <x v="138"/>
    <x v="22"/>
    <x v="10"/>
    <s v="05"/>
    <x v="10"/>
    <x v="0"/>
    <s v="Unknown"/>
    <x v="15"/>
    <n v="300"/>
  </r>
  <r>
    <x v="211"/>
    <s v="SF Bay Area"/>
    <x v="20"/>
    <n v="70"/>
    <s v="NULL"/>
    <s v="0"/>
    <x v="2"/>
    <x v="106"/>
    <x v="28"/>
    <x v="9"/>
    <s v="06"/>
    <x v="9"/>
    <x v="0"/>
    <s v="Series C"/>
    <x v="0"/>
    <n v="171"/>
  </r>
  <r>
    <x v="212"/>
    <s v="Montreal"/>
    <x v="10"/>
    <n v="23"/>
    <n v="0.32"/>
    <s v="0"/>
    <x v="1"/>
    <x v="154"/>
    <x v="5"/>
    <x v="9"/>
    <s v="06"/>
    <x v="9"/>
    <x v="2"/>
    <s v="Series B"/>
    <x v="2"/>
    <n v="21"/>
  </r>
  <r>
    <x v="213"/>
    <s v="Sao Paulo"/>
    <x v="10"/>
    <n v="160"/>
    <n v="0.3"/>
    <s v="0"/>
    <x v="1"/>
    <x v="39"/>
    <x v="20"/>
    <x v="5"/>
    <s v="08"/>
    <x v="6"/>
    <x v="0"/>
    <s v="Series C"/>
    <x v="3"/>
    <n v="138"/>
  </r>
  <r>
    <x v="214"/>
    <s v="New York City"/>
    <x v="11"/>
    <s v="NULL"/>
    <n v="0.08"/>
    <s v="0"/>
    <x v="0"/>
    <x v="72"/>
    <x v="24"/>
    <x v="2"/>
    <s v="01"/>
    <x v="2"/>
    <x v="1"/>
    <s v="Series E"/>
    <x v="0"/>
    <n v="80"/>
  </r>
  <r>
    <x v="214"/>
    <s v="New York City"/>
    <x v="11"/>
    <n v="19"/>
    <s v="NULL"/>
    <s v="0"/>
    <x v="2"/>
    <x v="64"/>
    <x v="5"/>
    <x v="6"/>
    <s v="03"/>
    <x v="7"/>
    <x v="2"/>
    <s v="Series E"/>
    <x v="0"/>
    <n v="80"/>
  </r>
  <r>
    <x v="214"/>
    <s v="New York City"/>
    <x v="11"/>
    <n v="24"/>
    <n v="0.08"/>
    <s v="0"/>
    <x v="0"/>
    <x v="64"/>
    <x v="5"/>
    <x v="6"/>
    <s v="03"/>
    <x v="7"/>
    <x v="2"/>
    <s v="Series E"/>
    <x v="0"/>
    <n v="80"/>
  </r>
  <r>
    <x v="215"/>
    <s v="New York City"/>
    <x v="8"/>
    <n v="1000"/>
    <n v="1"/>
    <s v="1"/>
    <x v="3"/>
    <x v="172"/>
    <x v="22"/>
    <x v="5"/>
    <s v="08"/>
    <x v="6"/>
    <x v="0"/>
    <s v="Series B"/>
    <x v="0"/>
    <n v="50"/>
  </r>
  <r>
    <x v="216"/>
    <s v="Boston"/>
    <x v="0"/>
    <s v="NULL"/>
    <n v="0.25"/>
    <s v="0"/>
    <x v="1"/>
    <x v="54"/>
    <x v="29"/>
    <x v="3"/>
    <s v="04"/>
    <x v="4"/>
    <x v="1"/>
    <s v="Post-IPO"/>
    <x v="0"/>
    <n v="530"/>
  </r>
  <r>
    <x v="216"/>
    <s v="New Haven"/>
    <x v="0"/>
    <s v="NULL"/>
    <n v="0.1"/>
    <s v="0"/>
    <x v="0"/>
    <x v="173"/>
    <x v="4"/>
    <x v="4"/>
    <s v="02"/>
    <x v="5"/>
    <x v="0"/>
    <s v="Post-IPO"/>
    <x v="0"/>
    <n v="530"/>
  </r>
  <r>
    <x v="217"/>
    <s v="New York City"/>
    <x v="1"/>
    <n v="48"/>
    <n v="0.35"/>
    <s v="0"/>
    <x v="1"/>
    <x v="174"/>
    <x v="5"/>
    <x v="5"/>
    <s v="08"/>
    <x v="6"/>
    <x v="2"/>
    <s v="Series C"/>
    <x v="0"/>
    <n v="64"/>
  </r>
  <r>
    <x v="218"/>
    <s v="SF Bay Area"/>
    <x v="3"/>
    <n v="87"/>
    <n v="1"/>
    <s v="1"/>
    <x v="3"/>
    <x v="149"/>
    <x v="14"/>
    <x v="0"/>
    <s v="07"/>
    <x v="3"/>
    <x v="2"/>
    <s v="Acquired"/>
    <x v="0"/>
    <n v="42"/>
  </r>
  <r>
    <x v="219"/>
    <s v="New York City"/>
    <x v="11"/>
    <s v="NULL"/>
    <n v="0.2"/>
    <s v="0"/>
    <x v="1"/>
    <x v="73"/>
    <x v="13"/>
    <x v="9"/>
    <s v="06"/>
    <x v="9"/>
    <x v="0"/>
    <s v="Unknown"/>
    <x v="0"/>
    <n v="32"/>
  </r>
  <r>
    <x v="220"/>
    <s v="New York City"/>
    <x v="11"/>
    <n v="180"/>
    <n v="0.12"/>
    <s v="0"/>
    <x v="1"/>
    <x v="26"/>
    <x v="20"/>
    <x v="9"/>
    <s v="06"/>
    <x v="9"/>
    <x v="0"/>
    <s v="Post-IPO"/>
    <x v="0"/>
    <n v="696"/>
  </r>
  <r>
    <x v="221"/>
    <s v="San Diego"/>
    <x v="1"/>
    <n v="25"/>
    <n v="0.25"/>
    <s v="0"/>
    <x v="1"/>
    <x v="174"/>
    <x v="5"/>
    <x v="5"/>
    <s v="08"/>
    <x v="6"/>
    <x v="2"/>
    <s v="Unknown"/>
    <x v="0"/>
    <s v="NULL"/>
  </r>
  <r>
    <x v="222"/>
    <s v="Singapore"/>
    <x v="4"/>
    <s v="NULL"/>
    <n v="0.3"/>
    <s v="0"/>
    <x v="1"/>
    <x v="175"/>
    <x v="20"/>
    <x v="6"/>
    <s v="03"/>
    <x v="7"/>
    <x v="0"/>
    <s v="Unknown"/>
    <x v="8"/>
    <s v="NULL"/>
  </r>
  <r>
    <x v="222"/>
    <s v="Singapore"/>
    <x v="4"/>
    <n v="600"/>
    <n v="0.3"/>
    <s v="0"/>
    <x v="1"/>
    <x v="73"/>
    <x v="13"/>
    <x v="9"/>
    <s v="06"/>
    <x v="9"/>
    <x v="0"/>
    <s v="Unknown"/>
    <x v="8"/>
    <s v="NULL"/>
  </r>
  <r>
    <x v="223"/>
    <s v="Bengaluru"/>
    <x v="5"/>
    <n v="1500"/>
    <s v="NULL"/>
    <s v="0"/>
    <x v="2"/>
    <x v="82"/>
    <x v="24"/>
    <x v="4"/>
    <s v="02"/>
    <x v="5"/>
    <x v="1"/>
    <s v="Private Equity"/>
    <x v="6"/>
    <n v="5500"/>
  </r>
  <r>
    <x v="223"/>
    <s v="Bengaluru"/>
    <x v="5"/>
    <n v="2500"/>
    <n v="0.05"/>
    <s v="0"/>
    <x v="0"/>
    <x v="11"/>
    <x v="10"/>
    <x v="7"/>
    <s v="12"/>
    <x v="0"/>
    <x v="0"/>
    <s v="Private Equity"/>
    <x v="6"/>
    <n v="5500"/>
  </r>
  <r>
    <x v="224"/>
    <s v="Mumbai"/>
    <x v="2"/>
    <n v="1800"/>
    <s v="NULL"/>
    <s v="0"/>
    <x v="2"/>
    <x v="176"/>
    <x v="2"/>
    <x v="2"/>
    <s v="01"/>
    <x v="2"/>
    <x v="3"/>
    <s v="Unknown"/>
    <x v="6"/>
    <n v="7400"/>
  </r>
  <r>
    <x v="224"/>
    <s v="Shanghai"/>
    <x v="2"/>
    <s v="NULL"/>
    <n v="0.1"/>
    <s v="0"/>
    <x v="0"/>
    <x v="177"/>
    <x v="29"/>
    <x v="6"/>
    <s v="03"/>
    <x v="7"/>
    <x v="1"/>
    <s v="Unknown"/>
    <x v="21"/>
    <n v="9400"/>
  </r>
  <r>
    <x v="224"/>
    <s v="Shanghai"/>
    <x v="2"/>
    <n v="150"/>
    <s v="NULL"/>
    <s v="0"/>
    <x v="2"/>
    <x v="178"/>
    <x v="1"/>
    <x v="9"/>
    <s v="06"/>
    <x v="9"/>
    <x v="0"/>
    <s v="Unknown"/>
    <x v="21"/>
    <n v="9400"/>
  </r>
  <r>
    <x v="224"/>
    <s v="Shanghai"/>
    <x v="2"/>
    <n v="1800"/>
    <s v="NULL"/>
    <s v="0"/>
    <x v="2"/>
    <x v="179"/>
    <x v="4"/>
    <x v="10"/>
    <s v="05"/>
    <x v="10"/>
    <x v="3"/>
    <s v="Unknown"/>
    <x v="21"/>
    <n v="9400"/>
  </r>
  <r>
    <x v="225"/>
    <s v="Kansas City"/>
    <x v="12"/>
    <n v="20"/>
    <n v="0.02"/>
    <s v="0"/>
    <x v="0"/>
    <x v="51"/>
    <x v="20"/>
    <x v="8"/>
    <s v="09"/>
    <x v="8"/>
    <x v="0"/>
    <s v="Series H"/>
    <x v="0"/>
    <n v="537"/>
  </r>
  <r>
    <x v="226"/>
    <s v="Sao Paulo"/>
    <x v="12"/>
    <n v="60"/>
    <n v="0.06"/>
    <s v="0"/>
    <x v="0"/>
    <x v="154"/>
    <x v="5"/>
    <x v="9"/>
    <s v="06"/>
    <x v="9"/>
    <x v="2"/>
    <s v="Unknown"/>
    <x v="3"/>
    <s v="NULL"/>
  </r>
  <r>
    <x v="227"/>
    <s v="SF Bay Area"/>
    <x v="14"/>
    <s v="NULL"/>
    <n v="0.2"/>
    <s v="0"/>
    <x v="1"/>
    <x v="180"/>
    <x v="27"/>
    <x v="6"/>
    <s v="03"/>
    <x v="7"/>
    <x v="2"/>
    <s v="Seed"/>
    <x v="0"/>
    <n v="3"/>
  </r>
  <r>
    <x v="228"/>
    <s v="New York City"/>
    <x v="20"/>
    <n v="28"/>
    <n v="0.25"/>
    <s v="0"/>
    <x v="1"/>
    <x v="181"/>
    <x v="26"/>
    <x v="1"/>
    <s v="11"/>
    <x v="1"/>
    <x v="2"/>
    <s v="Series C"/>
    <x v="0"/>
    <n v="133"/>
  </r>
  <r>
    <x v="229"/>
    <s v="New York City"/>
    <x v="0"/>
    <n v="156"/>
    <n v="0.24"/>
    <s v="0"/>
    <x v="1"/>
    <x v="172"/>
    <x v="22"/>
    <x v="5"/>
    <s v="08"/>
    <x v="6"/>
    <x v="0"/>
    <s v="Series B"/>
    <x v="0"/>
    <n v="127"/>
  </r>
  <r>
    <x v="230"/>
    <s v="SF Bay Area"/>
    <x v="3"/>
    <n v="20"/>
    <s v="NULL"/>
    <s v="0"/>
    <x v="2"/>
    <x v="144"/>
    <x v="14"/>
    <x v="6"/>
    <s v="03"/>
    <x v="7"/>
    <x v="2"/>
    <s v="Series A"/>
    <x v="0"/>
    <n v="75"/>
  </r>
  <r>
    <x v="231"/>
    <s v="SF Bay Area"/>
    <x v="11"/>
    <s v="NULL"/>
    <n v="0.35"/>
    <s v="0"/>
    <x v="1"/>
    <x v="182"/>
    <x v="0"/>
    <x v="11"/>
    <s v="10"/>
    <x v="11"/>
    <x v="0"/>
    <s v="Series D"/>
    <x v="0"/>
    <s v="NULL"/>
  </r>
  <r>
    <x v="231"/>
    <s v="SF Bay Area"/>
    <x v="11"/>
    <n v="140"/>
    <n v="0.35"/>
    <s v="0"/>
    <x v="1"/>
    <x v="14"/>
    <x v="12"/>
    <x v="0"/>
    <s v="07"/>
    <x v="3"/>
    <x v="0"/>
    <s v="Series D"/>
    <x v="0"/>
    <s v="NULL"/>
  </r>
  <r>
    <x v="232"/>
    <s v="SF Bay Area"/>
    <x v="0"/>
    <n v="90"/>
    <n v="0.2"/>
    <s v="0"/>
    <x v="1"/>
    <x v="115"/>
    <x v="4"/>
    <x v="1"/>
    <s v="11"/>
    <x v="1"/>
    <x v="0"/>
    <s v="Series C"/>
    <x v="0"/>
    <n v="218"/>
  </r>
  <r>
    <x v="233"/>
    <s v="Chicago"/>
    <x v="2"/>
    <n v="80"/>
    <s v="NULL"/>
    <s v="0"/>
    <x v="2"/>
    <x v="98"/>
    <x v="23"/>
    <x v="8"/>
    <s v="09"/>
    <x v="8"/>
    <x v="0"/>
    <s v="Unknown"/>
    <x v="0"/>
    <n v="165"/>
  </r>
  <r>
    <x v="233"/>
    <s v="Chicago"/>
    <x v="2"/>
    <n v="87"/>
    <n v="0.25"/>
    <s v="0"/>
    <x v="1"/>
    <x v="136"/>
    <x v="26"/>
    <x v="3"/>
    <s v="04"/>
    <x v="4"/>
    <x v="0"/>
    <s v="Unknown"/>
    <x v="0"/>
    <n v="165"/>
  </r>
  <r>
    <x v="234"/>
    <s v="Gurugram"/>
    <x v="5"/>
    <s v="NULL"/>
    <n v="0.7"/>
    <s v="0"/>
    <x v="4"/>
    <x v="151"/>
    <x v="27"/>
    <x v="2"/>
    <s v="01"/>
    <x v="2"/>
    <x v="1"/>
    <s v="Series A"/>
    <x v="6"/>
    <n v="16"/>
  </r>
  <r>
    <x v="235"/>
    <s v="New York City"/>
    <x v="4"/>
    <n v="33"/>
    <n v="0.33"/>
    <s v="0"/>
    <x v="1"/>
    <x v="44"/>
    <x v="8"/>
    <x v="1"/>
    <s v="11"/>
    <x v="1"/>
    <x v="0"/>
    <s v="Series A"/>
    <x v="0"/>
    <n v="100"/>
  </r>
  <r>
    <x v="236"/>
    <s v="Los Angeles"/>
    <x v="10"/>
    <n v="58"/>
    <n v="0.06"/>
    <s v="0"/>
    <x v="0"/>
    <x v="108"/>
    <x v="22"/>
    <x v="2"/>
    <s v="01"/>
    <x v="2"/>
    <x v="0"/>
    <s v="Post-IPO"/>
    <x v="0"/>
    <n v="300"/>
  </r>
  <r>
    <x v="237"/>
    <s v="Washington D.C."/>
    <x v="12"/>
    <n v="1100"/>
    <s v="NULL"/>
    <s v="0"/>
    <x v="2"/>
    <x v="183"/>
    <x v="30"/>
    <x v="2"/>
    <s v="01"/>
    <x v="2"/>
    <x v="1"/>
    <s v="Post-IPO"/>
    <x v="0"/>
    <s v="NULL"/>
  </r>
  <r>
    <x v="238"/>
    <s v="New York City"/>
    <x v="12"/>
    <s v="NULL"/>
    <n v="0.25"/>
    <s v="0"/>
    <x v="1"/>
    <x v="184"/>
    <x v="11"/>
    <x v="1"/>
    <s v="11"/>
    <x v="1"/>
    <x v="0"/>
    <s v="Series D"/>
    <x v="0"/>
    <n v="281"/>
  </r>
  <r>
    <x v="238"/>
    <s v="New York City"/>
    <x v="12"/>
    <n v="37"/>
    <n v="0.25"/>
    <s v="0"/>
    <x v="1"/>
    <x v="1"/>
    <x v="1"/>
    <x v="1"/>
    <s v="11"/>
    <x v="1"/>
    <x v="0"/>
    <s v="Series D"/>
    <x v="0"/>
    <n v="281"/>
  </r>
  <r>
    <x v="239"/>
    <s v="New York City"/>
    <x v="0"/>
    <s v="NULL"/>
    <n v="0.13"/>
    <s v="0"/>
    <x v="1"/>
    <x v="185"/>
    <x v="30"/>
    <x v="0"/>
    <s v="07"/>
    <x v="3"/>
    <x v="0"/>
    <s v="Series D"/>
    <x v="0"/>
    <n v="570"/>
  </r>
  <r>
    <x v="240"/>
    <s v="Bengaluru"/>
    <x v="8"/>
    <n v="120"/>
    <s v="NULL"/>
    <s v="0"/>
    <x v="2"/>
    <x v="119"/>
    <x v="15"/>
    <x v="2"/>
    <s v="01"/>
    <x v="2"/>
    <x v="1"/>
    <s v="Series C"/>
    <x v="6"/>
    <n v="126"/>
  </r>
  <r>
    <x v="241"/>
    <s v="SF Bay Area"/>
    <x v="7"/>
    <n v="31"/>
    <n v="0.1"/>
    <s v="0"/>
    <x v="0"/>
    <x v="70"/>
    <x v="15"/>
    <x v="1"/>
    <s v="11"/>
    <x v="1"/>
    <x v="0"/>
    <s v="Series C"/>
    <x v="0"/>
    <n v="164"/>
  </r>
  <r>
    <x v="242"/>
    <s v="SF Bay Area"/>
    <x v="0"/>
    <n v="200"/>
    <s v="NULL"/>
    <s v="0"/>
    <x v="2"/>
    <x v="156"/>
    <x v="29"/>
    <x v="9"/>
    <s v="06"/>
    <x v="9"/>
    <x v="1"/>
    <s v="Series D"/>
    <x v="0"/>
    <n v="522"/>
  </r>
  <r>
    <x v="242"/>
    <s v="SF Bay Area"/>
    <x v="0"/>
    <n v="250"/>
    <n v="0.08"/>
    <s v="0"/>
    <x v="0"/>
    <x v="186"/>
    <x v="6"/>
    <x v="4"/>
    <s v="02"/>
    <x v="5"/>
    <x v="0"/>
    <s v="Series D"/>
    <x v="0"/>
    <n v="522"/>
  </r>
  <r>
    <x v="243"/>
    <s v="Gurugram"/>
    <x v="10"/>
    <n v="200"/>
    <s v="NULL"/>
    <s v="0"/>
    <x v="2"/>
    <x v="187"/>
    <x v="0"/>
    <x v="10"/>
    <s v="05"/>
    <x v="10"/>
    <x v="2"/>
    <s v="Series D"/>
    <x v="6"/>
    <n v="247"/>
  </r>
  <r>
    <x v="244"/>
    <s v="Atlanta"/>
    <x v="1"/>
    <n v="51"/>
    <s v="NULL"/>
    <s v="0"/>
    <x v="2"/>
    <x v="188"/>
    <x v="25"/>
    <x v="1"/>
    <s v="11"/>
    <x v="1"/>
    <x v="0"/>
    <s v="Post-IPO"/>
    <x v="0"/>
    <n v="212"/>
  </r>
  <r>
    <x v="245"/>
    <s v="Boston"/>
    <x v="2"/>
    <n v="81"/>
    <s v="NULL"/>
    <s v="0"/>
    <x v="2"/>
    <x v="171"/>
    <x v="14"/>
    <x v="3"/>
    <s v="04"/>
    <x v="4"/>
    <x v="2"/>
    <s v="Acquired"/>
    <x v="0"/>
    <n v="156"/>
  </r>
  <r>
    <x v="246"/>
    <s v="Dubai"/>
    <x v="10"/>
    <n v="536"/>
    <n v="0.31"/>
    <s v="0"/>
    <x v="1"/>
    <x v="189"/>
    <x v="26"/>
    <x v="3"/>
    <s v="04"/>
    <x v="4"/>
    <x v="2"/>
    <s v="Acquired"/>
    <x v="18"/>
    <n v="771"/>
  </r>
  <r>
    <x v="247"/>
    <s v="SF Bay Area"/>
    <x v="5"/>
    <n v="22"/>
    <s v="NULL"/>
    <s v="0"/>
    <x v="2"/>
    <x v="45"/>
    <x v="29"/>
    <x v="7"/>
    <s v="12"/>
    <x v="0"/>
    <x v="1"/>
    <s v="Series B"/>
    <x v="0"/>
    <n v="51"/>
  </r>
  <r>
    <x v="247"/>
    <s v="SF Bay Area"/>
    <x v="5"/>
    <n v="60"/>
    <n v="0.33"/>
    <s v="0"/>
    <x v="1"/>
    <x v="8"/>
    <x v="8"/>
    <x v="0"/>
    <s v="07"/>
    <x v="3"/>
    <x v="0"/>
    <s v="Series B"/>
    <x v="0"/>
    <n v="51"/>
  </r>
  <r>
    <x v="248"/>
    <s v="Boston"/>
    <x v="10"/>
    <n v="130"/>
    <n v="0.13"/>
    <s v="0"/>
    <x v="1"/>
    <x v="190"/>
    <x v="17"/>
    <x v="3"/>
    <s v="04"/>
    <x v="4"/>
    <x v="2"/>
    <s v="Post-IPO"/>
    <x v="0"/>
    <n v="1"/>
  </r>
  <r>
    <x v="249"/>
    <s v="Singapore"/>
    <x v="3"/>
    <n v="110"/>
    <n v="0.1"/>
    <s v="0"/>
    <x v="0"/>
    <x v="137"/>
    <x v="20"/>
    <x v="2"/>
    <s v="01"/>
    <x v="2"/>
    <x v="0"/>
    <s v="Private Equity"/>
    <x v="8"/>
    <n v="372"/>
  </r>
  <r>
    <x v="250"/>
    <s v="Gurugram"/>
    <x v="10"/>
    <n v="600"/>
    <n v="0.06"/>
    <s v="0"/>
    <x v="0"/>
    <x v="191"/>
    <x v="30"/>
    <x v="10"/>
    <s v="05"/>
    <x v="10"/>
    <x v="0"/>
    <s v="Series G"/>
    <x v="6"/>
    <n v="1300"/>
  </r>
  <r>
    <x v="251"/>
    <s v="Kuala Lumpur"/>
    <x v="10"/>
    <s v="NULL"/>
    <n v="0.1"/>
    <s v="0"/>
    <x v="0"/>
    <x v="192"/>
    <x v="14"/>
    <x v="8"/>
    <s v="09"/>
    <x v="8"/>
    <x v="0"/>
    <s v="Series E"/>
    <x v="29"/>
    <n v="607"/>
  </r>
  <r>
    <x v="252"/>
    <s v="SF Bay Area"/>
    <x v="12"/>
    <n v="161"/>
    <n v="0.16"/>
    <s v="0"/>
    <x v="1"/>
    <x v="46"/>
    <x v="15"/>
    <x v="3"/>
    <s v="04"/>
    <x v="4"/>
    <x v="2"/>
    <s v="Series E"/>
    <x v="0"/>
    <n v="447"/>
  </r>
  <r>
    <x v="252"/>
    <s v="SF Bay Area"/>
    <x v="22"/>
    <s v="NULL"/>
    <n v="0.1"/>
    <s v="0"/>
    <x v="0"/>
    <x v="193"/>
    <x v="29"/>
    <x v="1"/>
    <s v="11"/>
    <x v="1"/>
    <x v="1"/>
    <s v="Series G"/>
    <x v="0"/>
    <n v="1100"/>
  </r>
  <r>
    <x v="253"/>
    <s v="Phoenix"/>
    <x v="10"/>
    <n v="2500"/>
    <n v="0.12"/>
    <s v="0"/>
    <x v="1"/>
    <x v="194"/>
    <x v="26"/>
    <x v="11"/>
    <s v="10"/>
    <x v="11"/>
    <x v="0"/>
    <s v="Post-IPO"/>
    <x v="0"/>
    <n v="1600"/>
  </r>
  <r>
    <x v="253"/>
    <s v="Phoenix"/>
    <x v="10"/>
    <n v="1500"/>
    <n v="0.08"/>
    <s v="0"/>
    <x v="0"/>
    <x v="184"/>
    <x v="11"/>
    <x v="1"/>
    <s v="11"/>
    <x v="1"/>
    <x v="0"/>
    <s v="Post-IPO"/>
    <x v="0"/>
    <n v="1600"/>
  </r>
  <r>
    <x v="254"/>
    <s v="London"/>
    <x v="10"/>
    <n v="70"/>
    <n v="0.2"/>
    <s v="0"/>
    <x v="1"/>
    <x v="195"/>
    <x v="0"/>
    <x v="1"/>
    <s v="11"/>
    <x v="1"/>
    <x v="0"/>
    <s v="Unknown"/>
    <x v="17"/>
    <n v="157"/>
  </r>
  <r>
    <x v="255"/>
    <s v="Milan"/>
    <x v="20"/>
    <s v="NULL"/>
    <n v="0.3"/>
    <s v="0"/>
    <x v="1"/>
    <x v="196"/>
    <x v="3"/>
    <x v="4"/>
    <s v="02"/>
    <x v="5"/>
    <x v="1"/>
    <s v="Unknown"/>
    <x v="30"/>
    <n v="708"/>
  </r>
  <r>
    <x v="256"/>
    <s v="Bengaluru"/>
    <x v="12"/>
    <n v="100"/>
    <s v="NULL"/>
    <s v="0"/>
    <x v="2"/>
    <x v="45"/>
    <x v="29"/>
    <x v="7"/>
    <s v="12"/>
    <x v="0"/>
    <x v="1"/>
    <s v="Series B"/>
    <x v="6"/>
    <n v="41"/>
  </r>
  <r>
    <x v="257"/>
    <s v="New York City"/>
    <x v="3"/>
    <n v="78"/>
    <n v="0.21"/>
    <s v="0"/>
    <x v="1"/>
    <x v="167"/>
    <x v="12"/>
    <x v="3"/>
    <s v="04"/>
    <x v="4"/>
    <x v="2"/>
    <s v="Post-IPO"/>
    <x v="0"/>
    <n v="339"/>
  </r>
  <r>
    <x v="258"/>
    <s v="SF Bay Area"/>
    <x v="0"/>
    <s v="NULL"/>
    <n v="0.13"/>
    <s v="0"/>
    <x v="1"/>
    <x v="189"/>
    <x v="26"/>
    <x v="3"/>
    <s v="04"/>
    <x v="4"/>
    <x v="2"/>
    <s v="Post-IPO"/>
    <x v="0"/>
    <n v="184"/>
  </r>
  <r>
    <x v="259"/>
    <s v="Boston"/>
    <x v="18"/>
    <n v="30"/>
    <s v="NULL"/>
    <s v="0"/>
    <x v="2"/>
    <x v="144"/>
    <x v="14"/>
    <x v="6"/>
    <s v="03"/>
    <x v="7"/>
    <x v="2"/>
    <s v="Series E"/>
    <x v="0"/>
    <n v="110"/>
  </r>
  <r>
    <x v="260"/>
    <s v="Melbourne"/>
    <x v="3"/>
    <n v="100"/>
    <s v="NULL"/>
    <s v="0"/>
    <x v="2"/>
    <x v="197"/>
    <x v="24"/>
    <x v="9"/>
    <s v="06"/>
    <x v="9"/>
    <x v="1"/>
    <s v="Acquired"/>
    <x v="4"/>
    <n v="80"/>
  </r>
  <r>
    <x v="261"/>
    <s v="London"/>
    <x v="10"/>
    <n v="750"/>
    <n v="0.15"/>
    <s v="0"/>
    <x v="1"/>
    <x v="124"/>
    <x v="6"/>
    <x v="0"/>
    <s v="07"/>
    <x v="3"/>
    <x v="0"/>
    <s v="Post-IPO"/>
    <x v="17"/>
    <n v="2000"/>
  </r>
  <r>
    <x v="262"/>
    <s v="New York City"/>
    <x v="0"/>
    <s v="NULL"/>
    <n v="0.24"/>
    <s v="0"/>
    <x v="1"/>
    <x v="29"/>
    <x v="22"/>
    <x v="0"/>
    <s v="07"/>
    <x v="3"/>
    <x v="0"/>
    <s v="Series D"/>
    <x v="0"/>
    <n v="351"/>
  </r>
  <r>
    <x v="263"/>
    <s v="New York City"/>
    <x v="4"/>
    <n v="150"/>
    <n v="0.25"/>
    <s v="0"/>
    <x v="1"/>
    <x v="198"/>
    <x v="22"/>
    <x v="6"/>
    <s v="03"/>
    <x v="7"/>
    <x v="0"/>
    <s v="Series B"/>
    <x v="0"/>
    <n v="864"/>
  </r>
  <r>
    <x v="264"/>
    <s v="SF Bay Area"/>
    <x v="0"/>
    <n v="285"/>
    <n v="0.15"/>
    <s v="0"/>
    <x v="1"/>
    <x v="61"/>
    <x v="2"/>
    <x v="4"/>
    <s v="02"/>
    <x v="5"/>
    <x v="1"/>
    <s v="Series C"/>
    <x v="0"/>
    <n v="462"/>
  </r>
  <r>
    <x v="264"/>
    <s v="SF Bay Area"/>
    <x v="0"/>
    <n v="400"/>
    <n v="0.2"/>
    <s v="0"/>
    <x v="1"/>
    <x v="199"/>
    <x v="18"/>
    <x v="11"/>
    <s v="10"/>
    <x v="11"/>
    <x v="0"/>
    <s v="Series C"/>
    <x v="0"/>
    <n v="462"/>
  </r>
  <r>
    <x v="265"/>
    <s v="New York City"/>
    <x v="4"/>
    <n v="44"/>
    <n v="0.05"/>
    <s v="0"/>
    <x v="0"/>
    <x v="72"/>
    <x v="24"/>
    <x v="2"/>
    <s v="01"/>
    <x v="2"/>
    <x v="1"/>
    <s v="Series F"/>
    <x v="0"/>
    <n v="536"/>
  </r>
  <r>
    <x v="266"/>
    <s v="Amsterdam"/>
    <x v="12"/>
    <s v="NULL"/>
    <n v="0.24"/>
    <s v="0"/>
    <x v="1"/>
    <x v="200"/>
    <x v="2"/>
    <x v="1"/>
    <s v="11"/>
    <x v="1"/>
    <x v="0"/>
    <s v="Unknown"/>
    <x v="26"/>
    <n v="22"/>
  </r>
  <r>
    <x v="267"/>
    <s v="SF Bay Area"/>
    <x v="18"/>
    <s v="NULL"/>
    <n v="0.19"/>
    <s v="0"/>
    <x v="1"/>
    <x v="8"/>
    <x v="8"/>
    <x v="0"/>
    <s v="07"/>
    <x v="3"/>
    <x v="0"/>
    <s v="Series D"/>
    <x v="0"/>
    <n v="72"/>
  </r>
  <r>
    <x v="268"/>
    <s v="SF Bay Area"/>
    <x v="12"/>
    <n v="142"/>
    <n v="0.1"/>
    <s v="0"/>
    <x v="0"/>
    <x v="127"/>
    <x v="23"/>
    <x v="4"/>
    <s v="02"/>
    <x v="5"/>
    <x v="0"/>
    <s v="Series H"/>
    <x v="0"/>
    <n v="468"/>
  </r>
  <r>
    <x v="269"/>
    <s v="Tel Aviv"/>
    <x v="21"/>
    <n v="100"/>
    <n v="0.1"/>
    <s v="0"/>
    <x v="0"/>
    <x v="127"/>
    <x v="23"/>
    <x v="4"/>
    <s v="02"/>
    <x v="5"/>
    <x v="0"/>
    <s v="Series C"/>
    <x v="16"/>
    <n v="92"/>
  </r>
  <r>
    <x v="270"/>
    <s v="London"/>
    <x v="12"/>
    <n v="100"/>
    <n v="0.05"/>
    <s v="0"/>
    <x v="0"/>
    <x v="201"/>
    <x v="3"/>
    <x v="8"/>
    <s v="09"/>
    <x v="8"/>
    <x v="0"/>
    <s v="Series D"/>
    <x v="17"/>
    <n v="1800"/>
  </r>
  <r>
    <x v="271"/>
    <s v="SF Bay Area"/>
    <x v="22"/>
    <n v="64"/>
    <n v="0.12"/>
    <s v="0"/>
    <x v="1"/>
    <x v="202"/>
    <x v="27"/>
    <x v="0"/>
    <s v="07"/>
    <x v="3"/>
    <x v="2"/>
    <s v="Series D"/>
    <x v="0"/>
    <n v="309"/>
  </r>
  <r>
    <x v="272"/>
    <s v="London"/>
    <x v="2"/>
    <n v="29"/>
    <s v="NULL"/>
    <s v="0"/>
    <x v="2"/>
    <x v="203"/>
    <x v="22"/>
    <x v="3"/>
    <s v="04"/>
    <x v="4"/>
    <x v="0"/>
    <s v="Acquired"/>
    <x v="17"/>
    <n v="0"/>
  </r>
  <r>
    <x v="273"/>
    <s v="New York City"/>
    <x v="7"/>
    <n v="58"/>
    <s v="NULL"/>
    <s v="0"/>
    <x v="2"/>
    <x v="1"/>
    <x v="1"/>
    <x v="1"/>
    <s v="11"/>
    <x v="1"/>
    <x v="0"/>
    <s v="Series B"/>
    <x v="0"/>
    <n v="54"/>
  </r>
  <r>
    <x v="274"/>
    <s v="SF Bay Area"/>
    <x v="12"/>
    <n v="156"/>
    <n v="0.12"/>
    <s v="0"/>
    <x v="1"/>
    <x v="127"/>
    <x v="23"/>
    <x v="4"/>
    <s v="02"/>
    <x v="5"/>
    <x v="0"/>
    <s v="Series G"/>
    <x v="0"/>
    <n v="2300"/>
  </r>
  <r>
    <x v="275"/>
    <s v="SF Bay Area"/>
    <x v="12"/>
    <n v="50"/>
    <n v="0.13"/>
    <s v="0"/>
    <x v="1"/>
    <x v="26"/>
    <x v="20"/>
    <x v="9"/>
    <s v="06"/>
    <x v="9"/>
    <x v="0"/>
    <s v="Series C"/>
    <x v="0"/>
    <n v="302"/>
  </r>
  <r>
    <x v="275"/>
    <s v="SF Bay Area"/>
    <x v="12"/>
    <n v="100"/>
    <n v="0.33"/>
    <s v="0"/>
    <x v="1"/>
    <x v="204"/>
    <x v="1"/>
    <x v="4"/>
    <s v="02"/>
    <x v="5"/>
    <x v="1"/>
    <s v="Series C"/>
    <x v="0"/>
    <n v="302"/>
  </r>
  <r>
    <x v="276"/>
    <s v="Singapore"/>
    <x v="8"/>
    <n v="65"/>
    <n v="0.24"/>
    <s v="0"/>
    <x v="1"/>
    <x v="168"/>
    <x v="13"/>
    <x v="7"/>
    <s v="12"/>
    <x v="0"/>
    <x v="0"/>
    <s v="Series E"/>
    <x v="8"/>
    <n v="50"/>
  </r>
  <r>
    <x v="277"/>
    <s v="Los Angeles"/>
    <x v="8"/>
    <n v="40"/>
    <n v="0.1"/>
    <s v="0"/>
    <x v="0"/>
    <x v="205"/>
    <x v="25"/>
    <x v="7"/>
    <s v="12"/>
    <x v="0"/>
    <x v="0"/>
    <s v="Series C"/>
    <x v="0"/>
    <n v="64"/>
  </r>
  <r>
    <x v="277"/>
    <s v="Los Angeles"/>
    <x v="8"/>
    <n v="100"/>
    <n v="0.2"/>
    <s v="0"/>
    <x v="1"/>
    <x v="3"/>
    <x v="3"/>
    <x v="0"/>
    <s v="07"/>
    <x v="3"/>
    <x v="0"/>
    <s v="Series C"/>
    <x v="0"/>
    <n v="64"/>
  </r>
  <r>
    <x v="278"/>
    <s v="Karlsruhe"/>
    <x v="3"/>
    <n v="65"/>
    <n v="0.13"/>
    <s v="0"/>
    <x v="1"/>
    <x v="81"/>
    <x v="14"/>
    <x v="2"/>
    <s v="01"/>
    <x v="2"/>
    <x v="1"/>
    <s v="Series C"/>
    <x v="7"/>
    <n v="205"/>
  </r>
  <r>
    <x v="278"/>
    <s v="Karlsruhe"/>
    <x v="3"/>
    <n v="80"/>
    <s v="NULL"/>
    <s v="0"/>
    <x v="2"/>
    <x v="39"/>
    <x v="20"/>
    <x v="5"/>
    <s v="08"/>
    <x v="6"/>
    <x v="0"/>
    <s v="Series C"/>
    <x v="7"/>
    <n v="205"/>
  </r>
  <r>
    <x v="279"/>
    <s v="Berlin"/>
    <x v="10"/>
    <n v="100"/>
    <s v="NULL"/>
    <s v="0"/>
    <x v="2"/>
    <x v="206"/>
    <x v="6"/>
    <x v="4"/>
    <s v="02"/>
    <x v="5"/>
    <x v="2"/>
    <s v="Acquired"/>
    <x v="7"/>
    <n v="55"/>
  </r>
  <r>
    <x v="280"/>
    <s v="SF Bay Area"/>
    <x v="16"/>
    <s v="NULL"/>
    <n v="0.17"/>
    <s v="0"/>
    <x v="1"/>
    <x v="207"/>
    <x v="20"/>
    <x v="0"/>
    <s v="07"/>
    <x v="3"/>
    <x v="0"/>
    <s v="Series F"/>
    <x v="0"/>
    <n v="315"/>
  </r>
  <r>
    <x v="281"/>
    <s v="Columbus"/>
    <x v="0"/>
    <s v="NULL"/>
    <n v="0.5"/>
    <s v="0"/>
    <x v="1"/>
    <x v="208"/>
    <x v="17"/>
    <x v="9"/>
    <s v="06"/>
    <x v="9"/>
    <x v="0"/>
    <s v="Series A"/>
    <x v="0"/>
    <n v="50"/>
  </r>
  <r>
    <x v="282"/>
    <s v="SF Bay Area"/>
    <x v="17"/>
    <n v="4100"/>
    <n v="0.05"/>
    <s v="0"/>
    <x v="0"/>
    <x v="55"/>
    <x v="17"/>
    <x v="1"/>
    <s v="11"/>
    <x v="1"/>
    <x v="0"/>
    <s v="Post-IPO"/>
    <x v="0"/>
    <n v="2"/>
  </r>
  <r>
    <x v="283"/>
    <s v="New York City"/>
    <x v="2"/>
    <n v="33"/>
    <s v="NULL"/>
    <s v="0"/>
    <x v="2"/>
    <x v="193"/>
    <x v="29"/>
    <x v="1"/>
    <s v="11"/>
    <x v="1"/>
    <x v="1"/>
    <s v="Series C"/>
    <x v="0"/>
    <n v="133"/>
  </r>
  <r>
    <x v="284"/>
    <s v="SF Bay Area"/>
    <x v="13"/>
    <n v="22"/>
    <n v="0.27"/>
    <s v="0"/>
    <x v="1"/>
    <x v="134"/>
    <x v="13"/>
    <x v="2"/>
    <s v="01"/>
    <x v="2"/>
    <x v="1"/>
    <s v="Series C"/>
    <x v="0"/>
    <n v="64"/>
  </r>
  <r>
    <x v="285"/>
    <s v="Miami"/>
    <x v="17"/>
    <s v="NULL"/>
    <n v="0.15"/>
    <s v="0"/>
    <x v="1"/>
    <x v="110"/>
    <x v="29"/>
    <x v="11"/>
    <s v="10"/>
    <x v="11"/>
    <x v="1"/>
    <s v="Acquired"/>
    <x v="0"/>
    <n v="20"/>
  </r>
  <r>
    <x v="286"/>
    <s v="Gurugram"/>
    <x v="3"/>
    <n v="191"/>
    <n v="0.3"/>
    <s v="0"/>
    <x v="1"/>
    <x v="129"/>
    <x v="30"/>
    <x v="9"/>
    <s v="06"/>
    <x v="9"/>
    <x v="0"/>
    <s v="Series C"/>
    <x v="6"/>
    <n v="112"/>
  </r>
  <r>
    <x v="287"/>
    <s v="SF Bay Area"/>
    <x v="7"/>
    <n v="20"/>
    <s v="NULL"/>
    <s v="0"/>
    <x v="2"/>
    <x v="197"/>
    <x v="24"/>
    <x v="9"/>
    <s v="06"/>
    <x v="9"/>
    <x v="1"/>
    <s v="Series F"/>
    <x v="0"/>
    <n v="496"/>
  </r>
  <r>
    <x v="287"/>
    <s v="SF Bay Area"/>
    <x v="7"/>
    <n v="45"/>
    <s v="NULL"/>
    <s v="0"/>
    <x v="2"/>
    <x v="68"/>
    <x v="21"/>
    <x v="5"/>
    <s v="08"/>
    <x v="6"/>
    <x v="0"/>
    <s v="Series F"/>
    <x v="0"/>
    <n v="496"/>
  </r>
  <r>
    <x v="288"/>
    <s v="SF Bay Area"/>
    <x v="0"/>
    <n v="15"/>
    <n v="0.05"/>
    <s v="0"/>
    <x v="0"/>
    <x v="152"/>
    <x v="28"/>
    <x v="0"/>
    <s v="07"/>
    <x v="3"/>
    <x v="0"/>
    <s v="Series D"/>
    <x v="0"/>
    <n v="328"/>
  </r>
  <r>
    <x v="289"/>
    <s v="New York City"/>
    <x v="28"/>
    <n v="154"/>
    <n v="0.22"/>
    <s v="0"/>
    <x v="1"/>
    <x v="5"/>
    <x v="5"/>
    <x v="4"/>
    <s v="02"/>
    <x v="5"/>
    <x v="2"/>
    <s v="Series E"/>
    <x v="0"/>
    <n v="549"/>
  </r>
  <r>
    <x v="290"/>
    <s v="Bengaluru"/>
    <x v="12"/>
    <n v="190"/>
    <n v="0.2"/>
    <s v="0"/>
    <x v="1"/>
    <x v="209"/>
    <x v="17"/>
    <x v="8"/>
    <s v="09"/>
    <x v="8"/>
    <x v="0"/>
    <s v="Series C"/>
    <x v="6"/>
    <n v="140"/>
  </r>
  <r>
    <x v="291"/>
    <s v="Reno"/>
    <x v="20"/>
    <n v="250"/>
    <n v="0.25"/>
    <s v="0"/>
    <x v="1"/>
    <x v="210"/>
    <x v="0"/>
    <x v="2"/>
    <s v="01"/>
    <x v="2"/>
    <x v="1"/>
    <s v="Unknown"/>
    <x v="0"/>
    <s v="NULL"/>
  </r>
  <r>
    <x v="291"/>
    <s v="Reno"/>
    <x v="20"/>
    <n v="378"/>
    <n v="0.27"/>
    <s v="0"/>
    <x v="1"/>
    <x v="118"/>
    <x v="25"/>
    <x v="11"/>
    <s v="10"/>
    <x v="11"/>
    <x v="0"/>
    <s v="Unknown"/>
    <x v="0"/>
    <s v="NULL"/>
  </r>
  <r>
    <x v="292"/>
    <s v="Toronto"/>
    <x v="12"/>
    <n v="17"/>
    <n v="0.08"/>
    <s v="0"/>
    <x v="0"/>
    <x v="211"/>
    <x v="3"/>
    <x v="3"/>
    <s v="04"/>
    <x v="4"/>
    <x v="2"/>
    <s v="Series B"/>
    <x v="2"/>
    <n v="119"/>
  </r>
  <r>
    <x v="293"/>
    <s v="Toronto"/>
    <x v="29"/>
    <n v="125"/>
    <n v="0.25"/>
    <s v="0"/>
    <x v="1"/>
    <x v="212"/>
    <x v="9"/>
    <x v="0"/>
    <s v="07"/>
    <x v="3"/>
    <x v="0"/>
    <s v="Series C"/>
    <x v="2"/>
    <n v="681"/>
  </r>
  <r>
    <x v="293"/>
    <s v="Toronto"/>
    <x v="12"/>
    <n v="50"/>
    <n v="0.3"/>
    <s v="0"/>
    <x v="1"/>
    <x v="213"/>
    <x v="17"/>
    <x v="2"/>
    <s v="01"/>
    <x v="2"/>
    <x v="1"/>
    <s v="Series C"/>
    <x v="2"/>
    <n v="698"/>
  </r>
  <r>
    <x v="293"/>
    <s v="Toronto"/>
    <x v="12"/>
    <n v="60"/>
    <s v="NULL"/>
    <s v="0"/>
    <x v="2"/>
    <x v="214"/>
    <x v="6"/>
    <x v="9"/>
    <s v="06"/>
    <x v="9"/>
    <x v="0"/>
    <s v="Series C"/>
    <x v="2"/>
    <n v="681"/>
  </r>
  <r>
    <x v="294"/>
    <s v="Mumbai"/>
    <x v="1"/>
    <n v="60"/>
    <n v="0.2"/>
    <s v="0"/>
    <x v="1"/>
    <x v="190"/>
    <x v="17"/>
    <x v="3"/>
    <s v="04"/>
    <x v="4"/>
    <x v="2"/>
    <s v="Series C"/>
    <x v="6"/>
    <n v="76"/>
  </r>
  <r>
    <x v="295"/>
    <s v="San Diego"/>
    <x v="18"/>
    <n v="60"/>
    <n v="7.0000000000000007E-2"/>
    <s v="0"/>
    <x v="0"/>
    <x v="41"/>
    <x v="27"/>
    <x v="10"/>
    <s v="05"/>
    <x v="10"/>
    <x v="0"/>
    <s v="Series C"/>
    <x v="0"/>
    <n v="537"/>
  </r>
  <r>
    <x v="296"/>
    <s v="Ann Arbor"/>
    <x v="9"/>
    <n v="40"/>
    <n v="0.32"/>
    <s v="0"/>
    <x v="1"/>
    <x v="215"/>
    <x v="5"/>
    <x v="8"/>
    <s v="09"/>
    <x v="8"/>
    <x v="2"/>
    <s v="Series B"/>
    <x v="0"/>
    <n v="59"/>
  </r>
  <r>
    <x v="297"/>
    <s v="Nairobi"/>
    <x v="13"/>
    <s v="NULL"/>
    <n v="0.12"/>
    <s v="0"/>
    <x v="1"/>
    <x v="98"/>
    <x v="23"/>
    <x v="8"/>
    <s v="09"/>
    <x v="8"/>
    <x v="0"/>
    <s v="Private Equity"/>
    <x v="31"/>
    <n v="78"/>
  </r>
  <r>
    <x v="298"/>
    <s v="SF Bay Area"/>
    <x v="11"/>
    <n v="40"/>
    <n v="0.08"/>
    <s v="0"/>
    <x v="0"/>
    <x v="188"/>
    <x v="25"/>
    <x v="1"/>
    <s v="11"/>
    <x v="1"/>
    <x v="0"/>
    <s v="Unknown"/>
    <x v="0"/>
    <n v="100"/>
  </r>
  <r>
    <x v="299"/>
    <s v="Berlin"/>
    <x v="0"/>
    <n v="31"/>
    <n v="0.31"/>
    <s v="0"/>
    <x v="1"/>
    <x v="12"/>
    <x v="11"/>
    <x v="2"/>
    <s v="01"/>
    <x v="2"/>
    <x v="1"/>
    <s v="Unknown"/>
    <x v="7"/>
    <n v="47"/>
  </r>
  <r>
    <x v="300"/>
    <s v="Toronto"/>
    <x v="10"/>
    <n v="76"/>
    <n v="0.22"/>
    <s v="0"/>
    <x v="1"/>
    <x v="97"/>
    <x v="9"/>
    <x v="9"/>
    <s v="06"/>
    <x v="9"/>
    <x v="0"/>
    <s v="Series B"/>
    <x v="2"/>
    <n v="153"/>
  </r>
  <r>
    <x v="300"/>
    <s v="Toronto"/>
    <x v="10"/>
    <n v="150"/>
    <s v="NULL"/>
    <s v="0"/>
    <x v="2"/>
    <x v="59"/>
    <x v="1"/>
    <x v="2"/>
    <s v="01"/>
    <x v="2"/>
    <x v="1"/>
    <s v="Unknown"/>
    <x v="2"/>
    <n v="253"/>
  </r>
  <r>
    <x v="301"/>
    <s v="Los Angeles"/>
    <x v="2"/>
    <s v="NULL"/>
    <n v="0.3"/>
    <s v="0"/>
    <x v="1"/>
    <x v="216"/>
    <x v="0"/>
    <x v="6"/>
    <s v="03"/>
    <x v="7"/>
    <x v="2"/>
    <s v="Series D"/>
    <x v="0"/>
    <n v="296"/>
  </r>
  <r>
    <x v="302"/>
    <s v="New York City"/>
    <x v="1"/>
    <n v="22"/>
    <s v="NULL"/>
    <s v="0"/>
    <x v="2"/>
    <x v="217"/>
    <x v="0"/>
    <x v="3"/>
    <s v="04"/>
    <x v="4"/>
    <x v="0"/>
    <s v="Series B"/>
    <x v="0"/>
    <n v="58"/>
  </r>
  <r>
    <x v="303"/>
    <s v="SF Bay Area"/>
    <x v="11"/>
    <n v="12"/>
    <n v="0.1"/>
    <s v="0"/>
    <x v="0"/>
    <x v="57"/>
    <x v="19"/>
    <x v="4"/>
    <s v="02"/>
    <x v="5"/>
    <x v="1"/>
    <s v="Acquired"/>
    <x v="0"/>
    <n v="20"/>
  </r>
  <r>
    <x v="304"/>
    <s v="Berlin"/>
    <x v="22"/>
    <s v="NULL"/>
    <n v="0.1"/>
    <s v="0"/>
    <x v="0"/>
    <x v="146"/>
    <x v="18"/>
    <x v="2"/>
    <s v="01"/>
    <x v="2"/>
    <x v="1"/>
    <s v="Series C"/>
    <x v="7"/>
    <n v="332"/>
  </r>
  <r>
    <x v="305"/>
    <s v="Minneapolis"/>
    <x v="13"/>
    <n v="25"/>
    <n v="0.05"/>
    <s v="0"/>
    <x v="0"/>
    <x v="215"/>
    <x v="5"/>
    <x v="8"/>
    <s v="09"/>
    <x v="8"/>
    <x v="2"/>
    <s v="Series B"/>
    <x v="0"/>
    <n v="138"/>
  </r>
  <r>
    <x v="305"/>
    <s v="Minneapolis"/>
    <x v="21"/>
    <s v="NULL"/>
    <n v="0.15"/>
    <s v="0"/>
    <x v="1"/>
    <x v="218"/>
    <x v="23"/>
    <x v="0"/>
    <s v="07"/>
    <x v="3"/>
    <x v="0"/>
    <s v="Unknown"/>
    <x v="0"/>
    <n v="137"/>
  </r>
  <r>
    <x v="306"/>
    <s v="SF Bay Area"/>
    <x v="5"/>
    <n v="8"/>
    <s v="NULL"/>
    <s v="0"/>
    <x v="2"/>
    <x v="219"/>
    <x v="27"/>
    <x v="11"/>
    <s v="10"/>
    <x v="11"/>
    <x v="2"/>
    <s v="Series A"/>
    <x v="0"/>
    <n v="8"/>
  </r>
  <r>
    <x v="307"/>
    <s v="SF Bay Area"/>
    <x v="0"/>
    <s v="NULL"/>
    <n v="0.18"/>
    <s v="0"/>
    <x v="1"/>
    <x v="125"/>
    <x v="9"/>
    <x v="1"/>
    <s v="11"/>
    <x v="1"/>
    <x v="0"/>
    <s v="Post-IPO"/>
    <x v="0"/>
    <n v="162"/>
  </r>
  <r>
    <x v="308"/>
    <s v="Seattle"/>
    <x v="5"/>
    <n v="7"/>
    <n v="7.0000000000000007E-2"/>
    <s v="0"/>
    <x v="0"/>
    <x v="5"/>
    <x v="5"/>
    <x v="4"/>
    <s v="02"/>
    <x v="5"/>
    <x v="2"/>
    <s v="Unknown"/>
    <x v="0"/>
    <n v="2"/>
  </r>
  <r>
    <x v="309"/>
    <s v="Boston"/>
    <x v="9"/>
    <n v="24"/>
    <n v="0.14000000000000001"/>
    <s v="0"/>
    <x v="1"/>
    <x v="154"/>
    <x v="5"/>
    <x v="9"/>
    <s v="06"/>
    <x v="9"/>
    <x v="2"/>
    <s v="Series C"/>
    <x v="0"/>
    <n v="92"/>
  </r>
  <r>
    <x v="310"/>
    <s v="Tel Aviv"/>
    <x v="21"/>
    <n v="100"/>
    <n v="0.05"/>
    <s v="0"/>
    <x v="0"/>
    <x v="220"/>
    <x v="20"/>
    <x v="4"/>
    <s v="02"/>
    <x v="5"/>
    <x v="0"/>
    <s v="Unknown"/>
    <x v="16"/>
    <s v="NULL"/>
  </r>
  <r>
    <x v="311"/>
    <s v="SF Bay Area"/>
    <x v="4"/>
    <n v="60"/>
    <s v="NULL"/>
    <s v="0"/>
    <x v="2"/>
    <x v="99"/>
    <x v="23"/>
    <x v="11"/>
    <s v="10"/>
    <x v="11"/>
    <x v="0"/>
    <s v="Post-IPO"/>
    <x v="0"/>
    <n v="549"/>
  </r>
  <r>
    <x v="311"/>
    <s v="SF Bay Area"/>
    <x v="4"/>
    <n v="950"/>
    <n v="0.2"/>
    <s v="0"/>
    <x v="1"/>
    <x v="110"/>
    <x v="29"/>
    <x v="11"/>
    <s v="10"/>
    <x v="11"/>
    <x v="1"/>
    <s v="Post-IPO"/>
    <x v="0"/>
    <n v="549"/>
  </r>
  <r>
    <x v="311"/>
    <s v="SF Bay Area"/>
    <x v="4"/>
    <n v="1100"/>
    <n v="0.18"/>
    <s v="0"/>
    <x v="1"/>
    <x v="162"/>
    <x v="25"/>
    <x v="9"/>
    <s v="06"/>
    <x v="9"/>
    <x v="0"/>
    <s v="Post-IPO"/>
    <x v="0"/>
    <n v="549"/>
  </r>
  <r>
    <x v="312"/>
    <s v="Mumbai"/>
    <x v="4"/>
    <n v="80"/>
    <s v="NULL"/>
    <s v="0"/>
    <x v="2"/>
    <x v="193"/>
    <x v="29"/>
    <x v="1"/>
    <s v="11"/>
    <x v="1"/>
    <x v="1"/>
    <s v="Series D"/>
    <x v="6"/>
    <n v="244"/>
  </r>
  <r>
    <x v="313"/>
    <s v="Melbourne"/>
    <x v="4"/>
    <n v="10"/>
    <n v="0.2"/>
    <s v="0"/>
    <x v="1"/>
    <x v="125"/>
    <x v="9"/>
    <x v="1"/>
    <s v="11"/>
    <x v="1"/>
    <x v="0"/>
    <s v="Unknown"/>
    <x v="4"/>
    <n v="1"/>
  </r>
  <r>
    <x v="314"/>
    <s v="Toronto"/>
    <x v="4"/>
    <n v="30"/>
    <n v="0.24"/>
    <s v="0"/>
    <x v="1"/>
    <x v="221"/>
    <x v="2"/>
    <x v="0"/>
    <s v="07"/>
    <x v="3"/>
    <x v="0"/>
    <s v="Unknown"/>
    <x v="2"/>
    <n v="98"/>
  </r>
  <r>
    <x v="315"/>
    <s v="SF Bay Area"/>
    <x v="4"/>
    <n v="19"/>
    <s v="NULL"/>
    <s v="0"/>
    <x v="2"/>
    <x v="222"/>
    <x v="8"/>
    <x v="2"/>
    <s v="01"/>
    <x v="2"/>
    <x v="1"/>
    <s v="Series A"/>
    <x v="0"/>
    <n v="101"/>
  </r>
  <r>
    <x v="316"/>
    <s v="SF Bay Area"/>
    <x v="0"/>
    <n v="54"/>
    <s v="NULL"/>
    <s v="0"/>
    <x v="2"/>
    <x v="196"/>
    <x v="3"/>
    <x v="4"/>
    <s v="02"/>
    <x v="5"/>
    <x v="1"/>
    <s v="Series F"/>
    <x v="0"/>
    <n v="719"/>
  </r>
  <r>
    <x v="317"/>
    <s v="SF Bay Area"/>
    <x v="0"/>
    <n v="300"/>
    <s v="NULL"/>
    <s v="0"/>
    <x v="2"/>
    <x v="223"/>
    <x v="19"/>
    <x v="2"/>
    <s v="01"/>
    <x v="2"/>
    <x v="1"/>
    <s v="Series E"/>
    <x v="0"/>
    <n v="482"/>
  </r>
  <r>
    <x v="318"/>
    <s v="Boston"/>
    <x v="6"/>
    <n v="97"/>
    <s v="NULL"/>
    <s v="0"/>
    <x v="2"/>
    <x v="136"/>
    <x v="26"/>
    <x v="3"/>
    <s v="04"/>
    <x v="4"/>
    <x v="0"/>
    <s v="Series A"/>
    <x v="0"/>
    <n v="41"/>
  </r>
  <r>
    <x v="319"/>
    <s v="Albany"/>
    <x v="3"/>
    <n v="371"/>
    <n v="0.31"/>
    <s v="0"/>
    <x v="1"/>
    <x v="224"/>
    <x v="25"/>
    <x v="4"/>
    <s v="02"/>
    <x v="5"/>
    <x v="1"/>
    <s v="Acquired"/>
    <x v="0"/>
    <s v="NULL"/>
  </r>
  <r>
    <x v="320"/>
    <s v="New York City"/>
    <x v="12"/>
    <s v="NULL"/>
    <n v="1"/>
    <s v="1"/>
    <x v="3"/>
    <x v="56"/>
    <x v="7"/>
    <x v="8"/>
    <s v="09"/>
    <x v="8"/>
    <x v="0"/>
    <s v="Series D"/>
    <x v="0"/>
    <n v="125"/>
  </r>
  <r>
    <x v="320"/>
    <s v="New York City"/>
    <x v="12"/>
    <n v="22"/>
    <s v="NULL"/>
    <s v="0"/>
    <x v="2"/>
    <x v="225"/>
    <x v="3"/>
    <x v="10"/>
    <s v="05"/>
    <x v="10"/>
    <x v="0"/>
    <s v="Series D"/>
    <x v="0"/>
    <n v="130"/>
  </r>
  <r>
    <x v="321"/>
    <s v="Los Angeles"/>
    <x v="1"/>
    <n v="40"/>
    <n v="0.3"/>
    <s v="0"/>
    <x v="1"/>
    <x v="226"/>
    <x v="12"/>
    <x v="9"/>
    <s v="06"/>
    <x v="9"/>
    <x v="0"/>
    <s v="Unknown"/>
    <x v="0"/>
    <n v="40"/>
  </r>
  <r>
    <x v="322"/>
    <s v="New York City"/>
    <x v="20"/>
    <n v="271"/>
    <s v="NULL"/>
    <s v="0"/>
    <x v="2"/>
    <x v="15"/>
    <x v="13"/>
    <x v="8"/>
    <s v="09"/>
    <x v="8"/>
    <x v="0"/>
    <s v="Post-IPO"/>
    <x v="0"/>
    <n v="1600"/>
  </r>
  <r>
    <x v="322"/>
    <s v="New York City"/>
    <x v="20"/>
    <n v="375"/>
    <n v="0.15"/>
    <s v="0"/>
    <x v="1"/>
    <x v="180"/>
    <x v="27"/>
    <x v="6"/>
    <s v="03"/>
    <x v="7"/>
    <x v="2"/>
    <s v="Series G"/>
    <x v="0"/>
    <n v="1600"/>
  </r>
  <r>
    <x v="322"/>
    <s v="New York City"/>
    <x v="20"/>
    <n v="450"/>
    <n v="0.1"/>
    <s v="0"/>
    <x v="0"/>
    <x v="162"/>
    <x v="25"/>
    <x v="9"/>
    <s v="06"/>
    <x v="9"/>
    <x v="0"/>
    <s v="Post-IPO"/>
    <x v="0"/>
    <n v="1600"/>
  </r>
  <r>
    <x v="323"/>
    <s v="Tel Aviv"/>
    <x v="22"/>
    <n v="11"/>
    <n v="0.28000000000000003"/>
    <s v="0"/>
    <x v="1"/>
    <x v="227"/>
    <x v="7"/>
    <x v="7"/>
    <s v="12"/>
    <x v="0"/>
    <x v="0"/>
    <s v="Series A"/>
    <x v="16"/>
    <n v="17"/>
  </r>
  <r>
    <x v="324"/>
    <s v="SF Bay Area"/>
    <x v="13"/>
    <n v="221"/>
    <n v="0.08"/>
    <s v="0"/>
    <x v="0"/>
    <x v="228"/>
    <x v="16"/>
    <x v="2"/>
    <s v="01"/>
    <x v="2"/>
    <x v="1"/>
    <s v="Post-IPO"/>
    <x v="0"/>
    <n v="455"/>
  </r>
  <r>
    <x v="325"/>
    <s v="Denver"/>
    <x v="13"/>
    <s v="NULL"/>
    <n v="0.11"/>
    <s v="0"/>
    <x v="1"/>
    <x v="229"/>
    <x v="15"/>
    <x v="9"/>
    <s v="06"/>
    <x v="9"/>
    <x v="2"/>
    <s v="Acquired"/>
    <x v="0"/>
    <n v="117"/>
  </r>
  <r>
    <x v="326"/>
    <s v="Toronto"/>
    <x v="16"/>
    <n v="17"/>
    <n v="0.1"/>
    <s v="0"/>
    <x v="0"/>
    <x v="174"/>
    <x v="5"/>
    <x v="5"/>
    <s v="08"/>
    <x v="6"/>
    <x v="2"/>
    <s v="Unknown"/>
    <x v="2"/>
    <s v="NULL"/>
  </r>
  <r>
    <x v="327"/>
    <s v="New York City"/>
    <x v="4"/>
    <n v="91"/>
    <n v="0.14000000000000001"/>
    <s v="0"/>
    <x v="1"/>
    <x v="230"/>
    <x v="13"/>
    <x v="3"/>
    <s v="04"/>
    <x v="4"/>
    <x v="2"/>
    <s v="Unknown"/>
    <x v="0"/>
    <n v="10"/>
  </r>
  <r>
    <x v="327"/>
    <s v="New York City"/>
    <x v="4"/>
    <n v="100"/>
    <n v="0.11"/>
    <s v="0"/>
    <x v="1"/>
    <x v="110"/>
    <x v="29"/>
    <x v="11"/>
    <s v="10"/>
    <x v="11"/>
    <x v="1"/>
    <s v="Series D"/>
    <x v="0"/>
    <n v="726"/>
  </r>
  <r>
    <x v="328"/>
    <s v="SF Bay Area"/>
    <x v="18"/>
    <n v="13"/>
    <n v="1"/>
    <s v="1"/>
    <x v="3"/>
    <x v="104"/>
    <x v="16"/>
    <x v="6"/>
    <s v="03"/>
    <x v="7"/>
    <x v="2"/>
    <s v="Seed"/>
    <x v="0"/>
    <n v="5"/>
  </r>
  <r>
    <x v="329"/>
    <s v="Joinville"/>
    <x v="5"/>
    <n v="140"/>
    <n v="0.35"/>
    <s v="0"/>
    <x v="1"/>
    <x v="126"/>
    <x v="1"/>
    <x v="3"/>
    <s v="04"/>
    <x v="4"/>
    <x v="2"/>
    <s v="Series D"/>
    <x v="3"/>
    <n v="37"/>
  </r>
  <r>
    <x v="330"/>
    <s v="New York City"/>
    <x v="0"/>
    <n v="16"/>
    <n v="0.37"/>
    <s v="0"/>
    <x v="1"/>
    <x v="142"/>
    <x v="15"/>
    <x v="5"/>
    <s v="08"/>
    <x v="6"/>
    <x v="0"/>
    <s v="Post-IPO"/>
    <x v="0"/>
    <n v="380"/>
  </r>
  <r>
    <x v="331"/>
    <s v="New York City"/>
    <x v="20"/>
    <n v="150"/>
    <n v="0.18"/>
    <s v="0"/>
    <x v="1"/>
    <x v="180"/>
    <x v="27"/>
    <x v="6"/>
    <s v="03"/>
    <x v="7"/>
    <x v="2"/>
    <s v="Series D"/>
    <x v="0"/>
    <n v="280"/>
  </r>
  <r>
    <x v="332"/>
    <s v="Seattle"/>
    <x v="15"/>
    <s v="NULL"/>
    <n v="0.01"/>
    <s v="0"/>
    <x v="0"/>
    <x v="231"/>
    <x v="27"/>
    <x v="3"/>
    <s v="04"/>
    <x v="4"/>
    <x v="2"/>
    <s v="Series D"/>
    <x v="0"/>
    <n v="665"/>
  </r>
  <r>
    <x v="332"/>
    <s v="Seattle"/>
    <x v="15"/>
    <n v="90"/>
    <n v="7.0000000000000007E-2"/>
    <s v="0"/>
    <x v="0"/>
    <x v="153"/>
    <x v="6"/>
    <x v="8"/>
    <s v="09"/>
    <x v="8"/>
    <x v="0"/>
    <s v="Series E"/>
    <x v="0"/>
    <n v="1100"/>
  </r>
  <r>
    <x v="333"/>
    <s v="SF Bay Area"/>
    <x v="1"/>
    <n v="35"/>
    <s v="NULL"/>
    <s v="0"/>
    <x v="2"/>
    <x v="5"/>
    <x v="5"/>
    <x v="4"/>
    <s v="02"/>
    <x v="5"/>
    <x v="2"/>
    <s v="Series C"/>
    <x v="0"/>
    <n v="102"/>
  </r>
  <r>
    <x v="334"/>
    <s v="Austin"/>
    <x v="4"/>
    <s v="NULL"/>
    <n v="0.1"/>
    <s v="0"/>
    <x v="0"/>
    <x v="232"/>
    <x v="4"/>
    <x v="7"/>
    <s v="12"/>
    <x v="0"/>
    <x v="0"/>
    <s v="Post-IPO"/>
    <x v="0"/>
    <n v="169"/>
  </r>
  <r>
    <x v="335"/>
    <s v="Boston"/>
    <x v="12"/>
    <s v="NULL"/>
    <n v="0.14000000000000001"/>
    <s v="0"/>
    <x v="1"/>
    <x v="146"/>
    <x v="18"/>
    <x v="2"/>
    <s v="01"/>
    <x v="2"/>
    <x v="1"/>
    <s v="Series C"/>
    <x v="0"/>
    <n v="160"/>
  </r>
  <r>
    <x v="336"/>
    <s v="Cincinnati"/>
    <x v="12"/>
    <n v="30"/>
    <n v="0.2"/>
    <s v="0"/>
    <x v="1"/>
    <x v="37"/>
    <x v="0"/>
    <x v="10"/>
    <s v="05"/>
    <x v="10"/>
    <x v="0"/>
    <s v="Series B"/>
    <x v="0"/>
    <n v="70"/>
  </r>
  <r>
    <x v="337"/>
    <s v="Boston"/>
    <x v="1"/>
    <n v="20"/>
    <n v="0.2"/>
    <s v="0"/>
    <x v="1"/>
    <x v="19"/>
    <x v="5"/>
    <x v="2"/>
    <s v="01"/>
    <x v="2"/>
    <x v="2"/>
    <s v="Series A"/>
    <x v="0"/>
    <n v="16"/>
  </r>
  <r>
    <x v="338"/>
    <s v="SF Bay Area"/>
    <x v="12"/>
    <n v="22"/>
    <n v="0.14000000000000001"/>
    <s v="0"/>
    <x v="1"/>
    <x v="233"/>
    <x v="6"/>
    <x v="6"/>
    <s v="03"/>
    <x v="7"/>
    <x v="2"/>
    <s v="Series F"/>
    <x v="0"/>
    <n v="120"/>
  </r>
  <r>
    <x v="339"/>
    <s v="Sao Paulo"/>
    <x v="12"/>
    <s v="NULL"/>
    <n v="0.06"/>
    <s v="0"/>
    <x v="0"/>
    <x v="174"/>
    <x v="5"/>
    <x v="5"/>
    <s v="08"/>
    <x v="6"/>
    <x v="2"/>
    <s v="Series D"/>
    <x v="3"/>
    <n v="314"/>
  </r>
  <r>
    <x v="340"/>
    <s v="Bengaluru"/>
    <x v="5"/>
    <n v="170"/>
    <n v="1"/>
    <s v="1"/>
    <x v="3"/>
    <x v="16"/>
    <x v="14"/>
    <x v="9"/>
    <s v="06"/>
    <x v="9"/>
    <x v="0"/>
    <s v="Seed"/>
    <x v="6"/>
    <n v="3"/>
  </r>
  <r>
    <x v="341"/>
    <s v="Portland"/>
    <x v="20"/>
    <n v="24"/>
    <n v="0.22"/>
    <s v="0"/>
    <x v="1"/>
    <x v="234"/>
    <x v="6"/>
    <x v="2"/>
    <s v="01"/>
    <x v="2"/>
    <x v="2"/>
    <s v="Series C"/>
    <x v="0"/>
    <n v="24"/>
  </r>
  <r>
    <x v="342"/>
    <s v="SF Bay Area"/>
    <x v="10"/>
    <n v="150"/>
    <n v="0.08"/>
    <s v="0"/>
    <x v="0"/>
    <x v="235"/>
    <x v="25"/>
    <x v="10"/>
    <s v="05"/>
    <x v="10"/>
    <x v="2"/>
    <s v="Acquired"/>
    <x v="0"/>
    <n v="5300"/>
  </r>
  <r>
    <x v="343"/>
    <s v="Tokyo"/>
    <x v="11"/>
    <n v="85"/>
    <s v="NULL"/>
    <s v="0"/>
    <x v="2"/>
    <x v="145"/>
    <x v="12"/>
    <x v="4"/>
    <s v="02"/>
    <x v="5"/>
    <x v="1"/>
    <s v="Unknown"/>
    <x v="32"/>
    <n v="26"/>
  </r>
  <r>
    <x v="344"/>
    <s v="Singapore"/>
    <x v="4"/>
    <s v="NULL"/>
    <n v="0.2"/>
    <s v="0"/>
    <x v="1"/>
    <x v="45"/>
    <x v="29"/>
    <x v="7"/>
    <s v="12"/>
    <x v="0"/>
    <x v="1"/>
    <s v="Unknown"/>
    <x v="0"/>
    <s v="NULL"/>
  </r>
  <r>
    <x v="344"/>
    <s v="Singapore"/>
    <x v="4"/>
    <n v="260"/>
    <n v="0.05"/>
    <s v="0"/>
    <x v="0"/>
    <x v="48"/>
    <x v="6"/>
    <x v="11"/>
    <s v="10"/>
    <x v="11"/>
    <x v="0"/>
    <s v="Unknown"/>
    <x v="8"/>
    <n v="156"/>
  </r>
  <r>
    <x v="344"/>
    <s v="Singapore"/>
    <x v="4"/>
    <n v="2000"/>
    <n v="0.3"/>
    <s v="0"/>
    <x v="1"/>
    <x v="236"/>
    <x v="10"/>
    <x v="9"/>
    <s v="06"/>
    <x v="9"/>
    <x v="0"/>
    <s v="Unknown"/>
    <x v="8"/>
    <n v="156"/>
  </r>
  <r>
    <x v="345"/>
    <s v="Austin"/>
    <x v="30"/>
    <n v="62"/>
    <n v="0.09"/>
    <s v="0"/>
    <x v="0"/>
    <x v="183"/>
    <x v="30"/>
    <x v="2"/>
    <s v="01"/>
    <x v="2"/>
    <x v="1"/>
    <s v="Post-IPO"/>
    <x v="0"/>
    <n v="233"/>
  </r>
  <r>
    <x v="346"/>
    <s v="Vancouver"/>
    <x v="17"/>
    <n v="30"/>
    <n v="0.5"/>
    <s v="0"/>
    <x v="1"/>
    <x v="237"/>
    <x v="13"/>
    <x v="6"/>
    <s v="03"/>
    <x v="7"/>
    <x v="2"/>
    <s v="Seed"/>
    <x v="2"/>
    <n v="7"/>
  </r>
  <r>
    <x v="347"/>
    <s v="San Diego"/>
    <x v="0"/>
    <n v="170"/>
    <s v="NULL"/>
    <s v="0"/>
    <x v="2"/>
    <x v="60"/>
    <x v="2"/>
    <x v="9"/>
    <s v="06"/>
    <x v="9"/>
    <x v="0"/>
    <s v="Post-IPO"/>
    <x v="0"/>
    <n v="999"/>
  </r>
  <r>
    <x v="347"/>
    <s v="San Diego"/>
    <x v="0"/>
    <n v="388"/>
    <s v="NULL"/>
    <s v="0"/>
    <x v="2"/>
    <x v="90"/>
    <x v="29"/>
    <x v="10"/>
    <s v="05"/>
    <x v="10"/>
    <x v="1"/>
    <s v="Post-IPO"/>
    <x v="0"/>
    <n v="999"/>
  </r>
  <r>
    <x v="348"/>
    <s v="Melbourne"/>
    <x v="22"/>
    <n v="36"/>
    <n v="0.08"/>
    <s v="0"/>
    <x v="0"/>
    <x v="150"/>
    <x v="8"/>
    <x v="10"/>
    <s v="05"/>
    <x v="10"/>
    <x v="2"/>
    <s v="Series E"/>
    <x v="4"/>
    <n v="157"/>
  </r>
  <r>
    <x v="349"/>
    <s v="London"/>
    <x v="11"/>
    <n v="95"/>
    <n v="0.32"/>
    <s v="0"/>
    <x v="1"/>
    <x v="94"/>
    <x v="26"/>
    <x v="2"/>
    <s v="01"/>
    <x v="2"/>
    <x v="2"/>
    <s v="Series B"/>
    <x v="17"/>
    <n v="102"/>
  </r>
  <r>
    <x v="350"/>
    <s v="Los Angeles"/>
    <x v="0"/>
    <n v="109"/>
    <s v="NULL"/>
    <s v="0"/>
    <x v="2"/>
    <x v="15"/>
    <x v="13"/>
    <x v="8"/>
    <s v="09"/>
    <x v="8"/>
    <x v="0"/>
    <s v="Seed"/>
    <x v="0"/>
    <n v="8"/>
  </r>
  <r>
    <x v="351"/>
    <s v="Bengaluru"/>
    <x v="28"/>
    <n v="120"/>
    <s v="NULL"/>
    <s v="0"/>
    <x v="2"/>
    <x v="238"/>
    <x v="1"/>
    <x v="0"/>
    <s v="07"/>
    <x v="3"/>
    <x v="2"/>
    <s v="Series D"/>
    <x v="6"/>
    <n v="405"/>
  </r>
  <r>
    <x v="351"/>
    <s v="Bengaluru"/>
    <x v="28"/>
    <n v="800"/>
    <n v="0.16"/>
    <s v="0"/>
    <x v="1"/>
    <x v="189"/>
    <x v="26"/>
    <x v="3"/>
    <s v="04"/>
    <x v="4"/>
    <x v="2"/>
    <s v="Series D"/>
    <x v="6"/>
    <n v="404"/>
  </r>
  <r>
    <x v="352"/>
    <s v="SF Bay Area"/>
    <x v="0"/>
    <n v="150"/>
    <s v="NULL"/>
    <s v="0"/>
    <x v="2"/>
    <x v="239"/>
    <x v="17"/>
    <x v="6"/>
    <s v="03"/>
    <x v="7"/>
    <x v="0"/>
    <s v="Series D"/>
    <x v="0"/>
    <n v="19"/>
  </r>
  <r>
    <x v="353"/>
    <s v="London"/>
    <x v="12"/>
    <n v="65"/>
    <n v="0.1"/>
    <s v="0"/>
    <x v="0"/>
    <x v="6"/>
    <x v="6"/>
    <x v="2"/>
    <s v="01"/>
    <x v="2"/>
    <x v="0"/>
    <s v="Series C"/>
    <x v="17"/>
    <n v="182"/>
  </r>
  <r>
    <x v="354"/>
    <s v="Washington D.C."/>
    <x v="1"/>
    <n v="400"/>
    <n v="0.1"/>
    <s v="0"/>
    <x v="0"/>
    <x v="240"/>
    <x v="12"/>
    <x v="10"/>
    <s v="05"/>
    <x v="10"/>
    <x v="2"/>
    <s v="Acquired"/>
    <x v="0"/>
    <n v="146"/>
  </r>
  <r>
    <x v="355"/>
    <s v="Boston"/>
    <x v="21"/>
    <n v="100"/>
    <n v="0.06"/>
    <s v="0"/>
    <x v="0"/>
    <x v="6"/>
    <x v="6"/>
    <x v="2"/>
    <s v="01"/>
    <x v="2"/>
    <x v="0"/>
    <s v="Series F"/>
    <x v="0"/>
    <n v="750"/>
  </r>
  <r>
    <x v="355"/>
    <s v="Boston"/>
    <x v="21"/>
    <n v="200"/>
    <n v="0.17"/>
    <s v="0"/>
    <x v="1"/>
    <x v="78"/>
    <x v="16"/>
    <x v="11"/>
    <s v="10"/>
    <x v="11"/>
    <x v="0"/>
    <s v="Series F"/>
    <x v="0"/>
    <n v="750"/>
  </r>
  <r>
    <x v="356"/>
    <s v="SF Bay Area"/>
    <x v="21"/>
    <n v="30"/>
    <n v="0.15"/>
    <s v="0"/>
    <x v="1"/>
    <x v="39"/>
    <x v="20"/>
    <x v="5"/>
    <s v="08"/>
    <x v="6"/>
    <x v="0"/>
    <s v="Series C"/>
    <x v="0"/>
    <n v="153"/>
  </r>
  <r>
    <x v="357"/>
    <s v="Washington D.C."/>
    <x v="21"/>
    <n v="121"/>
    <s v="NULL"/>
    <s v="0"/>
    <x v="2"/>
    <x v="72"/>
    <x v="24"/>
    <x v="2"/>
    <s v="01"/>
    <x v="2"/>
    <x v="1"/>
    <s v="Post-IPO"/>
    <x v="0"/>
    <n v="161"/>
  </r>
  <r>
    <x v="358"/>
    <s v="Boston"/>
    <x v="0"/>
    <s v="NULL"/>
    <n v="0.7"/>
    <s v="0"/>
    <x v="4"/>
    <x v="134"/>
    <x v="13"/>
    <x v="2"/>
    <s v="01"/>
    <x v="2"/>
    <x v="1"/>
    <s v="Series C"/>
    <x v="0"/>
    <n v="156"/>
  </r>
  <r>
    <x v="359"/>
    <s v="SF Bay Area"/>
    <x v="17"/>
    <n v="34"/>
    <n v="0.13"/>
    <s v="0"/>
    <x v="1"/>
    <x v="64"/>
    <x v="5"/>
    <x v="6"/>
    <s v="03"/>
    <x v="7"/>
    <x v="2"/>
    <s v="Series D"/>
    <x v="0"/>
    <n v="247"/>
  </r>
  <r>
    <x v="360"/>
    <s v="Waterloo"/>
    <x v="5"/>
    <s v="NULL"/>
    <n v="0.05"/>
    <s v="0"/>
    <x v="0"/>
    <x v="55"/>
    <x v="17"/>
    <x v="1"/>
    <s v="11"/>
    <x v="1"/>
    <x v="0"/>
    <s v="Post-IPO"/>
    <x v="2"/>
    <n v="168"/>
  </r>
  <r>
    <x v="361"/>
    <s v="New York City"/>
    <x v="8"/>
    <s v="NULL"/>
    <n v="0.15"/>
    <s v="0"/>
    <x v="1"/>
    <x v="241"/>
    <x v="4"/>
    <x v="5"/>
    <s v="08"/>
    <x v="6"/>
    <x v="0"/>
    <s v="Series D"/>
    <x v="0"/>
    <n v="120"/>
  </r>
  <r>
    <x v="361"/>
    <s v="New York City"/>
    <x v="8"/>
    <n v="60"/>
    <n v="0.2"/>
    <s v="0"/>
    <x v="1"/>
    <x v="242"/>
    <x v="24"/>
    <x v="11"/>
    <s v="10"/>
    <x v="11"/>
    <x v="0"/>
    <s v="Series D"/>
    <x v="0"/>
    <n v="120"/>
  </r>
  <r>
    <x v="362"/>
    <s v="New York City"/>
    <x v="12"/>
    <s v="NULL"/>
    <n v="0.15"/>
    <s v="0"/>
    <x v="1"/>
    <x v="17"/>
    <x v="4"/>
    <x v="8"/>
    <s v="09"/>
    <x v="8"/>
    <x v="0"/>
    <s v="Unknown"/>
    <x v="0"/>
    <n v="814"/>
  </r>
  <r>
    <x v="363"/>
    <s v="New Delhi"/>
    <x v="13"/>
    <n v="40"/>
    <s v="NULL"/>
    <s v="0"/>
    <x v="2"/>
    <x v="243"/>
    <x v="2"/>
    <x v="10"/>
    <s v="05"/>
    <x v="10"/>
    <x v="0"/>
    <s v="Series A"/>
    <x v="6"/>
    <n v="23"/>
  </r>
  <r>
    <x v="364"/>
    <s v="Berlin"/>
    <x v="10"/>
    <s v="NULL"/>
    <n v="0.16"/>
    <s v="0"/>
    <x v="1"/>
    <x v="55"/>
    <x v="17"/>
    <x v="1"/>
    <s v="11"/>
    <x v="1"/>
    <x v="0"/>
    <s v="Unknown"/>
    <x v="7"/>
    <n v="63"/>
  </r>
  <r>
    <x v="365"/>
    <s v="Stockholm"/>
    <x v="3"/>
    <n v="200"/>
    <n v="0.15"/>
    <s v="0"/>
    <x v="1"/>
    <x v="153"/>
    <x v="6"/>
    <x v="8"/>
    <s v="09"/>
    <x v="8"/>
    <x v="0"/>
    <s v="Unknown"/>
    <x v="5"/>
    <s v="NULL"/>
  </r>
  <r>
    <x v="366"/>
    <s v="Vancouver"/>
    <x v="4"/>
    <s v="NULL"/>
    <n v="0.2"/>
    <s v="0"/>
    <x v="1"/>
    <x v="244"/>
    <x v="27"/>
    <x v="4"/>
    <s v="02"/>
    <x v="5"/>
    <x v="1"/>
    <s v="Series D"/>
    <x v="0"/>
    <n v="607"/>
  </r>
  <r>
    <x v="366"/>
    <s v="Vancouver"/>
    <x v="4"/>
    <n v="134"/>
    <n v="0.22"/>
    <s v="0"/>
    <x v="1"/>
    <x v="127"/>
    <x v="23"/>
    <x v="4"/>
    <s v="02"/>
    <x v="5"/>
    <x v="0"/>
    <s v="Series D"/>
    <x v="0"/>
    <n v="607"/>
  </r>
  <r>
    <x v="367"/>
    <s v="Singapore"/>
    <x v="3"/>
    <s v="NULL"/>
    <n v="0.11"/>
    <s v="0"/>
    <x v="1"/>
    <x v="197"/>
    <x v="24"/>
    <x v="9"/>
    <s v="06"/>
    <x v="9"/>
    <x v="1"/>
    <s v="Unknown"/>
    <x v="8"/>
    <s v="NULL"/>
  </r>
  <r>
    <x v="368"/>
    <s v="SF Bay Area"/>
    <x v="16"/>
    <n v="6"/>
    <n v="1"/>
    <s v="1"/>
    <x v="3"/>
    <x v="245"/>
    <x v="27"/>
    <x v="9"/>
    <s v="06"/>
    <x v="9"/>
    <x v="2"/>
    <s v="Seed"/>
    <x v="0"/>
    <n v="3"/>
  </r>
  <r>
    <x v="369"/>
    <s v="Tel Aviv"/>
    <x v="12"/>
    <n v="30"/>
    <n v="0.18"/>
    <s v="0"/>
    <x v="1"/>
    <x v="74"/>
    <x v="20"/>
    <x v="10"/>
    <s v="05"/>
    <x v="10"/>
    <x v="0"/>
    <s v="Series B"/>
    <x v="16"/>
    <n v="103"/>
  </r>
  <r>
    <x v="370"/>
    <s v="Boston"/>
    <x v="13"/>
    <s v="NULL"/>
    <n v="0.26"/>
    <s v="0"/>
    <x v="1"/>
    <x v="246"/>
    <x v="27"/>
    <x v="5"/>
    <s v="08"/>
    <x v="6"/>
    <x v="0"/>
    <s v="Series G"/>
    <x v="0"/>
    <n v="1000"/>
  </r>
  <r>
    <x v="370"/>
    <s v="Boston"/>
    <x v="13"/>
    <n v="70"/>
    <n v="7.0000000000000007E-2"/>
    <s v="0"/>
    <x v="0"/>
    <x v="247"/>
    <x v="26"/>
    <x v="1"/>
    <s v="11"/>
    <x v="1"/>
    <x v="0"/>
    <s v="Series G"/>
    <x v="0"/>
    <n v="1000"/>
  </r>
  <r>
    <x v="370"/>
    <s v="Boston"/>
    <x v="13"/>
    <n v="200"/>
    <s v="NULL"/>
    <s v="0"/>
    <x v="2"/>
    <x v="111"/>
    <x v="2"/>
    <x v="6"/>
    <s v="03"/>
    <x v="7"/>
    <x v="2"/>
    <s v="Series E"/>
    <x v="0"/>
    <n v="430"/>
  </r>
  <r>
    <x v="371"/>
    <s v="SF Bay Area"/>
    <x v="13"/>
    <n v="15"/>
    <s v="NULL"/>
    <s v="0"/>
    <x v="2"/>
    <x v="248"/>
    <x v="25"/>
    <x v="3"/>
    <s v="04"/>
    <x v="4"/>
    <x v="2"/>
    <s v="Series E"/>
    <x v="0"/>
    <n v="190"/>
  </r>
  <r>
    <x v="372"/>
    <s v="SF Bay Area"/>
    <x v="17"/>
    <s v="NULL"/>
    <n v="0.1"/>
    <s v="0"/>
    <x v="0"/>
    <x v="32"/>
    <x v="11"/>
    <x v="10"/>
    <s v="05"/>
    <x v="10"/>
    <x v="2"/>
    <s v="Series C"/>
    <x v="0"/>
    <n v="63"/>
  </r>
  <r>
    <x v="373"/>
    <s v="London"/>
    <x v="2"/>
    <n v="50"/>
    <n v="0.02"/>
    <s v="0"/>
    <x v="0"/>
    <x v="132"/>
    <x v="16"/>
    <x v="10"/>
    <s v="05"/>
    <x v="10"/>
    <x v="0"/>
    <s v="Unknown"/>
    <x v="17"/>
    <s v="NULL"/>
  </r>
  <r>
    <x v="374"/>
    <s v="Bengaluru"/>
    <x v="3"/>
    <n v="100"/>
    <n v="0.06"/>
    <s v="0"/>
    <x v="0"/>
    <x v="2"/>
    <x v="2"/>
    <x v="2"/>
    <s v="01"/>
    <x v="2"/>
    <x v="1"/>
    <s v="Series E"/>
    <x v="6"/>
    <n v="390"/>
  </r>
  <r>
    <x v="375"/>
    <s v="New York City"/>
    <x v="21"/>
    <s v="NULL"/>
    <n v="0.1"/>
    <s v="0"/>
    <x v="0"/>
    <x v="214"/>
    <x v="6"/>
    <x v="9"/>
    <s v="06"/>
    <x v="9"/>
    <x v="0"/>
    <s v="Series D"/>
    <x v="0"/>
    <n v="259"/>
  </r>
  <r>
    <x v="376"/>
    <s v="Boston"/>
    <x v="0"/>
    <n v="55"/>
    <n v="0.06"/>
    <s v="0"/>
    <x v="0"/>
    <x v="45"/>
    <x v="29"/>
    <x v="7"/>
    <s v="12"/>
    <x v="0"/>
    <x v="1"/>
    <s v="Post-IPO"/>
    <x v="0"/>
    <s v="NULL"/>
  </r>
  <r>
    <x v="377"/>
    <s v="SF Bay Area"/>
    <x v="5"/>
    <s v="NULL"/>
    <n v="0.15"/>
    <s v="0"/>
    <x v="1"/>
    <x v="97"/>
    <x v="9"/>
    <x v="9"/>
    <s v="06"/>
    <x v="9"/>
    <x v="0"/>
    <s v="Series D"/>
    <x v="0"/>
    <n v="411"/>
  </r>
  <r>
    <x v="378"/>
    <s v="Patna"/>
    <x v="8"/>
    <s v="NULL"/>
    <n v="0.05"/>
    <s v="0"/>
    <x v="0"/>
    <x v="119"/>
    <x v="15"/>
    <x v="2"/>
    <s v="01"/>
    <x v="2"/>
    <x v="1"/>
    <s v="Series E"/>
    <x v="6"/>
    <n v="254"/>
  </r>
  <r>
    <x v="379"/>
    <s v="SF Bay Area"/>
    <x v="3"/>
    <n v="669"/>
    <n v="1"/>
    <s v="1"/>
    <x v="3"/>
    <x v="249"/>
    <x v="3"/>
    <x v="10"/>
    <s v="05"/>
    <x v="10"/>
    <x v="2"/>
    <s v="Series C"/>
    <x v="0"/>
    <n v="80"/>
  </r>
  <r>
    <x v="380"/>
    <s v="London"/>
    <x v="8"/>
    <n v="350"/>
    <n v="0.09"/>
    <s v="0"/>
    <x v="0"/>
    <x v="109"/>
    <x v="24"/>
    <x v="8"/>
    <s v="09"/>
    <x v="8"/>
    <x v="1"/>
    <s v="Post-IPO"/>
    <x v="17"/>
    <n v="1700"/>
  </r>
  <r>
    <x v="380"/>
    <s v="London"/>
    <x v="8"/>
    <n v="367"/>
    <n v="0.15"/>
    <s v="0"/>
    <x v="1"/>
    <x v="71"/>
    <x v="8"/>
    <x v="3"/>
    <s v="04"/>
    <x v="4"/>
    <x v="2"/>
    <s v="Series G"/>
    <x v="17"/>
    <n v="1500"/>
  </r>
  <r>
    <x v="381"/>
    <s v="Melbourne"/>
    <x v="8"/>
    <n v="120"/>
    <n v="1"/>
    <s v="1"/>
    <x v="3"/>
    <x v="70"/>
    <x v="15"/>
    <x v="1"/>
    <s v="11"/>
    <x v="1"/>
    <x v="0"/>
    <s v="Post-IPO"/>
    <x v="4"/>
    <n v="1700"/>
  </r>
  <r>
    <x v="382"/>
    <s v="Berlin"/>
    <x v="8"/>
    <n v="100"/>
    <s v="NULL"/>
    <s v="0"/>
    <x v="2"/>
    <x v="30"/>
    <x v="23"/>
    <x v="6"/>
    <s v="03"/>
    <x v="7"/>
    <x v="0"/>
    <s v="Post-IPO"/>
    <x v="7"/>
    <n v="8300"/>
  </r>
  <r>
    <x v="382"/>
    <s v="Berlin"/>
    <x v="8"/>
    <n v="156"/>
    <n v="0.04"/>
    <s v="0"/>
    <x v="0"/>
    <x v="81"/>
    <x v="14"/>
    <x v="2"/>
    <s v="01"/>
    <x v="2"/>
    <x v="1"/>
    <s v="Post-IPO"/>
    <x v="7"/>
    <n v="9900"/>
  </r>
  <r>
    <x v="382"/>
    <s v="Berlin"/>
    <x v="8"/>
    <n v="300"/>
    <s v="NULL"/>
    <s v="0"/>
    <x v="2"/>
    <x v="250"/>
    <x v="28"/>
    <x v="7"/>
    <s v="12"/>
    <x v="0"/>
    <x v="3"/>
    <s v="Post-IPO"/>
    <x v="7"/>
    <n v="8300"/>
  </r>
  <r>
    <x v="383"/>
    <s v="Austin"/>
    <x v="26"/>
    <n v="6650"/>
    <n v="0.05"/>
    <s v="0"/>
    <x v="0"/>
    <x v="197"/>
    <x v="24"/>
    <x v="9"/>
    <s v="06"/>
    <x v="9"/>
    <x v="1"/>
    <s v="Post-IPO"/>
    <x v="0"/>
    <s v="NULL"/>
  </r>
  <r>
    <x v="384"/>
    <s v="SF Bay Area"/>
    <x v="7"/>
    <n v="27"/>
    <n v="0.03"/>
    <s v="0"/>
    <x v="0"/>
    <x v="251"/>
    <x v="7"/>
    <x v="0"/>
    <s v="07"/>
    <x v="3"/>
    <x v="0"/>
    <s v="Series H"/>
    <x v="0"/>
    <n v="143"/>
  </r>
  <r>
    <x v="385"/>
    <s v="Sydney"/>
    <x v="22"/>
    <n v="60"/>
    <n v="0.3"/>
    <s v="0"/>
    <x v="1"/>
    <x v="189"/>
    <x v="26"/>
    <x v="3"/>
    <s v="04"/>
    <x v="4"/>
    <x v="2"/>
    <s v="Series B"/>
    <x v="4"/>
    <n v="106"/>
  </r>
  <r>
    <x v="386"/>
    <s v="Santa Fe"/>
    <x v="13"/>
    <n v="12"/>
    <n v="0.16"/>
    <s v="0"/>
    <x v="1"/>
    <x v="206"/>
    <x v="6"/>
    <x v="4"/>
    <s v="02"/>
    <x v="5"/>
    <x v="2"/>
    <s v="Series B"/>
    <x v="0"/>
    <n v="58"/>
  </r>
  <r>
    <x v="387"/>
    <s v="Boston"/>
    <x v="18"/>
    <s v="NULL"/>
    <n v="0.12"/>
    <s v="0"/>
    <x v="1"/>
    <x v="143"/>
    <x v="3"/>
    <x v="9"/>
    <s v="06"/>
    <x v="9"/>
    <x v="0"/>
    <s v="Post-IPO"/>
    <x v="0"/>
    <n v="811"/>
  </r>
  <r>
    <x v="388"/>
    <s v="Boston"/>
    <x v="21"/>
    <s v="NULL"/>
    <n v="0.15"/>
    <s v="0"/>
    <x v="1"/>
    <x v="252"/>
    <x v="12"/>
    <x v="1"/>
    <s v="11"/>
    <x v="1"/>
    <x v="0"/>
    <s v="Series F"/>
    <x v="0"/>
    <n v="481"/>
  </r>
  <r>
    <x v="389"/>
    <s v="Sacramento"/>
    <x v="1"/>
    <n v="5"/>
    <n v="0.14000000000000001"/>
    <s v="0"/>
    <x v="1"/>
    <x v="27"/>
    <x v="21"/>
    <x v="6"/>
    <s v="03"/>
    <x v="7"/>
    <x v="2"/>
    <s v="Series B"/>
    <x v="0"/>
    <n v="26"/>
  </r>
  <r>
    <x v="390"/>
    <s v="Stamford"/>
    <x v="4"/>
    <n v="10"/>
    <n v="0.13"/>
    <s v="0"/>
    <x v="1"/>
    <x v="127"/>
    <x v="23"/>
    <x v="4"/>
    <s v="02"/>
    <x v="5"/>
    <x v="0"/>
    <s v="Unknown"/>
    <x v="0"/>
    <s v="NULL"/>
  </r>
  <r>
    <x v="391"/>
    <s v="Brisbane"/>
    <x v="4"/>
    <s v="NULL"/>
    <n v="1"/>
    <s v="1"/>
    <x v="3"/>
    <x v="51"/>
    <x v="20"/>
    <x v="8"/>
    <s v="09"/>
    <x v="8"/>
    <x v="0"/>
    <s v="Unknown"/>
    <x v="4"/>
    <s v="NULL"/>
  </r>
  <r>
    <x v="392"/>
    <s v="New York City"/>
    <x v="17"/>
    <n v="200"/>
    <n v="0.11"/>
    <s v="0"/>
    <x v="1"/>
    <x v="116"/>
    <x v="15"/>
    <x v="4"/>
    <s v="02"/>
    <x v="5"/>
    <x v="1"/>
    <s v="Post-IPO"/>
    <x v="0"/>
    <n v="491"/>
  </r>
  <r>
    <x v="393"/>
    <s v="Austin"/>
    <x v="30"/>
    <n v="75"/>
    <s v="NULL"/>
    <s v="0"/>
    <x v="2"/>
    <x v="111"/>
    <x v="2"/>
    <x v="6"/>
    <s v="03"/>
    <x v="7"/>
    <x v="2"/>
    <s v="Series E"/>
    <x v="0"/>
    <n v="133"/>
  </r>
  <r>
    <x v="394"/>
    <s v="Boston"/>
    <x v="18"/>
    <s v="NULL"/>
    <n v="0.38"/>
    <s v="0"/>
    <x v="1"/>
    <x v="126"/>
    <x v="1"/>
    <x v="3"/>
    <s v="04"/>
    <x v="4"/>
    <x v="2"/>
    <s v="Series A"/>
    <x v="0"/>
    <n v="18"/>
  </r>
  <r>
    <x v="395"/>
    <s v="Los Angeles"/>
    <x v="10"/>
    <n v="57"/>
    <n v="0.36"/>
    <s v="0"/>
    <x v="1"/>
    <x v="24"/>
    <x v="18"/>
    <x v="3"/>
    <s v="04"/>
    <x v="4"/>
    <x v="2"/>
    <s v="Series B"/>
    <x v="0"/>
    <n v="88"/>
  </r>
  <r>
    <x v="396"/>
    <s v="SF Bay Area"/>
    <x v="20"/>
    <s v="NULL"/>
    <n v="0.08"/>
    <s v="0"/>
    <x v="0"/>
    <x v="216"/>
    <x v="0"/>
    <x v="6"/>
    <s v="03"/>
    <x v="7"/>
    <x v="2"/>
    <s v="Series B"/>
    <x v="0"/>
    <n v="180"/>
  </r>
  <r>
    <x v="396"/>
    <s v="SF Bay Area"/>
    <x v="20"/>
    <n v="40"/>
    <n v="0.12"/>
    <s v="0"/>
    <x v="1"/>
    <x v="253"/>
    <x v="2"/>
    <x v="8"/>
    <s v="09"/>
    <x v="8"/>
    <x v="0"/>
    <s v="Series B"/>
    <x v="0"/>
    <n v="180"/>
  </r>
  <r>
    <x v="397"/>
    <s v="Davenport"/>
    <x v="0"/>
    <n v="62"/>
    <s v="NULL"/>
    <s v="0"/>
    <x v="2"/>
    <x v="254"/>
    <x v="26"/>
    <x v="9"/>
    <s v="06"/>
    <x v="9"/>
    <x v="0"/>
    <s v="Acquired"/>
    <x v="0"/>
    <n v="0"/>
  </r>
  <r>
    <x v="398"/>
    <s v="Sao Paulo"/>
    <x v="12"/>
    <n v="190"/>
    <n v="0.12"/>
    <s v="0"/>
    <x v="1"/>
    <x v="218"/>
    <x v="23"/>
    <x v="0"/>
    <s v="07"/>
    <x v="3"/>
    <x v="0"/>
    <s v="Private Equity"/>
    <x v="3"/>
    <n v="280"/>
  </r>
  <r>
    <x v="399"/>
    <s v="London"/>
    <x v="0"/>
    <n v="8"/>
    <n v="0.8"/>
    <s v="0"/>
    <x v="3"/>
    <x v="255"/>
    <x v="30"/>
    <x v="5"/>
    <s v="08"/>
    <x v="6"/>
    <x v="2"/>
    <s v="Seed"/>
    <x v="17"/>
    <n v="16"/>
  </r>
  <r>
    <x v="400"/>
    <s v="SF Bay Area"/>
    <x v="7"/>
    <n v="671"/>
    <n v="0.09"/>
    <s v="0"/>
    <x v="0"/>
    <x v="256"/>
    <x v="8"/>
    <x v="8"/>
    <s v="09"/>
    <x v="8"/>
    <x v="0"/>
    <s v="Post-IPO"/>
    <x v="0"/>
    <n v="536"/>
  </r>
  <r>
    <x v="400"/>
    <s v="SF Bay Area"/>
    <x v="7"/>
    <n v="680"/>
    <n v="0.1"/>
    <s v="0"/>
    <x v="0"/>
    <x v="257"/>
    <x v="17"/>
    <x v="4"/>
    <s v="02"/>
    <x v="5"/>
    <x v="1"/>
    <s v="Post-IPO"/>
    <x v="0"/>
    <n v="536"/>
  </r>
  <r>
    <x v="401"/>
    <s v="SF Bay Area"/>
    <x v="12"/>
    <n v="250"/>
    <n v="0.13"/>
    <s v="0"/>
    <x v="1"/>
    <x v="4"/>
    <x v="4"/>
    <x v="3"/>
    <s v="04"/>
    <x v="4"/>
    <x v="0"/>
    <s v="Post-IPO"/>
    <x v="0"/>
    <n v="679"/>
  </r>
  <r>
    <x v="401"/>
    <s v="SF Bay Area"/>
    <x v="12"/>
    <n v="310"/>
    <n v="0.15"/>
    <s v="0"/>
    <x v="1"/>
    <x v="194"/>
    <x v="26"/>
    <x v="11"/>
    <s v="10"/>
    <x v="11"/>
    <x v="0"/>
    <s v="Post-IPO"/>
    <x v="0"/>
    <n v="679"/>
  </r>
  <r>
    <x v="401"/>
    <s v="SF Bay Area"/>
    <x v="12"/>
    <n v="515"/>
    <n v="0.4"/>
    <s v="0"/>
    <x v="1"/>
    <x v="26"/>
    <x v="20"/>
    <x v="9"/>
    <s v="06"/>
    <x v="9"/>
    <x v="0"/>
    <s v="Post-IPO"/>
    <x v="0"/>
    <n v="679"/>
  </r>
  <r>
    <x v="402"/>
    <s v="SF Bay Area"/>
    <x v="5"/>
    <n v="150"/>
    <n v="0.19"/>
    <s v="0"/>
    <x v="1"/>
    <x v="258"/>
    <x v="8"/>
    <x v="3"/>
    <s v="04"/>
    <x v="4"/>
    <x v="0"/>
    <s v="Series D"/>
    <x v="0"/>
    <n v="130"/>
  </r>
  <r>
    <x v="403"/>
    <s v="SF Bay Area"/>
    <x v="13"/>
    <s v="NULL"/>
    <n v="0.25"/>
    <s v="0"/>
    <x v="1"/>
    <x v="218"/>
    <x v="23"/>
    <x v="0"/>
    <s v="07"/>
    <x v="3"/>
    <x v="0"/>
    <s v="Series F"/>
    <x v="0"/>
    <n v="223"/>
  </r>
  <r>
    <x v="404"/>
    <s v="New York City"/>
    <x v="20"/>
    <s v="NULL"/>
    <n v="0.5"/>
    <s v="0"/>
    <x v="1"/>
    <x v="259"/>
    <x v="11"/>
    <x v="1"/>
    <s v="11"/>
    <x v="1"/>
    <x v="2"/>
    <s v="Series B"/>
    <x v="0"/>
    <n v="116"/>
  </r>
  <r>
    <x v="404"/>
    <s v="New York City"/>
    <x v="14"/>
    <s v="NULL"/>
    <n v="0.3"/>
    <s v="0"/>
    <x v="1"/>
    <x v="27"/>
    <x v="21"/>
    <x v="6"/>
    <s v="03"/>
    <x v="7"/>
    <x v="2"/>
    <s v="Series B"/>
    <x v="0"/>
    <n v="116"/>
  </r>
  <r>
    <x v="405"/>
    <s v="Salt Lake City"/>
    <x v="13"/>
    <n v="90"/>
    <n v="0.1"/>
    <s v="0"/>
    <x v="0"/>
    <x v="215"/>
    <x v="5"/>
    <x v="8"/>
    <s v="09"/>
    <x v="8"/>
    <x v="2"/>
    <s v="Post-IPO"/>
    <x v="0"/>
    <n v="689"/>
  </r>
  <r>
    <x v="406"/>
    <s v="Vancouver"/>
    <x v="7"/>
    <n v="12"/>
    <s v="NULL"/>
    <s v="0"/>
    <x v="2"/>
    <x v="17"/>
    <x v="4"/>
    <x v="8"/>
    <s v="09"/>
    <x v="8"/>
    <x v="0"/>
    <s v="Series B"/>
    <x v="2"/>
    <n v="102"/>
  </r>
  <r>
    <x v="407"/>
    <s v="SF Bay Area"/>
    <x v="8"/>
    <n v="1250"/>
    <n v="0.06"/>
    <s v="0"/>
    <x v="0"/>
    <x v="260"/>
    <x v="14"/>
    <x v="1"/>
    <s v="11"/>
    <x v="1"/>
    <x v="0"/>
    <s v="Post-IPO"/>
    <x v="0"/>
    <n v="2500"/>
  </r>
  <r>
    <x v="408"/>
    <s v="London"/>
    <x v="16"/>
    <n v="10"/>
    <n v="1"/>
    <s v="1"/>
    <x v="3"/>
    <x v="261"/>
    <x v="30"/>
    <x v="10"/>
    <s v="05"/>
    <x v="10"/>
    <x v="2"/>
    <s v="Unknown"/>
    <x v="17"/>
    <s v="NULL"/>
  </r>
  <r>
    <x v="409"/>
    <s v="SF Bay Area"/>
    <x v="19"/>
    <n v="23"/>
    <n v="0.3"/>
    <s v="0"/>
    <x v="1"/>
    <x v="262"/>
    <x v="16"/>
    <x v="0"/>
    <s v="07"/>
    <x v="3"/>
    <x v="0"/>
    <s v="Series A"/>
    <x v="0"/>
    <n v="22"/>
  </r>
  <r>
    <x v="410"/>
    <s v="Boston"/>
    <x v="2"/>
    <n v="140"/>
    <n v="0.04"/>
    <s v="0"/>
    <x v="0"/>
    <x v="72"/>
    <x v="24"/>
    <x v="2"/>
    <s v="01"/>
    <x v="2"/>
    <x v="1"/>
    <s v="Post-IPO"/>
    <x v="0"/>
    <n v="719"/>
  </r>
  <r>
    <x v="411"/>
    <s v="Boston"/>
    <x v="1"/>
    <n v="59"/>
    <s v="NULL"/>
    <s v="0"/>
    <x v="2"/>
    <x v="197"/>
    <x v="24"/>
    <x v="9"/>
    <s v="06"/>
    <x v="9"/>
    <x v="1"/>
    <s v="Acquired"/>
    <x v="0"/>
    <n v="107"/>
  </r>
  <r>
    <x v="412"/>
    <s v="Salt Lake City"/>
    <x v="1"/>
    <n v="20"/>
    <s v="NULL"/>
    <s v="0"/>
    <x v="2"/>
    <x v="180"/>
    <x v="27"/>
    <x v="6"/>
    <s v="03"/>
    <x v="7"/>
    <x v="2"/>
    <s v="Acquired"/>
    <x v="0"/>
    <n v="0"/>
  </r>
  <r>
    <x v="413"/>
    <s v="Jersey City"/>
    <x v="12"/>
    <s v="NULL"/>
    <n v="0.2"/>
    <s v="0"/>
    <x v="1"/>
    <x v="228"/>
    <x v="16"/>
    <x v="2"/>
    <s v="01"/>
    <x v="2"/>
    <x v="1"/>
    <s v="Series D"/>
    <x v="0"/>
    <n v="550"/>
  </r>
  <r>
    <x v="414"/>
    <s v="Toronto"/>
    <x v="1"/>
    <n v="24"/>
    <s v="NULL"/>
    <s v="0"/>
    <x v="2"/>
    <x v="79"/>
    <x v="23"/>
    <x v="2"/>
    <s v="01"/>
    <x v="2"/>
    <x v="0"/>
    <s v="Series B"/>
    <x v="2"/>
    <n v="56"/>
  </r>
  <r>
    <x v="415"/>
    <s v="SF Bay Area"/>
    <x v="18"/>
    <n v="315"/>
    <n v="0.15"/>
    <s v="0"/>
    <x v="1"/>
    <x v="263"/>
    <x v="3"/>
    <x v="2"/>
    <s v="01"/>
    <x v="2"/>
    <x v="3"/>
    <s v="Post-IPO"/>
    <x v="0"/>
    <n v="1700"/>
  </r>
  <r>
    <x v="416"/>
    <s v="Salt Lake City"/>
    <x v="3"/>
    <n v="12"/>
    <s v="NULL"/>
    <s v="0"/>
    <x v="2"/>
    <x v="64"/>
    <x v="5"/>
    <x v="6"/>
    <s v="03"/>
    <x v="7"/>
    <x v="2"/>
    <s v="Series A"/>
    <x v="0"/>
    <n v="4"/>
  </r>
  <r>
    <x v="417"/>
    <s v="Raleigh"/>
    <x v="18"/>
    <s v="NULL"/>
    <n v="0.2"/>
    <s v="0"/>
    <x v="1"/>
    <x v="46"/>
    <x v="15"/>
    <x v="3"/>
    <s v="04"/>
    <x v="4"/>
    <x v="2"/>
    <s v="Acquired"/>
    <x v="0"/>
    <n v="100"/>
  </r>
  <r>
    <x v="418"/>
    <s v="Bengaluru"/>
    <x v="3"/>
    <n v="23"/>
    <s v="NULL"/>
    <s v="0"/>
    <x v="2"/>
    <x v="264"/>
    <x v="21"/>
    <x v="11"/>
    <s v="10"/>
    <x v="11"/>
    <x v="0"/>
    <s v="Series A"/>
    <x v="6"/>
    <n v="17"/>
  </r>
  <r>
    <x v="419"/>
    <s v="Bengaluru"/>
    <x v="8"/>
    <s v="NULL"/>
    <n v="0.03"/>
    <s v="0"/>
    <x v="0"/>
    <x v="213"/>
    <x v="17"/>
    <x v="2"/>
    <s v="01"/>
    <x v="2"/>
    <x v="1"/>
    <s v="Unknown"/>
    <x v="6"/>
    <n v="382"/>
  </r>
  <r>
    <x v="420"/>
    <s v="Bend"/>
    <x v="18"/>
    <n v="50"/>
    <n v="7.0000000000000007E-2"/>
    <s v="0"/>
    <x v="0"/>
    <x v="214"/>
    <x v="6"/>
    <x v="9"/>
    <s v="06"/>
    <x v="9"/>
    <x v="0"/>
    <s v="Series D"/>
    <x v="0"/>
    <n v="603"/>
  </r>
  <r>
    <x v="421"/>
    <s v="Bengaluru"/>
    <x v="5"/>
    <s v="NULL"/>
    <n v="1"/>
    <s v="1"/>
    <x v="3"/>
    <x v="265"/>
    <x v="8"/>
    <x v="4"/>
    <s v="02"/>
    <x v="5"/>
    <x v="1"/>
    <s v="Unknown"/>
    <x v="6"/>
    <s v="NULL"/>
  </r>
  <r>
    <x v="422"/>
    <s v="SF Bay Area"/>
    <x v="22"/>
    <n v="35"/>
    <n v="0.19"/>
    <s v="0"/>
    <x v="1"/>
    <x v="5"/>
    <x v="5"/>
    <x v="4"/>
    <s v="02"/>
    <x v="5"/>
    <x v="2"/>
    <s v="Series E"/>
    <x v="0"/>
    <n v="114"/>
  </r>
  <r>
    <x v="423"/>
    <s v="SF Bay Area"/>
    <x v="12"/>
    <n v="50"/>
    <n v="0.2"/>
    <s v="0"/>
    <x v="1"/>
    <x v="19"/>
    <x v="5"/>
    <x v="2"/>
    <s v="01"/>
    <x v="2"/>
    <x v="2"/>
    <s v="Series C"/>
    <x v="0"/>
    <n v="190"/>
  </r>
  <r>
    <x v="424"/>
    <s v="Nashville"/>
    <x v="10"/>
    <s v="NULL"/>
    <n v="1"/>
    <s v="1"/>
    <x v="3"/>
    <x v="183"/>
    <x v="30"/>
    <x v="2"/>
    <s v="01"/>
    <x v="2"/>
    <x v="1"/>
    <s v="Unknown"/>
    <x v="0"/>
    <n v="2"/>
  </r>
  <r>
    <x v="425"/>
    <s v="Salt Lake City"/>
    <x v="15"/>
    <n v="75"/>
    <s v="NULL"/>
    <s v="0"/>
    <x v="2"/>
    <x v="266"/>
    <x v="19"/>
    <x v="1"/>
    <s v="11"/>
    <x v="1"/>
    <x v="2"/>
    <s v="Series A"/>
    <x v="0"/>
    <n v="12"/>
  </r>
  <r>
    <x v="425"/>
    <s v="SF Bay Area"/>
    <x v="15"/>
    <n v="50"/>
    <n v="0.25"/>
    <s v="0"/>
    <x v="1"/>
    <x v="211"/>
    <x v="3"/>
    <x v="3"/>
    <s v="04"/>
    <x v="4"/>
    <x v="2"/>
    <s v="Series A"/>
    <x v="0"/>
    <n v="12"/>
  </r>
  <r>
    <x v="426"/>
    <s v="SF Bay Area"/>
    <x v="8"/>
    <n v="40"/>
    <s v="NULL"/>
    <s v="0"/>
    <x v="2"/>
    <x v="267"/>
    <x v="18"/>
    <x v="4"/>
    <s v="02"/>
    <x v="5"/>
    <x v="1"/>
    <s v="Unknown"/>
    <x v="0"/>
    <n v="465"/>
  </r>
  <r>
    <x v="427"/>
    <s v="Singapore"/>
    <x v="8"/>
    <n v="20"/>
    <n v="1"/>
    <s v="1"/>
    <x v="3"/>
    <x v="268"/>
    <x v="4"/>
    <x v="5"/>
    <s v="08"/>
    <x v="6"/>
    <x v="2"/>
    <s v="Seed"/>
    <x v="8"/>
    <n v="1"/>
  </r>
  <r>
    <x v="428"/>
    <s v="SF Bay Area"/>
    <x v="2"/>
    <n v="25"/>
    <s v="NULL"/>
    <s v="0"/>
    <x v="2"/>
    <x v="6"/>
    <x v="6"/>
    <x v="2"/>
    <s v="01"/>
    <x v="2"/>
    <x v="0"/>
    <s v="Series D"/>
    <x v="0"/>
    <n v="202"/>
  </r>
  <r>
    <x v="429"/>
    <s v="Curitiba"/>
    <x v="12"/>
    <n v="62"/>
    <n v="0.08"/>
    <s v="0"/>
    <x v="0"/>
    <x v="269"/>
    <x v="2"/>
    <x v="10"/>
    <s v="05"/>
    <x v="10"/>
    <x v="2"/>
    <s v="Unknown"/>
    <x v="3"/>
    <n v="30"/>
  </r>
  <r>
    <x v="429"/>
    <s v="Curitiba"/>
    <x v="12"/>
    <n v="340"/>
    <n v="0.2"/>
    <s v="0"/>
    <x v="1"/>
    <x v="226"/>
    <x v="12"/>
    <x v="9"/>
    <s v="06"/>
    <x v="9"/>
    <x v="0"/>
    <s v="Series B"/>
    <x v="3"/>
    <n v="460"/>
  </r>
  <r>
    <x v="430"/>
    <s v="SF Bay Area"/>
    <x v="3"/>
    <n v="500"/>
    <n v="0.04"/>
    <s v="0"/>
    <x v="0"/>
    <x v="270"/>
    <x v="24"/>
    <x v="0"/>
    <s v="07"/>
    <x v="3"/>
    <x v="1"/>
    <s v="Post-IPO"/>
    <x v="0"/>
    <n v="1200"/>
  </r>
  <r>
    <x v="431"/>
    <s v="Toronto"/>
    <x v="6"/>
    <n v="47"/>
    <n v="0.1"/>
    <s v="0"/>
    <x v="0"/>
    <x v="104"/>
    <x v="16"/>
    <x v="6"/>
    <s v="03"/>
    <x v="7"/>
    <x v="2"/>
    <s v="Series C"/>
    <x v="2"/>
    <n v="149"/>
  </r>
  <r>
    <x v="432"/>
    <s v="New York City"/>
    <x v="20"/>
    <n v="40"/>
    <n v="0.4"/>
    <s v="0"/>
    <x v="1"/>
    <x v="174"/>
    <x v="5"/>
    <x v="5"/>
    <s v="08"/>
    <x v="6"/>
    <x v="2"/>
    <s v="Series B"/>
    <x v="0"/>
    <n v="40"/>
  </r>
  <r>
    <x v="433"/>
    <s v="Phoenix"/>
    <x v="17"/>
    <n v="95"/>
    <n v="0.1"/>
    <s v="0"/>
    <x v="0"/>
    <x v="271"/>
    <x v="3"/>
    <x v="7"/>
    <s v="12"/>
    <x v="0"/>
    <x v="0"/>
    <s v="Post-IPO"/>
    <x v="0"/>
    <n v="462"/>
  </r>
  <r>
    <x v="434"/>
    <s v="Seattle"/>
    <x v="0"/>
    <n v="30"/>
    <s v="NULL"/>
    <s v="0"/>
    <x v="2"/>
    <x v="134"/>
    <x v="13"/>
    <x v="2"/>
    <s v="01"/>
    <x v="2"/>
    <x v="1"/>
    <s v="Unknown"/>
    <x v="0"/>
    <n v="1"/>
  </r>
  <r>
    <x v="435"/>
    <s v="Boston"/>
    <x v="0"/>
    <s v="NULL"/>
    <n v="0.2"/>
    <s v="0"/>
    <x v="1"/>
    <x v="272"/>
    <x v="29"/>
    <x v="8"/>
    <s v="09"/>
    <x v="8"/>
    <x v="1"/>
    <s v="Post-IPO"/>
    <x v="0"/>
    <n v="656"/>
  </r>
  <r>
    <x v="436"/>
    <s v="SF Bay Area"/>
    <x v="5"/>
    <s v="NULL"/>
    <n v="1"/>
    <s v="1"/>
    <x v="3"/>
    <x v="47"/>
    <x v="17"/>
    <x v="5"/>
    <s v="08"/>
    <x v="6"/>
    <x v="0"/>
    <s v="Acquired"/>
    <x v="0"/>
    <n v="77"/>
  </r>
  <r>
    <x v="437"/>
    <s v="Munich"/>
    <x v="28"/>
    <n v="100"/>
    <n v="0.25"/>
    <s v="0"/>
    <x v="1"/>
    <x v="5"/>
    <x v="5"/>
    <x v="4"/>
    <s v="02"/>
    <x v="5"/>
    <x v="2"/>
    <s v="Series D"/>
    <x v="7"/>
    <n v="109"/>
  </r>
  <r>
    <x v="438"/>
    <s v="New York City"/>
    <x v="3"/>
    <s v="NULL"/>
    <n v="0.2"/>
    <s v="0"/>
    <x v="1"/>
    <x v="180"/>
    <x v="27"/>
    <x v="6"/>
    <s v="03"/>
    <x v="7"/>
    <x v="2"/>
    <s v="Series C"/>
    <x v="0"/>
    <n v="70"/>
  </r>
  <r>
    <x v="439"/>
    <s v="SF Bay Area"/>
    <x v="19"/>
    <n v="84"/>
    <n v="1"/>
    <s v="1"/>
    <x v="3"/>
    <x v="157"/>
    <x v="30"/>
    <x v="6"/>
    <s v="03"/>
    <x v="7"/>
    <x v="2"/>
    <s v="Unknown"/>
    <x v="0"/>
    <s v="NULL"/>
  </r>
  <r>
    <x v="440"/>
    <s v="SF Bay Area"/>
    <x v="13"/>
    <s v="NULL"/>
    <n v="0.13"/>
    <s v="0"/>
    <x v="1"/>
    <x v="260"/>
    <x v="14"/>
    <x v="1"/>
    <s v="11"/>
    <x v="1"/>
    <x v="0"/>
    <s v="Post-IPO"/>
    <x v="0"/>
    <n v="162"/>
  </r>
  <r>
    <x v="441"/>
    <s v="New York City"/>
    <x v="18"/>
    <n v="81"/>
    <s v="NULL"/>
    <s v="0"/>
    <x v="2"/>
    <x v="273"/>
    <x v="14"/>
    <x v="5"/>
    <s v="08"/>
    <x v="6"/>
    <x v="0"/>
    <s v="Series D"/>
    <x v="0"/>
    <n v="212"/>
  </r>
  <r>
    <x v="441"/>
    <s v="New York City"/>
    <x v="18"/>
    <n v="141"/>
    <n v="0.25"/>
    <s v="0"/>
    <x v="1"/>
    <x v="196"/>
    <x v="3"/>
    <x v="4"/>
    <s v="02"/>
    <x v="5"/>
    <x v="1"/>
    <s v="Series D"/>
    <x v="0"/>
    <n v="212"/>
  </r>
  <r>
    <x v="442"/>
    <s v="Baton Rouge"/>
    <x v="2"/>
    <n v="200"/>
    <s v="NULL"/>
    <s v="0"/>
    <x v="2"/>
    <x v="265"/>
    <x v="8"/>
    <x v="4"/>
    <s v="02"/>
    <x v="5"/>
    <x v="1"/>
    <s v="Post-IPO"/>
    <x v="0"/>
    <n v="2"/>
  </r>
  <r>
    <x v="443"/>
    <s v="London"/>
    <x v="18"/>
    <s v="NULL"/>
    <n v="0.15"/>
    <s v="0"/>
    <x v="1"/>
    <x v="274"/>
    <x v="0"/>
    <x v="7"/>
    <s v="12"/>
    <x v="0"/>
    <x v="0"/>
    <s v="Series B"/>
    <x v="17"/>
    <n v="96"/>
  </r>
  <r>
    <x v="444"/>
    <s v="Montreal"/>
    <x v="18"/>
    <n v="62"/>
    <n v="0.15"/>
    <s v="0"/>
    <x v="1"/>
    <x v="189"/>
    <x v="26"/>
    <x v="3"/>
    <s v="04"/>
    <x v="4"/>
    <x v="2"/>
    <s v="Series B"/>
    <x v="2"/>
    <n v="257"/>
  </r>
  <r>
    <x v="445"/>
    <s v="SF Bay Area"/>
    <x v="13"/>
    <n v="10"/>
    <s v="NULL"/>
    <s v="0"/>
    <x v="2"/>
    <x v="216"/>
    <x v="0"/>
    <x v="6"/>
    <s v="03"/>
    <x v="7"/>
    <x v="2"/>
    <s v="Series A"/>
    <x v="0"/>
    <n v="22"/>
  </r>
  <r>
    <x v="446"/>
    <s v="Tel Aviv"/>
    <x v="11"/>
    <n v="60"/>
    <n v="0.15"/>
    <s v="0"/>
    <x v="1"/>
    <x v="40"/>
    <x v="15"/>
    <x v="9"/>
    <s v="06"/>
    <x v="9"/>
    <x v="0"/>
    <s v="Unknown"/>
    <x v="16"/>
    <n v="65"/>
  </r>
  <r>
    <x v="447"/>
    <s v="Berlin"/>
    <x v="12"/>
    <n v="43"/>
    <n v="0.33"/>
    <s v="0"/>
    <x v="1"/>
    <x v="275"/>
    <x v="12"/>
    <x v="11"/>
    <s v="10"/>
    <x v="11"/>
    <x v="0"/>
    <s v="Unknown"/>
    <x v="7"/>
    <n v="30"/>
  </r>
  <r>
    <x v="448"/>
    <s v="London"/>
    <x v="4"/>
    <s v="NULL"/>
    <n v="0.3"/>
    <s v="0"/>
    <x v="1"/>
    <x v="215"/>
    <x v="5"/>
    <x v="8"/>
    <s v="09"/>
    <x v="8"/>
    <x v="2"/>
    <s v="Series B"/>
    <x v="17"/>
    <n v="40"/>
  </r>
  <r>
    <x v="449"/>
    <s v="Boston"/>
    <x v="0"/>
    <n v="41"/>
    <s v="NULL"/>
    <s v="0"/>
    <x v="2"/>
    <x v="193"/>
    <x v="29"/>
    <x v="1"/>
    <s v="11"/>
    <x v="1"/>
    <x v="1"/>
    <s v="Series B"/>
    <x v="0"/>
    <n v="94"/>
  </r>
  <r>
    <x v="450"/>
    <s v="SF Bay Area"/>
    <x v="10"/>
    <n v="230"/>
    <n v="0.7"/>
    <s v="0"/>
    <x v="4"/>
    <x v="35"/>
    <x v="19"/>
    <x v="6"/>
    <s v="03"/>
    <x v="7"/>
    <x v="1"/>
    <s v="Post-IPO"/>
    <x v="0"/>
    <n v="317"/>
  </r>
  <r>
    <x v="451"/>
    <s v="SF Bay Area"/>
    <x v="12"/>
    <n v="30"/>
    <n v="0.12"/>
    <s v="0"/>
    <x v="1"/>
    <x v="182"/>
    <x v="0"/>
    <x v="11"/>
    <s v="10"/>
    <x v="11"/>
    <x v="0"/>
    <s v="Series C"/>
    <x v="0"/>
    <n v="142"/>
  </r>
  <r>
    <x v="452"/>
    <s v="Los Angeles"/>
    <x v="1"/>
    <n v="30"/>
    <n v="0.18"/>
    <s v="0"/>
    <x v="1"/>
    <x v="29"/>
    <x v="22"/>
    <x v="0"/>
    <s v="07"/>
    <x v="3"/>
    <x v="0"/>
    <s v="Series B"/>
    <x v="0"/>
    <n v="78"/>
  </r>
  <r>
    <x v="453"/>
    <s v="New York City"/>
    <x v="1"/>
    <n v="100"/>
    <n v="1"/>
    <s v="1"/>
    <x v="3"/>
    <x v="196"/>
    <x v="3"/>
    <x v="4"/>
    <s v="02"/>
    <x v="5"/>
    <x v="1"/>
    <s v="Unknown"/>
    <x v="0"/>
    <s v="NULL"/>
  </r>
  <r>
    <x v="454"/>
    <s v="Fayetteville"/>
    <x v="3"/>
    <s v="NULL"/>
    <n v="1"/>
    <s v="1"/>
    <x v="3"/>
    <x v="276"/>
    <x v="8"/>
    <x v="9"/>
    <s v="06"/>
    <x v="9"/>
    <x v="2"/>
    <s v="Unknown"/>
    <x v="0"/>
    <n v="4"/>
  </r>
  <r>
    <x v="455"/>
    <s v="Sao Paulo"/>
    <x v="3"/>
    <n v="31"/>
    <n v="0.1"/>
    <s v="0"/>
    <x v="0"/>
    <x v="134"/>
    <x v="13"/>
    <x v="2"/>
    <s v="01"/>
    <x v="2"/>
    <x v="1"/>
    <s v="Unknown"/>
    <x v="3"/>
    <n v="14"/>
  </r>
  <r>
    <x v="456"/>
    <s v="SF Bay Area"/>
    <x v="3"/>
    <n v="400"/>
    <n v="0.18"/>
    <s v="0"/>
    <x v="1"/>
    <x v="16"/>
    <x v="14"/>
    <x v="9"/>
    <s v="06"/>
    <x v="9"/>
    <x v="0"/>
    <s v="Post-IPO"/>
    <x v="0"/>
    <n v="310"/>
  </r>
  <r>
    <x v="457"/>
    <s v="Melbourne"/>
    <x v="1"/>
    <n v="100"/>
    <s v="NULL"/>
    <s v="0"/>
    <x v="2"/>
    <x v="186"/>
    <x v="6"/>
    <x v="4"/>
    <s v="02"/>
    <x v="5"/>
    <x v="0"/>
    <s v="Unknown"/>
    <x v="4"/>
    <s v="NULL"/>
  </r>
  <r>
    <x v="458"/>
    <s v="SF Bay Area"/>
    <x v="22"/>
    <n v="58"/>
    <n v="0.3"/>
    <s v="0"/>
    <x v="1"/>
    <x v="248"/>
    <x v="25"/>
    <x v="3"/>
    <s v="04"/>
    <x v="4"/>
    <x v="2"/>
    <s v="Series B"/>
    <x v="0"/>
    <n v="59"/>
  </r>
  <r>
    <x v="459"/>
    <s v="SF Bay Area"/>
    <x v="12"/>
    <n v="24"/>
    <n v="0.25"/>
    <s v="0"/>
    <x v="1"/>
    <x v="31"/>
    <x v="24"/>
    <x v="5"/>
    <s v="08"/>
    <x v="6"/>
    <x v="1"/>
    <s v="Series B"/>
    <x v="0"/>
    <n v="85"/>
  </r>
  <r>
    <x v="459"/>
    <s v="SF Bay Area"/>
    <x v="12"/>
    <n v="25"/>
    <n v="0.2"/>
    <s v="0"/>
    <x v="1"/>
    <x v="264"/>
    <x v="21"/>
    <x v="11"/>
    <s v="10"/>
    <x v="11"/>
    <x v="0"/>
    <s v="Series B"/>
    <x v="0"/>
    <n v="85"/>
  </r>
  <r>
    <x v="460"/>
    <s v="New York City"/>
    <x v="12"/>
    <n v="30"/>
    <n v="0.27"/>
    <s v="0"/>
    <x v="1"/>
    <x v="264"/>
    <x v="21"/>
    <x v="11"/>
    <s v="10"/>
    <x v="11"/>
    <x v="0"/>
    <s v="Series B"/>
    <x v="0"/>
    <n v="11"/>
  </r>
  <r>
    <x v="461"/>
    <s v="Stockholm"/>
    <x v="18"/>
    <n v="8500"/>
    <n v="0.08"/>
    <s v="0"/>
    <x v="0"/>
    <x v="267"/>
    <x v="18"/>
    <x v="4"/>
    <s v="02"/>
    <x v="5"/>
    <x v="1"/>
    <s v="Post-IPO"/>
    <x v="5"/>
    <n v="663"/>
  </r>
  <r>
    <x v="462"/>
    <s v="SF Bay Area"/>
    <x v="21"/>
    <n v="30"/>
    <n v="0.17"/>
    <s v="0"/>
    <x v="1"/>
    <x v="151"/>
    <x v="27"/>
    <x v="2"/>
    <s v="01"/>
    <x v="2"/>
    <x v="1"/>
    <s v="Series B"/>
    <x v="0"/>
    <n v="97"/>
  </r>
  <r>
    <x v="463"/>
    <s v="Mumbai"/>
    <x v="5"/>
    <n v="40"/>
    <s v="NULL"/>
    <s v="0"/>
    <x v="2"/>
    <x v="277"/>
    <x v="6"/>
    <x v="3"/>
    <s v="04"/>
    <x v="4"/>
    <x v="0"/>
    <s v="Series E"/>
    <x v="6"/>
    <n v="1200"/>
  </r>
  <r>
    <x v="464"/>
    <s v="Seattle"/>
    <x v="18"/>
    <s v="NULL"/>
    <n v="0.12"/>
    <s v="0"/>
    <x v="1"/>
    <x v="92"/>
    <x v="27"/>
    <x v="9"/>
    <s v="06"/>
    <x v="9"/>
    <x v="0"/>
    <s v="Series A"/>
    <x v="0"/>
    <n v="10"/>
  </r>
  <r>
    <x v="464"/>
    <s v="Seattle"/>
    <x v="18"/>
    <s v="NULL"/>
    <n v="0.21"/>
    <s v="0"/>
    <x v="1"/>
    <x v="110"/>
    <x v="29"/>
    <x v="11"/>
    <s v="10"/>
    <x v="11"/>
    <x v="1"/>
    <s v="Series A"/>
    <x v="0"/>
    <n v="10"/>
  </r>
  <r>
    <x v="465"/>
    <s v="Buenos Aires"/>
    <x v="18"/>
    <n v="40"/>
    <s v="NULL"/>
    <s v="0"/>
    <x v="2"/>
    <x v="260"/>
    <x v="14"/>
    <x v="1"/>
    <s v="11"/>
    <x v="1"/>
    <x v="0"/>
    <s v="Unknown"/>
    <x v="28"/>
    <s v="NULL"/>
  </r>
  <r>
    <x v="466"/>
    <s v="SF Bay Area"/>
    <x v="12"/>
    <n v="18"/>
    <n v="0.14000000000000001"/>
    <s v="0"/>
    <x v="1"/>
    <x v="278"/>
    <x v="6"/>
    <x v="10"/>
    <s v="05"/>
    <x v="10"/>
    <x v="2"/>
    <s v="Series C"/>
    <x v="0"/>
    <n v="106"/>
  </r>
  <r>
    <x v="466"/>
    <s v="SF Bay Area"/>
    <x v="12"/>
    <n v="40"/>
    <n v="0.12"/>
    <s v="0"/>
    <x v="1"/>
    <x v="113"/>
    <x v="18"/>
    <x v="9"/>
    <s v="06"/>
    <x v="9"/>
    <x v="0"/>
    <s v="Series D"/>
    <x v="0"/>
    <n v="406"/>
  </r>
  <r>
    <x v="466"/>
    <s v="SF Bay Area"/>
    <x v="12"/>
    <n v="50"/>
    <s v="NULL"/>
    <s v="0"/>
    <x v="2"/>
    <x v="145"/>
    <x v="12"/>
    <x v="4"/>
    <s v="02"/>
    <x v="5"/>
    <x v="1"/>
    <s v="Series D"/>
    <x v="0"/>
    <n v="406"/>
  </r>
  <r>
    <x v="467"/>
    <s v="Tel Aviv"/>
    <x v="12"/>
    <n v="100"/>
    <n v="0.06"/>
    <s v="0"/>
    <x v="0"/>
    <x v="138"/>
    <x v="22"/>
    <x v="10"/>
    <s v="05"/>
    <x v="10"/>
    <x v="0"/>
    <s v="Unknown"/>
    <x v="16"/>
    <n v="322"/>
  </r>
  <r>
    <x v="468"/>
    <s v="Sydney"/>
    <x v="0"/>
    <n v="50"/>
    <n v="0.2"/>
    <s v="0"/>
    <x v="1"/>
    <x v="152"/>
    <x v="28"/>
    <x v="0"/>
    <s v="07"/>
    <x v="3"/>
    <x v="0"/>
    <s v="Series C"/>
    <x v="0"/>
    <n v="69"/>
  </r>
  <r>
    <x v="469"/>
    <s v="SF Bay Area"/>
    <x v="2"/>
    <n v="80"/>
    <n v="0.08"/>
    <s v="0"/>
    <x v="0"/>
    <x v="265"/>
    <x v="8"/>
    <x v="4"/>
    <s v="02"/>
    <x v="5"/>
    <x v="1"/>
    <s v="Post-IPO"/>
    <x v="0"/>
    <n v="557"/>
  </r>
  <r>
    <x v="469"/>
    <s v="SF Bay Area"/>
    <x v="2"/>
    <n v="500"/>
    <n v="0.45"/>
    <s v="0"/>
    <x v="1"/>
    <x v="174"/>
    <x v="5"/>
    <x v="5"/>
    <s v="08"/>
    <x v="6"/>
    <x v="2"/>
    <s v="Post-IPO"/>
    <x v="0"/>
    <n v="332"/>
  </r>
  <r>
    <x v="470"/>
    <s v="Boston"/>
    <x v="18"/>
    <n v="200"/>
    <s v="NULL"/>
    <s v="0"/>
    <x v="2"/>
    <x v="85"/>
    <x v="23"/>
    <x v="5"/>
    <s v="08"/>
    <x v="6"/>
    <x v="0"/>
    <s v="Post-IPO"/>
    <x v="0"/>
    <n v="476"/>
  </r>
  <r>
    <x v="471"/>
    <s v="SF Bay Area"/>
    <x v="3"/>
    <n v="30"/>
    <n v="0.17"/>
    <s v="0"/>
    <x v="1"/>
    <x v="90"/>
    <x v="29"/>
    <x v="10"/>
    <s v="05"/>
    <x v="10"/>
    <x v="1"/>
    <s v="Unknown"/>
    <x v="0"/>
    <n v="176"/>
  </r>
  <r>
    <x v="471"/>
    <s v="SF Bay Area"/>
    <x v="3"/>
    <n v="227"/>
    <s v="NULL"/>
    <s v="0"/>
    <x v="2"/>
    <x v="111"/>
    <x v="2"/>
    <x v="6"/>
    <s v="03"/>
    <x v="7"/>
    <x v="2"/>
    <s v="Unknown"/>
    <x v="0"/>
    <n v="18"/>
  </r>
  <r>
    <x v="472"/>
    <s v="SF Bay Area"/>
    <x v="2"/>
    <n v="129"/>
    <s v="NULL"/>
    <s v="0"/>
    <x v="2"/>
    <x v="204"/>
    <x v="1"/>
    <x v="4"/>
    <s v="02"/>
    <x v="5"/>
    <x v="1"/>
    <s v="Acquired"/>
    <x v="0"/>
    <n v="290"/>
  </r>
  <r>
    <x v="473"/>
    <s v="Los Angeles"/>
    <x v="10"/>
    <n v="40"/>
    <s v="NULL"/>
    <s v="0"/>
    <x v="2"/>
    <x v="244"/>
    <x v="27"/>
    <x v="4"/>
    <s v="02"/>
    <x v="5"/>
    <x v="1"/>
    <s v="Post-IPO"/>
    <x v="0"/>
    <n v="400"/>
  </r>
  <r>
    <x v="474"/>
    <s v="Nebraska City"/>
    <x v="4"/>
    <n v="59"/>
    <n v="0.22"/>
    <s v="0"/>
    <x v="1"/>
    <x v="112"/>
    <x v="23"/>
    <x v="3"/>
    <s v="04"/>
    <x v="4"/>
    <x v="0"/>
    <s v="Unknown"/>
    <x v="0"/>
    <n v="60"/>
  </r>
  <r>
    <x v="475"/>
    <s v="Bengaluru"/>
    <x v="9"/>
    <n v="142"/>
    <n v="0.15"/>
    <s v="0"/>
    <x v="1"/>
    <x v="59"/>
    <x v="1"/>
    <x v="2"/>
    <s v="01"/>
    <x v="2"/>
    <x v="1"/>
    <s v="Series D"/>
    <x v="6"/>
    <n v="87"/>
  </r>
  <r>
    <x v="476"/>
    <s v="Sydney"/>
    <x v="19"/>
    <n v="7"/>
    <s v="NULL"/>
    <s v="0"/>
    <x v="2"/>
    <x v="115"/>
    <x v="4"/>
    <x v="1"/>
    <s v="11"/>
    <x v="1"/>
    <x v="0"/>
    <s v="Series C"/>
    <x v="4"/>
    <n v="26"/>
  </r>
  <r>
    <x v="477"/>
    <s v="Portland"/>
    <x v="30"/>
    <n v="24"/>
    <n v="0.03"/>
    <s v="0"/>
    <x v="0"/>
    <x v="72"/>
    <x v="24"/>
    <x v="2"/>
    <s v="01"/>
    <x v="2"/>
    <x v="1"/>
    <s v="Private Equity"/>
    <x v="0"/>
    <n v="100"/>
  </r>
  <r>
    <x v="478"/>
    <s v="Boston"/>
    <x v="8"/>
    <n v="400"/>
    <n v="0.44"/>
    <s v="0"/>
    <x v="1"/>
    <x v="101"/>
    <x v="5"/>
    <x v="0"/>
    <s v="07"/>
    <x v="3"/>
    <x v="2"/>
    <s v="Series D"/>
    <x v="0"/>
    <n v="319"/>
  </r>
  <r>
    <x v="479"/>
    <s v="Seattle"/>
    <x v="21"/>
    <n v="100"/>
    <n v="0.01"/>
    <s v="0"/>
    <x v="0"/>
    <x v="275"/>
    <x v="12"/>
    <x v="11"/>
    <s v="10"/>
    <x v="11"/>
    <x v="0"/>
    <s v="Post-IPO"/>
    <x v="0"/>
    <s v="NULL"/>
  </r>
  <r>
    <x v="480"/>
    <s v="New Delhi"/>
    <x v="14"/>
    <n v="80"/>
    <n v="0.2"/>
    <s v="0"/>
    <x v="1"/>
    <x v="144"/>
    <x v="14"/>
    <x v="6"/>
    <s v="03"/>
    <x v="7"/>
    <x v="2"/>
    <s v="Series B"/>
    <x v="6"/>
    <n v="48"/>
  </r>
  <r>
    <x v="481"/>
    <s v="New York City"/>
    <x v="15"/>
    <n v="120"/>
    <n v="0.4"/>
    <s v="0"/>
    <x v="1"/>
    <x v="3"/>
    <x v="3"/>
    <x v="0"/>
    <s v="07"/>
    <x v="3"/>
    <x v="0"/>
    <s v="Series C"/>
    <x v="0"/>
    <n v="336"/>
  </r>
  <r>
    <x v="482"/>
    <s v="Sao Paulo"/>
    <x v="3"/>
    <n v="260"/>
    <n v="0.3"/>
    <s v="0"/>
    <x v="1"/>
    <x v="279"/>
    <x v="13"/>
    <x v="3"/>
    <s v="04"/>
    <x v="4"/>
    <x v="0"/>
    <s v="Series D"/>
    <x v="3"/>
    <n v="502"/>
  </r>
  <r>
    <x v="483"/>
    <s v="SF Bay Area"/>
    <x v="3"/>
    <n v="84"/>
    <n v="7.0000000000000007E-2"/>
    <s v="0"/>
    <x v="0"/>
    <x v="280"/>
    <x v="11"/>
    <x v="11"/>
    <s v="10"/>
    <x v="11"/>
    <x v="0"/>
    <s v="Series G"/>
    <x v="0"/>
    <n v="1700"/>
  </r>
  <r>
    <x v="484"/>
    <s v="SF Bay Area"/>
    <x v="11"/>
    <s v="NULL"/>
    <n v="0.14000000000000001"/>
    <s v="0"/>
    <x v="1"/>
    <x v="171"/>
    <x v="14"/>
    <x v="3"/>
    <s v="04"/>
    <x v="4"/>
    <x v="2"/>
    <s v="Series E"/>
    <x v="0"/>
    <n v="145"/>
  </r>
  <r>
    <x v="485"/>
    <s v="Gurugram"/>
    <x v="14"/>
    <n v="200"/>
    <s v="NULL"/>
    <s v="0"/>
    <x v="2"/>
    <x v="104"/>
    <x v="16"/>
    <x v="6"/>
    <s v="03"/>
    <x v="7"/>
    <x v="2"/>
    <s v="Unknown"/>
    <x v="6"/>
    <s v="NULL"/>
  </r>
  <r>
    <x v="486"/>
    <s v="New Delhi"/>
    <x v="15"/>
    <n v="90"/>
    <s v="NULL"/>
    <s v="0"/>
    <x v="2"/>
    <x v="281"/>
    <x v="24"/>
    <x v="6"/>
    <s v="03"/>
    <x v="7"/>
    <x v="1"/>
    <s v="Series E"/>
    <x v="6"/>
    <n v="150"/>
  </r>
  <r>
    <x v="486"/>
    <s v="New Delhi"/>
    <x v="15"/>
    <n v="250"/>
    <n v="0.3"/>
    <s v="0"/>
    <x v="1"/>
    <x v="48"/>
    <x v="6"/>
    <x v="11"/>
    <s v="10"/>
    <x v="11"/>
    <x v="0"/>
    <s v="Series E"/>
    <x v="6"/>
    <n v="150"/>
  </r>
  <r>
    <x v="487"/>
    <s v="SF Bay Area"/>
    <x v="12"/>
    <s v="NULL"/>
    <n v="1"/>
    <s v="1"/>
    <x v="3"/>
    <x v="282"/>
    <x v="5"/>
    <x v="10"/>
    <s v="05"/>
    <x v="10"/>
    <x v="0"/>
    <s v="Series B"/>
    <x v="0"/>
    <n v="124"/>
  </r>
  <r>
    <x v="488"/>
    <s v="San Diego"/>
    <x v="0"/>
    <n v="315"/>
    <n v="0.56999999999999995"/>
    <s v="0"/>
    <x v="4"/>
    <x v="272"/>
    <x v="29"/>
    <x v="8"/>
    <s v="09"/>
    <x v="8"/>
    <x v="1"/>
    <s v="Post-IPO"/>
    <x v="0"/>
    <n v="1200"/>
  </r>
  <r>
    <x v="489"/>
    <s v="Sao Paulo"/>
    <x v="8"/>
    <n v="170"/>
    <s v="NULL"/>
    <s v="0"/>
    <x v="2"/>
    <x v="186"/>
    <x v="6"/>
    <x v="4"/>
    <s v="02"/>
    <x v="5"/>
    <x v="0"/>
    <s v="Series A"/>
    <x v="3"/>
    <n v="31"/>
  </r>
  <r>
    <x v="490"/>
    <s v="Boston"/>
    <x v="0"/>
    <s v="NULL"/>
    <n v="1"/>
    <s v="1"/>
    <x v="3"/>
    <x v="98"/>
    <x v="23"/>
    <x v="8"/>
    <s v="09"/>
    <x v="8"/>
    <x v="0"/>
    <s v="Series B"/>
    <x v="0"/>
    <n v="81"/>
  </r>
  <r>
    <x v="491"/>
    <s v="Pittsburgh"/>
    <x v="8"/>
    <n v="100"/>
    <n v="1"/>
    <s v="1"/>
    <x v="3"/>
    <x v="28"/>
    <x v="8"/>
    <x v="11"/>
    <s v="10"/>
    <x v="11"/>
    <x v="0"/>
    <s v="Series B"/>
    <x v="0"/>
    <n v="35"/>
  </r>
  <r>
    <x v="492"/>
    <s v="Sydney"/>
    <x v="3"/>
    <s v="NULL"/>
    <n v="0.15"/>
    <s v="0"/>
    <x v="1"/>
    <x v="281"/>
    <x v="24"/>
    <x v="6"/>
    <s v="03"/>
    <x v="7"/>
    <x v="1"/>
    <s v="Unknown"/>
    <x v="4"/>
    <n v="30"/>
  </r>
  <r>
    <x v="493"/>
    <s v="Columbus"/>
    <x v="21"/>
    <n v="16"/>
    <n v="0.2"/>
    <s v="0"/>
    <x v="1"/>
    <x v="178"/>
    <x v="1"/>
    <x v="9"/>
    <s v="06"/>
    <x v="9"/>
    <x v="0"/>
    <s v="Series B"/>
    <x v="0"/>
    <n v="49"/>
  </r>
  <r>
    <x v="494"/>
    <s v="Hamburg"/>
    <x v="12"/>
    <n v="14"/>
    <n v="0.1"/>
    <s v="0"/>
    <x v="0"/>
    <x v="16"/>
    <x v="14"/>
    <x v="9"/>
    <s v="06"/>
    <x v="9"/>
    <x v="0"/>
    <s v="Series A"/>
    <x v="7"/>
    <n v="22"/>
  </r>
  <r>
    <x v="495"/>
    <s v="Chennai"/>
    <x v="8"/>
    <s v="NULL"/>
    <n v="1"/>
    <s v="1"/>
    <x v="3"/>
    <x v="283"/>
    <x v="13"/>
    <x v="4"/>
    <s v="02"/>
    <x v="5"/>
    <x v="1"/>
    <s v="Series A"/>
    <x v="0"/>
    <n v="9"/>
  </r>
  <r>
    <x v="496"/>
    <s v="New York City"/>
    <x v="4"/>
    <n v="30"/>
    <n v="0.05"/>
    <s v="0"/>
    <x v="0"/>
    <x v="283"/>
    <x v="13"/>
    <x v="4"/>
    <s v="02"/>
    <x v="5"/>
    <x v="1"/>
    <s v="Series E"/>
    <x v="0"/>
    <n v="1000"/>
  </r>
  <r>
    <x v="497"/>
    <s v="SF Bay Area"/>
    <x v="3"/>
    <s v="NULL"/>
    <n v="0.1"/>
    <s v="0"/>
    <x v="0"/>
    <x v="125"/>
    <x v="9"/>
    <x v="1"/>
    <s v="11"/>
    <x v="1"/>
    <x v="0"/>
    <s v="Series B"/>
    <x v="0"/>
    <n v="269"/>
  </r>
  <r>
    <x v="498"/>
    <s v="Washington D.C."/>
    <x v="11"/>
    <n v="30"/>
    <s v="NULL"/>
    <s v="0"/>
    <x v="2"/>
    <x v="5"/>
    <x v="5"/>
    <x v="4"/>
    <s v="02"/>
    <x v="5"/>
    <x v="2"/>
    <s v="Series D"/>
    <x v="0"/>
    <n v="50"/>
  </r>
  <r>
    <x v="499"/>
    <s v="Pune"/>
    <x v="28"/>
    <n v="30"/>
    <n v="0.11"/>
    <s v="0"/>
    <x v="1"/>
    <x v="57"/>
    <x v="19"/>
    <x v="4"/>
    <s v="02"/>
    <x v="5"/>
    <x v="1"/>
    <s v="Series A"/>
    <x v="6"/>
    <n v="13"/>
  </r>
  <r>
    <x v="500"/>
    <s v="Tel Aviv"/>
    <x v="18"/>
    <n v="60"/>
    <n v="0.08"/>
    <s v="0"/>
    <x v="0"/>
    <x v="262"/>
    <x v="16"/>
    <x v="0"/>
    <s v="07"/>
    <x v="3"/>
    <x v="0"/>
    <s v="Post-IPO"/>
    <x v="16"/>
    <n v="111"/>
  </r>
  <r>
    <x v="501"/>
    <s v="SF Bay Area"/>
    <x v="13"/>
    <s v="NULL"/>
    <n v="0.05"/>
    <s v="0"/>
    <x v="0"/>
    <x v="13"/>
    <x v="10"/>
    <x v="3"/>
    <s v="04"/>
    <x v="4"/>
    <x v="0"/>
    <s v="Series D"/>
    <x v="0"/>
    <s v="NULL"/>
  </r>
  <r>
    <x v="502"/>
    <s v="New York City"/>
    <x v="5"/>
    <n v="100"/>
    <s v="NULL"/>
    <s v="0"/>
    <x v="2"/>
    <x v="284"/>
    <x v="26"/>
    <x v="9"/>
    <s v="06"/>
    <x v="9"/>
    <x v="2"/>
    <s v="Acquired"/>
    <x v="0"/>
    <n v="15"/>
  </r>
  <r>
    <x v="503"/>
    <s v="SF Bay Area"/>
    <x v="15"/>
    <n v="640"/>
    <n v="0.2"/>
    <s v="0"/>
    <x v="1"/>
    <x v="193"/>
    <x v="29"/>
    <x v="1"/>
    <s v="11"/>
    <x v="1"/>
    <x v="1"/>
    <s v="Series E"/>
    <x v="0"/>
    <n v="2400"/>
  </r>
  <r>
    <x v="504"/>
    <s v="SF Bay Area"/>
    <x v="11"/>
    <n v="24"/>
    <n v="0.21"/>
    <s v="0"/>
    <x v="1"/>
    <x v="285"/>
    <x v="17"/>
    <x v="11"/>
    <s v="10"/>
    <x v="11"/>
    <x v="0"/>
    <s v="Unknown"/>
    <x v="0"/>
    <n v="235"/>
  </r>
  <r>
    <x v="505"/>
    <s v="SF Bay Area"/>
    <x v="5"/>
    <n v="37"/>
    <n v="0.5"/>
    <s v="0"/>
    <x v="1"/>
    <x v="286"/>
    <x v="18"/>
    <x v="5"/>
    <s v="08"/>
    <x v="6"/>
    <x v="3"/>
    <s v="Series A"/>
    <x v="0"/>
    <n v="14"/>
  </r>
  <r>
    <x v="506"/>
    <s v="Denver"/>
    <x v="3"/>
    <s v="NULL"/>
    <n v="0.15"/>
    <s v="0"/>
    <x v="1"/>
    <x v="56"/>
    <x v="7"/>
    <x v="8"/>
    <s v="09"/>
    <x v="8"/>
    <x v="0"/>
    <s v="Unknown"/>
    <x v="0"/>
    <n v="45"/>
  </r>
  <r>
    <x v="507"/>
    <s v="Toronto"/>
    <x v="3"/>
    <s v="NULL"/>
    <n v="0.25"/>
    <s v="0"/>
    <x v="1"/>
    <x v="287"/>
    <x v="18"/>
    <x v="6"/>
    <s v="03"/>
    <x v="7"/>
    <x v="2"/>
    <s v="Unknown"/>
    <x v="2"/>
    <s v="NULL"/>
  </r>
  <r>
    <x v="508"/>
    <s v="Sao Paulo"/>
    <x v="18"/>
    <n v="83"/>
    <n v="0.82"/>
    <s v="0"/>
    <x v="3"/>
    <x v="288"/>
    <x v="1"/>
    <x v="5"/>
    <s v="08"/>
    <x v="6"/>
    <x v="0"/>
    <s v="Seed"/>
    <x v="3"/>
    <s v="NULL"/>
  </r>
  <r>
    <x v="509"/>
    <s v="London"/>
    <x v="12"/>
    <s v="NULL"/>
    <n v="1"/>
    <s v="1"/>
    <x v="3"/>
    <x v="118"/>
    <x v="25"/>
    <x v="11"/>
    <s v="10"/>
    <x v="11"/>
    <x v="0"/>
    <s v="Unknown"/>
    <x v="17"/>
    <n v="9"/>
  </r>
  <r>
    <x v="510"/>
    <s v="Seattle"/>
    <x v="20"/>
    <n v="200"/>
    <n v="0.2"/>
    <s v="0"/>
    <x v="1"/>
    <x v="75"/>
    <x v="13"/>
    <x v="0"/>
    <s v="07"/>
    <x v="3"/>
    <x v="0"/>
    <s v="Series C"/>
    <x v="0"/>
    <n v="310"/>
  </r>
  <r>
    <x v="510"/>
    <s v="Seattle"/>
    <x v="20"/>
    <n v="300"/>
    <n v="0.4"/>
    <s v="0"/>
    <x v="1"/>
    <x v="98"/>
    <x v="23"/>
    <x v="8"/>
    <s v="09"/>
    <x v="8"/>
    <x v="0"/>
    <s v="Series C"/>
    <x v="0"/>
    <n v="310"/>
  </r>
  <r>
    <x v="511"/>
    <s v="Yangon"/>
    <x v="14"/>
    <n v="200"/>
    <n v="0.33"/>
    <s v="0"/>
    <x v="1"/>
    <x v="19"/>
    <x v="5"/>
    <x v="2"/>
    <s v="01"/>
    <x v="2"/>
    <x v="2"/>
    <s v="Unknown"/>
    <x v="33"/>
    <s v="NULL"/>
  </r>
  <r>
    <x v="512"/>
    <s v="Boulder"/>
    <x v="1"/>
    <n v="4"/>
    <n v="0.2"/>
    <s v="0"/>
    <x v="1"/>
    <x v="289"/>
    <x v="11"/>
    <x v="6"/>
    <s v="03"/>
    <x v="7"/>
    <x v="2"/>
    <s v="Seed"/>
    <x v="0"/>
    <n v="4"/>
  </r>
  <r>
    <x v="513"/>
    <s v="New York City"/>
    <x v="28"/>
    <n v="784"/>
    <n v="0.98"/>
    <s v="0"/>
    <x v="3"/>
    <x v="237"/>
    <x v="13"/>
    <x v="6"/>
    <s v="03"/>
    <x v="7"/>
    <x v="2"/>
    <s v="Acquired"/>
    <x v="0"/>
    <n v="120"/>
  </r>
  <r>
    <x v="514"/>
    <s v="Boston"/>
    <x v="12"/>
    <n v="60"/>
    <n v="0.12"/>
    <s v="0"/>
    <x v="1"/>
    <x v="43"/>
    <x v="26"/>
    <x v="0"/>
    <s v="07"/>
    <x v="3"/>
    <x v="2"/>
    <s v="Series E"/>
    <x v="0"/>
    <n v="263"/>
  </r>
  <r>
    <x v="515"/>
    <s v="New York City"/>
    <x v="8"/>
    <n v="20"/>
    <n v="0.1"/>
    <s v="0"/>
    <x v="0"/>
    <x v="290"/>
    <x v="5"/>
    <x v="5"/>
    <s v="08"/>
    <x v="6"/>
    <x v="0"/>
    <s v="Acquired"/>
    <x v="0"/>
    <n v="176"/>
  </r>
  <r>
    <x v="515"/>
    <s v="New York City"/>
    <x v="8"/>
    <n v="21"/>
    <n v="0.15"/>
    <s v="0"/>
    <x v="1"/>
    <x v="10"/>
    <x v="6"/>
    <x v="6"/>
    <s v="03"/>
    <x v="7"/>
    <x v="0"/>
    <s v="Acquired"/>
    <x v="0"/>
    <n v="176"/>
  </r>
  <r>
    <x v="516"/>
    <s v="Bucharest"/>
    <x v="8"/>
    <n v="80"/>
    <s v="NULL"/>
    <s v="0"/>
    <x v="2"/>
    <x v="132"/>
    <x v="16"/>
    <x v="10"/>
    <s v="05"/>
    <x v="10"/>
    <x v="0"/>
    <s v="Acquired"/>
    <x v="34"/>
    <n v="749"/>
  </r>
  <r>
    <x v="516"/>
    <s v="Singapore"/>
    <x v="8"/>
    <n v="60"/>
    <s v="NULL"/>
    <s v="0"/>
    <x v="2"/>
    <x v="251"/>
    <x v="7"/>
    <x v="0"/>
    <s v="07"/>
    <x v="3"/>
    <x v="0"/>
    <s v="Acquired"/>
    <x v="8"/>
    <n v="749"/>
  </r>
  <r>
    <x v="517"/>
    <s v="Minneapolis"/>
    <x v="8"/>
    <n v="87"/>
    <n v="0.67"/>
    <s v="0"/>
    <x v="4"/>
    <x v="287"/>
    <x v="18"/>
    <x v="6"/>
    <s v="03"/>
    <x v="7"/>
    <x v="2"/>
    <s v="Series B"/>
    <x v="0"/>
    <n v="20"/>
  </r>
  <r>
    <x v="518"/>
    <s v="SF Bay Area"/>
    <x v="21"/>
    <n v="100"/>
    <n v="0.1"/>
    <s v="0"/>
    <x v="0"/>
    <x v="110"/>
    <x v="29"/>
    <x v="11"/>
    <s v="10"/>
    <x v="11"/>
    <x v="1"/>
    <s v="Post-IPO"/>
    <x v="0"/>
    <n v="125"/>
  </r>
  <r>
    <x v="519"/>
    <s v="SF Bay Area"/>
    <x v="12"/>
    <s v="NULL"/>
    <n v="0.4"/>
    <s v="0"/>
    <x v="1"/>
    <x v="236"/>
    <x v="10"/>
    <x v="9"/>
    <s v="06"/>
    <x v="9"/>
    <x v="0"/>
    <s v="Series B"/>
    <x v="0"/>
    <n v="58"/>
  </r>
  <r>
    <x v="520"/>
    <s v="Toronto"/>
    <x v="7"/>
    <n v="15"/>
    <n v="0.09"/>
    <s v="0"/>
    <x v="0"/>
    <x v="75"/>
    <x v="13"/>
    <x v="0"/>
    <s v="07"/>
    <x v="3"/>
    <x v="0"/>
    <s v="Series B"/>
    <x v="2"/>
    <n v="58"/>
  </r>
  <r>
    <x v="521"/>
    <s v="Berlin"/>
    <x v="15"/>
    <n v="60"/>
    <n v="0.08"/>
    <s v="0"/>
    <x v="0"/>
    <x v="291"/>
    <x v="23"/>
    <x v="1"/>
    <s v="11"/>
    <x v="1"/>
    <x v="0"/>
    <s v="Series D"/>
    <x v="0"/>
    <n v="593"/>
  </r>
  <r>
    <x v="522"/>
    <s v="SF Bay Area"/>
    <x v="0"/>
    <s v="NULL"/>
    <n v="0.05"/>
    <s v="0"/>
    <x v="0"/>
    <x v="50"/>
    <x v="22"/>
    <x v="1"/>
    <s v="11"/>
    <x v="1"/>
    <x v="0"/>
    <s v="Series D"/>
    <x v="0"/>
    <n v="225"/>
  </r>
  <r>
    <x v="522"/>
    <s v="SF Bay Area"/>
    <x v="0"/>
    <n v="10"/>
    <n v="0.03"/>
    <s v="0"/>
    <x v="0"/>
    <x v="230"/>
    <x v="13"/>
    <x v="3"/>
    <s v="04"/>
    <x v="4"/>
    <x v="2"/>
    <s v="Series C"/>
    <x v="0"/>
    <n v="100"/>
  </r>
  <r>
    <x v="523"/>
    <s v="Chicago"/>
    <x v="15"/>
    <n v="60"/>
    <n v="0.08"/>
    <s v="0"/>
    <x v="0"/>
    <x v="115"/>
    <x v="4"/>
    <x v="1"/>
    <s v="11"/>
    <x v="1"/>
    <x v="0"/>
    <s v="Series D"/>
    <x v="0"/>
    <n v="201"/>
  </r>
  <r>
    <x v="524"/>
    <s v="Chicago"/>
    <x v="8"/>
    <n v="26"/>
    <n v="0.04"/>
    <s v="0"/>
    <x v="0"/>
    <x v="292"/>
    <x v="27"/>
    <x v="8"/>
    <s v="09"/>
    <x v="8"/>
    <x v="0"/>
    <s v="Series C"/>
    <x v="0"/>
    <n v="166"/>
  </r>
  <r>
    <x v="525"/>
    <s v="Mumbai"/>
    <x v="8"/>
    <n v="150"/>
    <s v="NULL"/>
    <s v="0"/>
    <x v="2"/>
    <x v="38"/>
    <x v="22"/>
    <x v="7"/>
    <s v="12"/>
    <x v="0"/>
    <x v="0"/>
    <s v="Series B"/>
    <x v="6"/>
    <n v="63"/>
  </r>
  <r>
    <x v="526"/>
    <s v="London"/>
    <x v="12"/>
    <n v="45"/>
    <n v="0.15"/>
    <s v="0"/>
    <x v="1"/>
    <x v="48"/>
    <x v="6"/>
    <x v="11"/>
    <s v="10"/>
    <x v="11"/>
    <x v="0"/>
    <s v="Unknown"/>
    <x v="17"/>
    <n v="133"/>
  </r>
  <r>
    <x v="527"/>
    <s v="Boston"/>
    <x v="0"/>
    <s v="NULL"/>
    <n v="0.5"/>
    <s v="0"/>
    <x v="1"/>
    <x v="72"/>
    <x v="24"/>
    <x v="2"/>
    <s v="01"/>
    <x v="2"/>
    <x v="1"/>
    <s v="Post-IPO"/>
    <x v="0"/>
    <n v="76"/>
  </r>
  <r>
    <x v="528"/>
    <s v="Toronto"/>
    <x v="12"/>
    <n v="38"/>
    <n v="0.09"/>
    <s v="0"/>
    <x v="0"/>
    <x v="167"/>
    <x v="12"/>
    <x v="3"/>
    <s v="04"/>
    <x v="4"/>
    <x v="2"/>
    <s v="Series B"/>
    <x v="2"/>
    <n v="75"/>
  </r>
  <r>
    <x v="529"/>
    <s v="Philadelphia"/>
    <x v="8"/>
    <n v="40"/>
    <s v="NULL"/>
    <s v="0"/>
    <x v="2"/>
    <x v="293"/>
    <x v="0"/>
    <x v="5"/>
    <s v="08"/>
    <x v="6"/>
    <x v="0"/>
    <s v="Acquired"/>
    <x v="0"/>
    <n v="280"/>
  </r>
  <r>
    <x v="530"/>
    <s v="New York City"/>
    <x v="8"/>
    <s v="NULL"/>
    <n v="0.25"/>
    <s v="0"/>
    <x v="1"/>
    <x v="294"/>
    <x v="11"/>
    <x v="0"/>
    <s v="07"/>
    <x v="3"/>
    <x v="0"/>
    <s v="Acquired"/>
    <x v="0"/>
    <n v="107"/>
  </r>
  <r>
    <x v="530"/>
    <s v="Phoenix"/>
    <x v="8"/>
    <n v="329"/>
    <s v="NULL"/>
    <s v="0"/>
    <x v="2"/>
    <x v="107"/>
    <x v="20"/>
    <x v="7"/>
    <s v="12"/>
    <x v="0"/>
    <x v="0"/>
    <s v="Acquired"/>
    <x v="0"/>
    <n v="107"/>
  </r>
  <r>
    <x v="531"/>
    <s v="SF Bay Area"/>
    <x v="9"/>
    <n v="90"/>
    <n v="0.02"/>
    <s v="0"/>
    <x v="0"/>
    <x v="69"/>
    <x v="15"/>
    <x v="7"/>
    <s v="12"/>
    <x v="0"/>
    <x v="0"/>
    <s v="Post-IPO"/>
    <x v="0"/>
    <n v="484"/>
  </r>
  <r>
    <x v="532"/>
    <s v="Milwaukee"/>
    <x v="14"/>
    <n v="35"/>
    <n v="0.16"/>
    <s v="0"/>
    <x v="1"/>
    <x v="89"/>
    <x v="5"/>
    <x v="11"/>
    <s v="10"/>
    <x v="11"/>
    <x v="2"/>
    <s v="Unknown"/>
    <x v="0"/>
    <n v="3"/>
  </r>
  <r>
    <x v="533"/>
    <s v="Bengaluru"/>
    <x v="5"/>
    <n v="130"/>
    <n v="0.75"/>
    <s v="0"/>
    <x v="4"/>
    <x v="11"/>
    <x v="10"/>
    <x v="7"/>
    <s v="12"/>
    <x v="0"/>
    <x v="0"/>
    <s v="Series A"/>
    <x v="6"/>
    <n v="17"/>
  </r>
  <r>
    <x v="533"/>
    <s v="Bengaluru"/>
    <x v="5"/>
    <n v="145"/>
    <n v="0.3"/>
    <s v="0"/>
    <x v="1"/>
    <x v="243"/>
    <x v="2"/>
    <x v="10"/>
    <s v="05"/>
    <x v="10"/>
    <x v="0"/>
    <s v="Series A"/>
    <x v="6"/>
    <n v="17"/>
  </r>
  <r>
    <x v="534"/>
    <s v="Bogota"/>
    <x v="8"/>
    <s v="NULL"/>
    <n v="0.03"/>
    <s v="0"/>
    <x v="0"/>
    <x v="226"/>
    <x v="12"/>
    <x v="9"/>
    <s v="06"/>
    <x v="9"/>
    <x v="0"/>
    <s v="Series C"/>
    <x v="35"/>
    <n v="202"/>
  </r>
  <r>
    <x v="535"/>
    <s v="Atlanta"/>
    <x v="1"/>
    <s v="NULL"/>
    <n v="0.12"/>
    <s v="0"/>
    <x v="1"/>
    <x v="201"/>
    <x v="3"/>
    <x v="8"/>
    <s v="09"/>
    <x v="8"/>
    <x v="0"/>
    <s v="Unknown"/>
    <x v="0"/>
    <n v="197"/>
  </r>
  <r>
    <x v="536"/>
    <s v="SF Bay Area"/>
    <x v="12"/>
    <n v="14"/>
    <n v="0.15"/>
    <s v="0"/>
    <x v="1"/>
    <x v="206"/>
    <x v="6"/>
    <x v="4"/>
    <s v="02"/>
    <x v="5"/>
    <x v="2"/>
    <s v="Series C"/>
    <x v="0"/>
    <n v="453"/>
  </r>
  <r>
    <x v="536"/>
    <s v="SF Bay Area"/>
    <x v="12"/>
    <n v="150"/>
    <n v="0.42"/>
    <s v="0"/>
    <x v="1"/>
    <x v="182"/>
    <x v="0"/>
    <x v="11"/>
    <s v="10"/>
    <x v="11"/>
    <x v="0"/>
    <s v="Series D"/>
    <x v="0"/>
    <n v="553"/>
  </r>
  <r>
    <x v="537"/>
    <s v="SF Bay Area"/>
    <x v="12"/>
    <n v="85"/>
    <s v="NULL"/>
    <s v="0"/>
    <x v="2"/>
    <x v="295"/>
    <x v="22"/>
    <x v="5"/>
    <s v="08"/>
    <x v="6"/>
    <x v="2"/>
    <s v="Post-IPO"/>
    <x v="0"/>
    <n v="746"/>
  </r>
  <r>
    <x v="538"/>
    <s v="Singapore"/>
    <x v="12"/>
    <n v="65"/>
    <n v="0.18"/>
    <s v="0"/>
    <x v="1"/>
    <x v="190"/>
    <x v="17"/>
    <x v="3"/>
    <s v="04"/>
    <x v="4"/>
    <x v="2"/>
    <s v="Series B"/>
    <x v="8"/>
    <n v="42"/>
  </r>
  <r>
    <x v="539"/>
    <s v="Bengaluru"/>
    <x v="3"/>
    <n v="180"/>
    <s v="NULL"/>
    <s v="0"/>
    <x v="2"/>
    <x v="296"/>
    <x v="16"/>
    <x v="6"/>
    <s v="03"/>
    <x v="7"/>
    <x v="0"/>
    <s v="Series D"/>
    <x v="6"/>
    <n v="228"/>
  </r>
  <r>
    <x v="540"/>
    <s v="New York City"/>
    <x v="11"/>
    <n v="14"/>
    <n v="0.05"/>
    <s v="0"/>
    <x v="0"/>
    <x v="64"/>
    <x v="5"/>
    <x v="6"/>
    <s v="03"/>
    <x v="7"/>
    <x v="2"/>
    <s v="Unknown"/>
    <x v="0"/>
    <s v="NULL"/>
  </r>
  <r>
    <x v="541"/>
    <s v="Chicago"/>
    <x v="1"/>
    <n v="17"/>
    <n v="0.05"/>
    <s v="0"/>
    <x v="0"/>
    <x v="297"/>
    <x v="14"/>
    <x v="9"/>
    <s v="06"/>
    <x v="9"/>
    <x v="2"/>
    <s v="Series C"/>
    <x v="0"/>
    <n v="101"/>
  </r>
  <r>
    <x v="542"/>
    <s v="SF Bay Area"/>
    <x v="2"/>
    <n v="30"/>
    <n v="0.33"/>
    <s v="0"/>
    <x v="1"/>
    <x v="186"/>
    <x v="6"/>
    <x v="4"/>
    <s v="02"/>
    <x v="5"/>
    <x v="0"/>
    <s v="Series B"/>
    <x v="0"/>
    <n v="76"/>
  </r>
  <r>
    <x v="543"/>
    <s v="Atlanta"/>
    <x v="1"/>
    <s v="NULL"/>
    <n v="0.5"/>
    <s v="0"/>
    <x v="1"/>
    <x v="298"/>
    <x v="21"/>
    <x v="0"/>
    <s v="07"/>
    <x v="3"/>
    <x v="0"/>
    <s v="NULL"/>
    <x v="0"/>
    <s v="NULL"/>
  </r>
  <r>
    <x v="544"/>
    <s v="Los Angeles"/>
    <x v="30"/>
    <s v="NULL"/>
    <n v="1"/>
    <s v="1"/>
    <x v="3"/>
    <x v="16"/>
    <x v="14"/>
    <x v="9"/>
    <s v="06"/>
    <x v="9"/>
    <x v="0"/>
    <s v="Seed"/>
    <x v="0"/>
    <n v="5"/>
  </r>
  <r>
    <x v="545"/>
    <s v="Seattle"/>
    <x v="11"/>
    <n v="5"/>
    <n v="0.31"/>
    <s v="0"/>
    <x v="1"/>
    <x v="89"/>
    <x v="5"/>
    <x v="11"/>
    <s v="10"/>
    <x v="11"/>
    <x v="2"/>
    <s v="Unknown"/>
    <x v="0"/>
    <s v="NULL"/>
  </r>
  <r>
    <x v="546"/>
    <s v="SF Bay Area"/>
    <x v="19"/>
    <n v="100"/>
    <n v="0.33"/>
    <s v="0"/>
    <x v="1"/>
    <x v="79"/>
    <x v="23"/>
    <x v="2"/>
    <s v="01"/>
    <x v="2"/>
    <x v="0"/>
    <s v="Series C"/>
    <x v="0"/>
    <n v="148"/>
  </r>
  <r>
    <x v="547"/>
    <s v="New York City"/>
    <x v="4"/>
    <s v="NULL"/>
    <n v="0.1"/>
    <s v="0"/>
    <x v="0"/>
    <x v="151"/>
    <x v="27"/>
    <x v="2"/>
    <s v="01"/>
    <x v="2"/>
    <x v="1"/>
    <s v="Unknown"/>
    <x v="0"/>
    <n v="423"/>
  </r>
  <r>
    <x v="547"/>
    <s v="New York City"/>
    <x v="4"/>
    <n v="100"/>
    <n v="0.1"/>
    <s v="0"/>
    <x v="0"/>
    <x v="186"/>
    <x v="6"/>
    <x v="4"/>
    <s v="02"/>
    <x v="5"/>
    <x v="0"/>
    <s v="Unknown"/>
    <x v="0"/>
    <n v="423"/>
  </r>
  <r>
    <x v="547"/>
    <s v="New York City"/>
    <x v="4"/>
    <n v="68"/>
    <n v="7.0000000000000007E-2"/>
    <s v="0"/>
    <x v="0"/>
    <x v="294"/>
    <x v="11"/>
    <x v="0"/>
    <s v="07"/>
    <x v="3"/>
    <x v="0"/>
    <s v="Unknown"/>
    <x v="0"/>
    <n v="423"/>
  </r>
  <r>
    <x v="548"/>
    <s v="New York City"/>
    <x v="4"/>
    <n v="52"/>
    <n v="0.2"/>
    <s v="0"/>
    <x v="1"/>
    <x v="288"/>
    <x v="1"/>
    <x v="5"/>
    <s v="08"/>
    <x v="6"/>
    <x v="0"/>
    <s v="Series A"/>
    <x v="0"/>
    <s v="NULL"/>
  </r>
  <r>
    <x v="548"/>
    <s v="New York City"/>
    <x v="4"/>
    <n v="60"/>
    <n v="0.3"/>
    <s v="0"/>
    <x v="1"/>
    <x v="90"/>
    <x v="29"/>
    <x v="10"/>
    <s v="05"/>
    <x v="10"/>
    <x v="1"/>
    <s v="Series A"/>
    <x v="0"/>
    <s v="NULL"/>
  </r>
  <r>
    <x v="549"/>
    <s v="SF Bay Area"/>
    <x v="0"/>
    <n v="23"/>
    <s v="NULL"/>
    <s v="0"/>
    <x v="2"/>
    <x v="121"/>
    <x v="7"/>
    <x v="5"/>
    <s v="08"/>
    <x v="6"/>
    <x v="0"/>
    <s v="Series C"/>
    <x v="0"/>
    <n v="120"/>
  </r>
  <r>
    <x v="550"/>
    <s v="SF Bay Area"/>
    <x v="10"/>
    <s v="NULL"/>
    <n v="0.1"/>
    <s v="0"/>
    <x v="0"/>
    <x v="82"/>
    <x v="24"/>
    <x v="4"/>
    <s v="02"/>
    <x v="5"/>
    <x v="1"/>
    <s v="Post-IPO"/>
    <x v="0"/>
    <n v="948"/>
  </r>
  <r>
    <x v="550"/>
    <s v="SF Bay Area"/>
    <x v="10"/>
    <n v="100"/>
    <n v="0.25"/>
    <s v="0"/>
    <x v="1"/>
    <x v="111"/>
    <x v="2"/>
    <x v="6"/>
    <s v="03"/>
    <x v="7"/>
    <x v="2"/>
    <s v="Series D"/>
    <x v="0"/>
    <n v="403"/>
  </r>
  <r>
    <x v="551"/>
    <s v="Istanbul"/>
    <x v="8"/>
    <s v="NULL"/>
    <n v="0.14000000000000001"/>
    <s v="0"/>
    <x v="1"/>
    <x v="37"/>
    <x v="0"/>
    <x v="10"/>
    <s v="05"/>
    <x v="10"/>
    <x v="0"/>
    <s v="Series E"/>
    <x v="36"/>
    <n v="1800"/>
  </r>
  <r>
    <x v="551"/>
    <s v="New York City"/>
    <x v="8"/>
    <n v="100"/>
    <s v="NULL"/>
    <s v="0"/>
    <x v="2"/>
    <x v="82"/>
    <x v="24"/>
    <x v="4"/>
    <s v="02"/>
    <x v="5"/>
    <x v="1"/>
    <s v="Series E"/>
    <x v="0"/>
    <n v="1800"/>
  </r>
  <r>
    <x v="552"/>
    <s v="Sao Paulo"/>
    <x v="2"/>
    <n v="11"/>
    <n v="0.1"/>
    <s v="0"/>
    <x v="0"/>
    <x v="174"/>
    <x v="5"/>
    <x v="5"/>
    <s v="08"/>
    <x v="6"/>
    <x v="2"/>
    <s v="Series B"/>
    <x v="3"/>
    <n v="16"/>
  </r>
  <r>
    <x v="553"/>
    <s v="Tel Aviv"/>
    <x v="10"/>
    <n v="30"/>
    <s v="NULL"/>
    <s v="0"/>
    <x v="2"/>
    <x v="148"/>
    <x v="21"/>
    <x v="10"/>
    <s v="05"/>
    <x v="10"/>
    <x v="0"/>
    <s v="Series A"/>
    <x v="16"/>
    <n v="49"/>
  </r>
  <r>
    <x v="554"/>
    <s v="Berlin"/>
    <x v="14"/>
    <n v="90"/>
    <n v="0.17"/>
    <s v="0"/>
    <x v="1"/>
    <x v="299"/>
    <x v="25"/>
    <x v="11"/>
    <s v="10"/>
    <x v="11"/>
    <x v="2"/>
    <s v="Series E"/>
    <x v="7"/>
    <n v="656"/>
  </r>
  <r>
    <x v="555"/>
    <s v="SF Bay Area"/>
    <x v="16"/>
    <s v="NULL"/>
    <n v="0.1"/>
    <s v="0"/>
    <x v="0"/>
    <x v="109"/>
    <x v="24"/>
    <x v="8"/>
    <s v="09"/>
    <x v="8"/>
    <x v="1"/>
    <s v="Acquired"/>
    <x v="0"/>
    <n v="350"/>
  </r>
  <r>
    <x v="556"/>
    <s v="SF Bay Area"/>
    <x v="16"/>
    <n v="130"/>
    <n v="7.0000000000000007E-2"/>
    <s v="0"/>
    <x v="0"/>
    <x v="109"/>
    <x v="24"/>
    <x v="8"/>
    <s v="09"/>
    <x v="8"/>
    <x v="1"/>
    <s v="Post-IPO"/>
    <x v="0"/>
    <n v="413"/>
  </r>
  <r>
    <x v="557"/>
    <s v="Kiel"/>
    <x v="16"/>
    <n v="21"/>
    <n v="0.28000000000000003"/>
    <s v="0"/>
    <x v="1"/>
    <x v="146"/>
    <x v="18"/>
    <x v="2"/>
    <s v="01"/>
    <x v="2"/>
    <x v="1"/>
    <s v="Series A"/>
    <x v="7"/>
    <n v="41"/>
  </r>
  <r>
    <x v="558"/>
    <s v="SF Bay Area"/>
    <x v="19"/>
    <n v="300"/>
    <n v="0.3"/>
    <s v="0"/>
    <x v="1"/>
    <x v="43"/>
    <x v="26"/>
    <x v="0"/>
    <s v="07"/>
    <x v="3"/>
    <x v="2"/>
    <s v="Acquired"/>
    <x v="0"/>
    <n v="204"/>
  </r>
  <r>
    <x v="559"/>
    <s v="Singapore"/>
    <x v="22"/>
    <n v="198"/>
    <n v="0.18"/>
    <s v="0"/>
    <x v="1"/>
    <x v="39"/>
    <x v="20"/>
    <x v="5"/>
    <s v="08"/>
    <x v="6"/>
    <x v="0"/>
    <s v="Series D"/>
    <x v="8"/>
    <n v="82"/>
  </r>
  <r>
    <x v="560"/>
    <s v="New York City"/>
    <x v="16"/>
    <n v="18"/>
    <n v="0.36"/>
    <s v="0"/>
    <x v="1"/>
    <x v="240"/>
    <x v="12"/>
    <x v="10"/>
    <s v="05"/>
    <x v="10"/>
    <x v="2"/>
    <s v="Series A"/>
    <x v="0"/>
    <n v="30"/>
  </r>
  <r>
    <x v="561"/>
    <s v="Dallas"/>
    <x v="12"/>
    <s v="NULL"/>
    <n v="1"/>
    <s v="1"/>
    <x v="3"/>
    <x v="252"/>
    <x v="12"/>
    <x v="1"/>
    <s v="11"/>
    <x v="1"/>
    <x v="0"/>
    <s v="Unknown"/>
    <x v="0"/>
    <s v="NULL"/>
  </r>
  <r>
    <x v="562"/>
    <s v="New York City"/>
    <x v="2"/>
    <n v="80"/>
    <n v="0.33"/>
    <s v="0"/>
    <x v="1"/>
    <x v="300"/>
    <x v="16"/>
    <x v="2"/>
    <s v="01"/>
    <x v="2"/>
    <x v="0"/>
    <s v="Series E"/>
    <x v="0"/>
    <n v="266"/>
  </r>
  <r>
    <x v="562"/>
    <s v="New York City"/>
    <x v="3"/>
    <n v="19"/>
    <n v="0.08"/>
    <s v="0"/>
    <x v="0"/>
    <x v="173"/>
    <x v="4"/>
    <x v="4"/>
    <s v="02"/>
    <x v="5"/>
    <x v="0"/>
    <s v="Series E"/>
    <x v="0"/>
    <n v="266"/>
  </r>
  <r>
    <x v="562"/>
    <s v="New York City"/>
    <x v="3"/>
    <n v="150"/>
    <n v="0.38"/>
    <s v="0"/>
    <x v="1"/>
    <x v="301"/>
    <x v="4"/>
    <x v="0"/>
    <s v="07"/>
    <x v="3"/>
    <x v="2"/>
    <s v="Series D"/>
    <x v="0"/>
    <n v="186"/>
  </r>
  <r>
    <x v="563"/>
    <s v="Barcelona"/>
    <x v="8"/>
    <n v="250"/>
    <n v="0.06"/>
    <s v="0"/>
    <x v="0"/>
    <x v="81"/>
    <x v="14"/>
    <x v="2"/>
    <s v="01"/>
    <x v="2"/>
    <x v="1"/>
    <s v="Acquired"/>
    <x v="37"/>
    <n v="1200"/>
  </r>
  <r>
    <x v="564"/>
    <s v="Singapore"/>
    <x v="12"/>
    <n v="22"/>
    <n v="0.11"/>
    <s v="0"/>
    <x v="1"/>
    <x v="120"/>
    <x v="7"/>
    <x v="2"/>
    <s v="01"/>
    <x v="2"/>
    <x v="2"/>
    <s v="Unknown"/>
    <x v="8"/>
    <n v="97"/>
  </r>
  <r>
    <x v="565"/>
    <s v="Toronto"/>
    <x v="15"/>
    <n v="55"/>
    <n v="0.05"/>
    <s v="0"/>
    <x v="0"/>
    <x v="110"/>
    <x v="29"/>
    <x v="11"/>
    <s v="10"/>
    <x v="11"/>
    <x v="1"/>
    <s v="Series C"/>
    <x v="2"/>
    <n v="178"/>
  </r>
  <r>
    <x v="566"/>
    <s v="Austin"/>
    <x v="1"/>
    <n v="451"/>
    <n v="0.06"/>
    <s v="0"/>
    <x v="0"/>
    <x v="302"/>
    <x v="18"/>
    <x v="9"/>
    <s v="06"/>
    <x v="9"/>
    <x v="2"/>
    <s v="Post-IPO"/>
    <x v="0"/>
    <s v="NULL"/>
  </r>
  <r>
    <x v="566"/>
    <s v="Phoenix"/>
    <x v="1"/>
    <n v="530"/>
    <n v="0.08"/>
    <s v="0"/>
    <x v="0"/>
    <x v="31"/>
    <x v="24"/>
    <x v="5"/>
    <s v="08"/>
    <x v="6"/>
    <x v="1"/>
    <s v="Post-IPO"/>
    <x v="0"/>
    <n v="800"/>
  </r>
  <r>
    <x v="567"/>
    <s v="SF Bay Area"/>
    <x v="12"/>
    <n v="94"/>
    <n v="0.12"/>
    <s v="0"/>
    <x v="1"/>
    <x v="78"/>
    <x v="16"/>
    <x v="11"/>
    <s v="10"/>
    <x v="11"/>
    <x v="0"/>
    <s v="Series A"/>
    <x v="0"/>
    <s v="NULL"/>
  </r>
  <r>
    <x v="568"/>
    <s v="Chicago"/>
    <x v="0"/>
    <n v="800"/>
    <n v="0.2"/>
    <s v="0"/>
    <x v="1"/>
    <x v="17"/>
    <x v="4"/>
    <x v="8"/>
    <s v="09"/>
    <x v="8"/>
    <x v="0"/>
    <s v="Post-IPO"/>
    <x v="0"/>
    <n v="75"/>
  </r>
  <r>
    <x v="569"/>
    <s v="Jakarta"/>
    <x v="10"/>
    <n v="430"/>
    <n v="0.09"/>
    <s v="0"/>
    <x v="0"/>
    <x v="245"/>
    <x v="27"/>
    <x v="9"/>
    <s v="06"/>
    <x v="9"/>
    <x v="2"/>
    <s v="Series F"/>
    <x v="11"/>
    <n v="4800"/>
  </r>
  <r>
    <x v="570"/>
    <s v="Lagos"/>
    <x v="10"/>
    <n v="20"/>
    <s v="NULL"/>
    <s v="0"/>
    <x v="2"/>
    <x v="188"/>
    <x v="25"/>
    <x v="1"/>
    <s v="11"/>
    <x v="1"/>
    <x v="0"/>
    <s v="Unknown"/>
    <x v="13"/>
    <n v="12"/>
  </r>
  <r>
    <x v="570"/>
    <s v="Lagos"/>
    <x v="10"/>
    <n v="54"/>
    <s v="NULL"/>
    <s v="0"/>
    <x v="2"/>
    <x v="91"/>
    <x v="21"/>
    <x v="2"/>
    <s v="01"/>
    <x v="2"/>
    <x v="1"/>
    <s v="Unknown"/>
    <x v="13"/>
    <n v="12"/>
  </r>
  <r>
    <x v="571"/>
    <s v="Gurugram"/>
    <x v="10"/>
    <s v="NULL"/>
    <n v="0.7"/>
    <s v="0"/>
    <x v="4"/>
    <x v="59"/>
    <x v="1"/>
    <x v="2"/>
    <s v="01"/>
    <x v="2"/>
    <x v="1"/>
    <s v="Series C"/>
    <x v="6"/>
    <n v="54"/>
  </r>
  <r>
    <x v="572"/>
    <s v="SF Bay Area"/>
    <x v="7"/>
    <n v="80"/>
    <n v="7.0000000000000007E-2"/>
    <s v="0"/>
    <x v="0"/>
    <x v="31"/>
    <x v="24"/>
    <x v="5"/>
    <s v="08"/>
    <x v="6"/>
    <x v="1"/>
    <s v="Series E"/>
    <x v="0"/>
    <n v="583"/>
  </r>
  <r>
    <x v="573"/>
    <s v="Mumbai"/>
    <x v="11"/>
    <s v="NULL"/>
    <n v="1"/>
    <s v="1"/>
    <x v="3"/>
    <x v="303"/>
    <x v="2"/>
    <x v="11"/>
    <s v="10"/>
    <x v="11"/>
    <x v="0"/>
    <s v="Seed"/>
    <x v="6"/>
    <s v="NULL"/>
  </r>
  <r>
    <x v="574"/>
    <s v="Calgary"/>
    <x v="8"/>
    <n v="70"/>
    <s v="NULL"/>
    <s v="0"/>
    <x v="2"/>
    <x v="304"/>
    <x v="5"/>
    <x v="0"/>
    <s v="07"/>
    <x v="3"/>
    <x v="0"/>
    <s v="Post-IPO"/>
    <x v="2"/>
    <n v="16"/>
  </r>
  <r>
    <x v="575"/>
    <s v="Toronto"/>
    <x v="3"/>
    <s v="NULL"/>
    <n v="1"/>
    <s v="1"/>
    <x v="3"/>
    <x v="84"/>
    <x v="27"/>
    <x v="1"/>
    <s v="11"/>
    <x v="1"/>
    <x v="0"/>
    <s v="Seed"/>
    <x v="2"/>
    <n v="6"/>
  </r>
  <r>
    <x v="576"/>
    <s v="Los Angeles"/>
    <x v="0"/>
    <n v="140"/>
    <n v="0.16"/>
    <s v="0"/>
    <x v="1"/>
    <x v="68"/>
    <x v="21"/>
    <x v="5"/>
    <s v="08"/>
    <x v="6"/>
    <x v="0"/>
    <s v="Post-IPO"/>
    <x v="0"/>
    <n v="910"/>
  </r>
  <r>
    <x v="577"/>
    <s v="SF Bay Area"/>
    <x v="2"/>
    <n v="12000"/>
    <n v="0.06"/>
    <s v="0"/>
    <x v="0"/>
    <x v="134"/>
    <x v="13"/>
    <x v="2"/>
    <s v="01"/>
    <x v="2"/>
    <x v="1"/>
    <s v="Post-IPO"/>
    <x v="0"/>
    <n v="26"/>
  </r>
  <r>
    <x v="578"/>
    <s v="SF Bay Area"/>
    <x v="2"/>
    <n v="200"/>
    <n v="0.2"/>
    <s v="0"/>
    <x v="1"/>
    <x v="46"/>
    <x v="15"/>
    <x v="3"/>
    <s v="04"/>
    <x v="4"/>
    <x v="2"/>
    <s v="Post-IPO"/>
    <x v="0"/>
    <n v="288"/>
  </r>
  <r>
    <x v="579"/>
    <s v="Philadelphia"/>
    <x v="8"/>
    <n v="100"/>
    <s v="NULL"/>
    <s v="0"/>
    <x v="2"/>
    <x v="300"/>
    <x v="16"/>
    <x v="2"/>
    <s v="01"/>
    <x v="2"/>
    <x v="0"/>
    <s v="Series H"/>
    <x v="0"/>
    <n v="3400"/>
  </r>
  <r>
    <x v="579"/>
    <s v="Philadelphia"/>
    <x v="8"/>
    <n v="250"/>
    <s v="NULL"/>
    <s v="0"/>
    <x v="2"/>
    <x v="88"/>
    <x v="30"/>
    <x v="11"/>
    <s v="10"/>
    <x v="11"/>
    <x v="0"/>
    <s v="Series H"/>
    <x v="0"/>
    <n v="3400"/>
  </r>
  <r>
    <x v="579"/>
    <s v="Philadelphia"/>
    <x v="8"/>
    <n v="450"/>
    <n v="0.03"/>
    <s v="0"/>
    <x v="0"/>
    <x v="305"/>
    <x v="9"/>
    <x v="6"/>
    <s v="03"/>
    <x v="7"/>
    <x v="0"/>
    <s v="Series H"/>
    <x v="0"/>
    <n v="3400"/>
  </r>
  <r>
    <x v="579"/>
    <s v="Philadelphia"/>
    <x v="8"/>
    <n v="1500"/>
    <n v="0.1"/>
    <s v="0"/>
    <x v="0"/>
    <x v="38"/>
    <x v="22"/>
    <x v="7"/>
    <s v="12"/>
    <x v="0"/>
    <x v="0"/>
    <s v="Series H"/>
    <x v="0"/>
    <n v="3400"/>
  </r>
  <r>
    <x v="580"/>
    <s v="Berlin"/>
    <x v="8"/>
    <n v="300"/>
    <n v="0.5"/>
    <s v="0"/>
    <x v="1"/>
    <x v="306"/>
    <x v="18"/>
    <x v="10"/>
    <s v="05"/>
    <x v="10"/>
    <x v="0"/>
    <s v="Series C"/>
    <x v="7"/>
    <n v="1300"/>
  </r>
  <r>
    <x v="580"/>
    <s v="Berlin"/>
    <x v="8"/>
    <n v="540"/>
    <s v="NULL"/>
    <s v="0"/>
    <x v="2"/>
    <x v="198"/>
    <x v="22"/>
    <x v="6"/>
    <s v="03"/>
    <x v="7"/>
    <x v="0"/>
    <s v="Series C"/>
    <x v="7"/>
    <n v="1300"/>
  </r>
  <r>
    <x v="581"/>
    <s v="Denver"/>
    <x v="3"/>
    <n v="23"/>
    <n v="0.2"/>
    <s v="0"/>
    <x v="1"/>
    <x v="104"/>
    <x v="16"/>
    <x v="6"/>
    <s v="03"/>
    <x v="7"/>
    <x v="2"/>
    <s v="Series B"/>
    <x v="0"/>
    <n v="47"/>
  </r>
  <r>
    <x v="582"/>
    <s v="Vienna"/>
    <x v="5"/>
    <n v="100"/>
    <s v="NULL"/>
    <s v="0"/>
    <x v="2"/>
    <x v="205"/>
    <x v="25"/>
    <x v="7"/>
    <s v="12"/>
    <x v="0"/>
    <x v="0"/>
    <s v="Series D"/>
    <x v="23"/>
    <n v="686"/>
  </r>
  <r>
    <x v="582"/>
    <s v="Vienna"/>
    <x v="5"/>
    <n v="200"/>
    <s v="NULL"/>
    <s v="0"/>
    <x v="2"/>
    <x v="121"/>
    <x v="7"/>
    <x v="5"/>
    <s v="08"/>
    <x v="6"/>
    <x v="0"/>
    <s v="Series D"/>
    <x v="23"/>
    <n v="686"/>
  </r>
  <r>
    <x v="583"/>
    <s v="Jakarta"/>
    <x v="10"/>
    <n v="1300"/>
    <n v="0.12"/>
    <s v="0"/>
    <x v="1"/>
    <x v="99"/>
    <x v="23"/>
    <x v="11"/>
    <s v="10"/>
    <x v="11"/>
    <x v="0"/>
    <s v="Post-IPO"/>
    <x v="11"/>
    <n v="1300"/>
  </r>
  <r>
    <x v="584"/>
    <s v="Singapore"/>
    <x v="10"/>
    <n v="360"/>
    <n v="0.05"/>
    <s v="0"/>
    <x v="0"/>
    <x v="307"/>
    <x v="17"/>
    <x v="9"/>
    <s v="06"/>
    <x v="9"/>
    <x v="2"/>
    <s v="Series I"/>
    <x v="8"/>
    <n v="9900"/>
  </r>
  <r>
    <x v="585"/>
    <s v="Indore"/>
    <x v="8"/>
    <n v="75"/>
    <s v="NULL"/>
    <s v="0"/>
    <x v="2"/>
    <x v="213"/>
    <x v="17"/>
    <x v="2"/>
    <s v="01"/>
    <x v="2"/>
    <x v="1"/>
    <s v="Series B"/>
    <x v="6"/>
    <n v="17"/>
  </r>
  <r>
    <x v="586"/>
    <s v="Los Angeles"/>
    <x v="13"/>
    <n v="20"/>
    <n v="0.4"/>
    <s v="0"/>
    <x v="1"/>
    <x v="180"/>
    <x v="27"/>
    <x v="6"/>
    <s v="03"/>
    <x v="7"/>
    <x v="2"/>
    <s v="Unknown"/>
    <x v="0"/>
    <n v="7"/>
  </r>
  <r>
    <x v="587"/>
    <s v="New York City"/>
    <x v="19"/>
    <n v="120"/>
    <n v="0.28000000000000003"/>
    <s v="0"/>
    <x v="1"/>
    <x v="126"/>
    <x v="1"/>
    <x v="3"/>
    <s v="04"/>
    <x v="4"/>
    <x v="2"/>
    <s v="Series D"/>
    <x v="0"/>
    <n v="110"/>
  </r>
  <r>
    <x v="588"/>
    <s v="Atlanta"/>
    <x v="12"/>
    <n v="104"/>
    <n v="0.21"/>
    <s v="0"/>
    <x v="1"/>
    <x v="45"/>
    <x v="29"/>
    <x v="7"/>
    <s v="12"/>
    <x v="0"/>
    <x v="1"/>
    <s v="Series D"/>
    <x v="0"/>
    <n v="556"/>
  </r>
  <r>
    <x v="589"/>
    <s v="Sacramento"/>
    <x v="1"/>
    <n v="60"/>
    <n v="0.13"/>
    <s v="0"/>
    <x v="1"/>
    <x v="260"/>
    <x v="14"/>
    <x v="1"/>
    <s v="11"/>
    <x v="1"/>
    <x v="0"/>
    <s v="Series B"/>
    <x v="0"/>
    <n v="145"/>
  </r>
  <r>
    <x v="590"/>
    <s v="New York City"/>
    <x v="11"/>
    <n v="50"/>
    <n v="7.0000000000000007E-2"/>
    <s v="0"/>
    <x v="0"/>
    <x v="101"/>
    <x v="5"/>
    <x v="0"/>
    <s v="07"/>
    <x v="3"/>
    <x v="2"/>
    <s v="Unknown"/>
    <x v="0"/>
    <n v="190"/>
  </r>
  <r>
    <x v="591"/>
    <s v="Chicago"/>
    <x v="3"/>
    <n v="500"/>
    <s v="NULL"/>
    <s v="0"/>
    <x v="2"/>
    <x v="81"/>
    <x v="14"/>
    <x v="2"/>
    <s v="01"/>
    <x v="2"/>
    <x v="1"/>
    <s v="Post-IPO"/>
    <x v="0"/>
    <n v="1400"/>
  </r>
  <r>
    <x v="591"/>
    <s v="Chicago"/>
    <x v="3"/>
    <n v="500"/>
    <n v="0.15"/>
    <s v="0"/>
    <x v="1"/>
    <x v="241"/>
    <x v="4"/>
    <x v="5"/>
    <s v="08"/>
    <x v="6"/>
    <x v="0"/>
    <s v="Post-IPO"/>
    <x v="0"/>
    <n v="1400"/>
  </r>
  <r>
    <x v="591"/>
    <s v="Chicago"/>
    <x v="3"/>
    <n v="2800"/>
    <n v="0.44"/>
    <s v="0"/>
    <x v="1"/>
    <x v="211"/>
    <x v="3"/>
    <x v="3"/>
    <s v="04"/>
    <x v="4"/>
    <x v="2"/>
    <s v="Post-IPO"/>
    <x v="0"/>
    <n v="1400"/>
  </r>
  <r>
    <x v="592"/>
    <s v="SF Bay Area"/>
    <x v="3"/>
    <s v="NULL"/>
    <n v="0.17"/>
    <s v="0"/>
    <x v="1"/>
    <x v="308"/>
    <x v="30"/>
    <x v="6"/>
    <s v="03"/>
    <x v="7"/>
    <x v="0"/>
    <s v="Series E"/>
    <x v="0"/>
    <n v="474"/>
  </r>
  <r>
    <x v="593"/>
    <s v="Berlin"/>
    <x v="3"/>
    <n v="40"/>
    <n v="0.1"/>
    <s v="0"/>
    <x v="0"/>
    <x v="207"/>
    <x v="20"/>
    <x v="0"/>
    <s v="07"/>
    <x v="3"/>
    <x v="0"/>
    <s v="Unknown"/>
    <x v="0"/>
    <n v="2300"/>
  </r>
  <r>
    <x v="594"/>
    <s v="SF Bay Area"/>
    <x v="0"/>
    <n v="130"/>
    <n v="7.0000000000000007E-2"/>
    <s v="0"/>
    <x v="0"/>
    <x v="210"/>
    <x v="0"/>
    <x v="2"/>
    <s v="01"/>
    <x v="2"/>
    <x v="1"/>
    <s v="Post-IPO"/>
    <x v="0"/>
    <n v="550"/>
  </r>
  <r>
    <x v="595"/>
    <s v="SF Bay Area"/>
    <x v="12"/>
    <s v="NULL"/>
    <n v="0.02"/>
    <s v="0"/>
    <x v="0"/>
    <x v="115"/>
    <x v="4"/>
    <x v="1"/>
    <s v="11"/>
    <x v="1"/>
    <x v="0"/>
    <s v="Post-IPO"/>
    <x v="0"/>
    <n v="24"/>
  </r>
  <r>
    <x v="596"/>
    <s v="Los Angeles"/>
    <x v="1"/>
    <n v="90"/>
    <n v="0.25"/>
    <s v="0"/>
    <x v="1"/>
    <x v="230"/>
    <x v="13"/>
    <x v="3"/>
    <s v="04"/>
    <x v="4"/>
    <x v="2"/>
    <s v="Series D"/>
    <x v="0"/>
    <n v="58"/>
  </r>
  <r>
    <x v="597"/>
    <s v="SF Bay Area"/>
    <x v="22"/>
    <n v="126"/>
    <n v="0.05"/>
    <s v="0"/>
    <x v="0"/>
    <x v="31"/>
    <x v="24"/>
    <x v="5"/>
    <s v="08"/>
    <x v="6"/>
    <x v="1"/>
    <s v="Series E"/>
    <x v="0"/>
    <n v="746"/>
  </r>
  <r>
    <x v="598"/>
    <s v="Sao Paulo"/>
    <x v="28"/>
    <n v="467"/>
    <n v="0.33"/>
    <s v="0"/>
    <x v="1"/>
    <x v="64"/>
    <x v="5"/>
    <x v="6"/>
    <s v="03"/>
    <x v="7"/>
    <x v="2"/>
    <s v="Series D"/>
    <x v="3"/>
    <n v="300"/>
  </r>
  <r>
    <x v="599"/>
    <s v="SF Bay Area"/>
    <x v="22"/>
    <s v="NULL"/>
    <n v="0.08"/>
    <s v="0"/>
    <x v="0"/>
    <x v="224"/>
    <x v="25"/>
    <x v="4"/>
    <s v="02"/>
    <x v="5"/>
    <x v="1"/>
    <s v="Series B"/>
    <x v="0"/>
    <n v="11"/>
  </r>
  <r>
    <x v="600"/>
    <s v="New York City"/>
    <x v="0"/>
    <s v="NULL"/>
    <n v="1"/>
    <s v="1"/>
    <x v="3"/>
    <x v="309"/>
    <x v="15"/>
    <x v="3"/>
    <s v="04"/>
    <x v="4"/>
    <x v="0"/>
    <s v="Unknown"/>
    <x v="0"/>
    <n v="2"/>
  </r>
  <r>
    <x v="601"/>
    <s v="Los Angeles"/>
    <x v="12"/>
    <n v="158"/>
    <n v="0.34"/>
    <s v="0"/>
    <x v="1"/>
    <x v="260"/>
    <x v="14"/>
    <x v="1"/>
    <s v="11"/>
    <x v="1"/>
    <x v="0"/>
    <s v="Series D"/>
    <x v="0"/>
    <n v="191"/>
  </r>
  <r>
    <x v="602"/>
    <s v="New Delhi"/>
    <x v="5"/>
    <n v="60"/>
    <n v="0.3"/>
    <s v="0"/>
    <x v="1"/>
    <x v="177"/>
    <x v="29"/>
    <x v="6"/>
    <s v="03"/>
    <x v="7"/>
    <x v="1"/>
    <s v="Acquired"/>
    <x v="6"/>
    <s v="NULL"/>
  </r>
  <r>
    <x v="603"/>
    <s v="Sao Paulo"/>
    <x v="12"/>
    <n v="58"/>
    <n v="0.5"/>
    <s v="0"/>
    <x v="1"/>
    <x v="310"/>
    <x v="4"/>
    <x v="2"/>
    <s v="01"/>
    <x v="2"/>
    <x v="0"/>
    <s v="Series C"/>
    <x v="3"/>
    <n v="58"/>
  </r>
  <r>
    <x v="604"/>
    <s v="SF Bay Area"/>
    <x v="21"/>
    <n v="69"/>
    <s v="NULL"/>
    <s v="0"/>
    <x v="2"/>
    <x v="193"/>
    <x v="29"/>
    <x v="1"/>
    <s v="11"/>
    <x v="1"/>
    <x v="1"/>
    <s v="Post-IPO"/>
    <x v="0"/>
    <n v="349"/>
  </r>
  <r>
    <x v="605"/>
    <s v="SF Bay Area"/>
    <x v="8"/>
    <s v="NULL"/>
    <n v="1"/>
    <s v="1"/>
    <x v="3"/>
    <x v="17"/>
    <x v="4"/>
    <x v="8"/>
    <s v="09"/>
    <x v="8"/>
    <x v="0"/>
    <s v="Seed"/>
    <x v="0"/>
    <n v="7"/>
  </r>
  <r>
    <x v="606"/>
    <s v="Denver"/>
    <x v="2"/>
    <n v="5"/>
    <s v="NULL"/>
    <s v="0"/>
    <x v="2"/>
    <x v="311"/>
    <x v="22"/>
    <x v="2"/>
    <s v="01"/>
    <x v="2"/>
    <x v="2"/>
    <s v="Series C"/>
    <x v="0"/>
    <n v="58"/>
  </r>
  <r>
    <x v="607"/>
    <s v="Los Angeles"/>
    <x v="0"/>
    <n v="50"/>
    <n v="0.04"/>
    <s v="0"/>
    <x v="0"/>
    <x v="205"/>
    <x v="25"/>
    <x v="7"/>
    <s v="12"/>
    <x v="0"/>
    <x v="0"/>
    <s v="Unknown"/>
    <x v="0"/>
    <n v="215"/>
  </r>
  <r>
    <x v="608"/>
    <s v="Miami"/>
    <x v="0"/>
    <n v="149"/>
    <s v="NULL"/>
    <s v="0"/>
    <x v="2"/>
    <x v="117"/>
    <x v="4"/>
    <x v="6"/>
    <s v="03"/>
    <x v="7"/>
    <x v="0"/>
    <s v="Series C"/>
    <x v="0"/>
    <n v="244"/>
  </r>
  <r>
    <x v="609"/>
    <s v="Bengaluru"/>
    <x v="28"/>
    <n v="150"/>
    <s v="NULL"/>
    <s v="0"/>
    <x v="2"/>
    <x v="175"/>
    <x v="20"/>
    <x v="6"/>
    <s v="03"/>
    <x v="7"/>
    <x v="0"/>
    <s v="Series C"/>
    <x v="6"/>
    <n v="100"/>
  </r>
  <r>
    <x v="610"/>
    <s v="Sydney"/>
    <x v="0"/>
    <n v="18"/>
    <n v="0.5"/>
    <s v="0"/>
    <x v="1"/>
    <x v="166"/>
    <x v="8"/>
    <x v="9"/>
    <s v="06"/>
    <x v="9"/>
    <x v="0"/>
    <s v="Series B"/>
    <x v="4"/>
    <n v="20"/>
  </r>
  <r>
    <x v="611"/>
    <s v="Stockholm"/>
    <x v="12"/>
    <n v="12"/>
    <s v="NULL"/>
    <s v="0"/>
    <x v="2"/>
    <x v="7"/>
    <x v="7"/>
    <x v="2"/>
    <s v="01"/>
    <x v="2"/>
    <x v="0"/>
    <s v="Series B"/>
    <x v="5"/>
    <n v="67"/>
  </r>
  <r>
    <x v="612"/>
    <s v="SF Bay Area"/>
    <x v="8"/>
    <n v="611"/>
    <s v="NULL"/>
    <s v="0"/>
    <x v="2"/>
    <x v="312"/>
    <x v="10"/>
    <x v="11"/>
    <s v="10"/>
    <x v="11"/>
    <x v="0"/>
    <s v="Post-IPO"/>
    <x v="0"/>
    <n v="367"/>
  </r>
  <r>
    <x v="613"/>
    <s v="Austin"/>
    <x v="9"/>
    <n v="16"/>
    <n v="1"/>
    <s v="1"/>
    <x v="3"/>
    <x v="313"/>
    <x v="17"/>
    <x v="6"/>
    <s v="03"/>
    <x v="7"/>
    <x v="2"/>
    <s v="Seed"/>
    <x v="0"/>
    <n v="6"/>
  </r>
  <r>
    <x v="614"/>
    <s v="Boston"/>
    <x v="11"/>
    <n v="10"/>
    <n v="0.18"/>
    <s v="0"/>
    <x v="1"/>
    <x v="314"/>
    <x v="6"/>
    <x v="11"/>
    <s v="10"/>
    <x v="11"/>
    <x v="2"/>
    <s v="Unknown"/>
    <x v="0"/>
    <s v="NULL"/>
  </r>
  <r>
    <x v="615"/>
    <s v="London"/>
    <x v="3"/>
    <n v="24"/>
    <n v="0.2"/>
    <s v="0"/>
    <x v="1"/>
    <x v="83"/>
    <x v="15"/>
    <x v="0"/>
    <s v="07"/>
    <x v="3"/>
    <x v="0"/>
    <s v="Unknown"/>
    <x v="0"/>
    <n v="265"/>
  </r>
  <r>
    <x v="616"/>
    <s v="Berlin"/>
    <x v="10"/>
    <n v="73"/>
    <s v="NULL"/>
    <s v="0"/>
    <x v="2"/>
    <x v="2"/>
    <x v="2"/>
    <x v="2"/>
    <s v="01"/>
    <x v="2"/>
    <x v="1"/>
    <s v="Unknown"/>
    <x v="7"/>
    <s v="NULL"/>
  </r>
  <r>
    <x v="617"/>
    <s v="Tel Aviv"/>
    <x v="22"/>
    <n v="70"/>
    <n v="0.3"/>
    <s v="0"/>
    <x v="1"/>
    <x v="144"/>
    <x v="14"/>
    <x v="6"/>
    <s v="03"/>
    <x v="7"/>
    <x v="2"/>
    <s v="Series A"/>
    <x v="16"/>
    <n v="45"/>
  </r>
  <r>
    <x v="618"/>
    <s v="Bengaluru"/>
    <x v="12"/>
    <n v="25"/>
    <s v="NULL"/>
    <s v="0"/>
    <x v="2"/>
    <x v="98"/>
    <x v="23"/>
    <x v="8"/>
    <s v="09"/>
    <x v="8"/>
    <x v="0"/>
    <s v="Series C"/>
    <x v="6"/>
    <n v="475"/>
  </r>
  <r>
    <x v="619"/>
    <s v="Berlin"/>
    <x v="11"/>
    <n v="51"/>
    <n v="0.25"/>
    <s v="0"/>
    <x v="1"/>
    <x v="19"/>
    <x v="5"/>
    <x v="2"/>
    <s v="01"/>
    <x v="2"/>
    <x v="2"/>
    <s v="Series A"/>
    <x v="7"/>
    <n v="9"/>
  </r>
  <r>
    <x v="620"/>
    <s v="Seattle"/>
    <x v="7"/>
    <n v="100"/>
    <n v="0.1"/>
    <s v="0"/>
    <x v="0"/>
    <x v="82"/>
    <x v="24"/>
    <x v="4"/>
    <s v="02"/>
    <x v="5"/>
    <x v="1"/>
    <s v="Series F"/>
    <x v="0"/>
    <n v="644"/>
  </r>
  <r>
    <x v="621"/>
    <s v="SF Bay Area"/>
    <x v="14"/>
    <s v="NULL"/>
    <n v="0.6"/>
    <s v="0"/>
    <x v="4"/>
    <x v="230"/>
    <x v="13"/>
    <x v="3"/>
    <s v="04"/>
    <x v="4"/>
    <x v="2"/>
    <s v="Series B"/>
    <x v="0"/>
    <n v="41"/>
  </r>
  <r>
    <x v="622"/>
    <s v="SF Bay Area"/>
    <x v="12"/>
    <n v="70"/>
    <n v="0.1"/>
    <s v="0"/>
    <x v="0"/>
    <x v="68"/>
    <x v="21"/>
    <x v="5"/>
    <s v="08"/>
    <x v="6"/>
    <x v="0"/>
    <s v="Post-IPO"/>
    <x v="0"/>
    <n v="1300"/>
  </r>
  <r>
    <x v="623"/>
    <s v="Bengaluru"/>
    <x v="19"/>
    <n v="200"/>
    <n v="0.4"/>
    <s v="0"/>
    <x v="1"/>
    <x v="44"/>
    <x v="8"/>
    <x v="1"/>
    <s v="11"/>
    <x v="1"/>
    <x v="0"/>
    <s v="Series A"/>
    <x v="6"/>
    <s v="NULL"/>
  </r>
  <r>
    <x v="624"/>
    <s v="Chicago"/>
    <x v="19"/>
    <n v="36"/>
    <n v="0.17"/>
    <s v="0"/>
    <x v="1"/>
    <x v="315"/>
    <x v="26"/>
    <x v="7"/>
    <s v="12"/>
    <x v="0"/>
    <x v="2"/>
    <s v="Series D"/>
    <x v="0"/>
    <n v="52"/>
  </r>
  <r>
    <x v="625"/>
    <s v="Singapore"/>
    <x v="4"/>
    <n v="40"/>
    <n v="0.8"/>
    <s v="0"/>
    <x v="3"/>
    <x v="316"/>
    <x v="30"/>
    <x v="5"/>
    <s v="08"/>
    <x v="6"/>
    <x v="0"/>
    <s v="Unknown"/>
    <x v="8"/>
    <s v="NULL"/>
  </r>
  <r>
    <x v="626"/>
    <s v="Chicago"/>
    <x v="17"/>
    <n v="80"/>
    <n v="0.4"/>
    <s v="0"/>
    <x v="1"/>
    <x v="153"/>
    <x v="6"/>
    <x v="8"/>
    <s v="09"/>
    <x v="8"/>
    <x v="0"/>
    <s v="Series B"/>
    <x v="0"/>
    <n v="82"/>
  </r>
  <r>
    <x v="627"/>
    <s v="Denver"/>
    <x v="20"/>
    <n v="18"/>
    <n v="0.13"/>
    <s v="0"/>
    <x v="1"/>
    <x v="317"/>
    <x v="30"/>
    <x v="7"/>
    <s v="12"/>
    <x v="0"/>
    <x v="0"/>
    <s v="Acquired"/>
    <x v="0"/>
    <n v="4"/>
  </r>
  <r>
    <x v="628"/>
    <s v="SF Bay Area"/>
    <x v="20"/>
    <s v="NULL"/>
    <n v="0.19"/>
    <s v="0"/>
    <x v="1"/>
    <x v="97"/>
    <x v="9"/>
    <x v="9"/>
    <s v="06"/>
    <x v="9"/>
    <x v="0"/>
    <s v="Series D"/>
    <x v="0"/>
    <n v="743"/>
  </r>
  <r>
    <x v="629"/>
    <s v="Phoenix"/>
    <x v="20"/>
    <n v="113"/>
    <s v="NULL"/>
    <s v="0"/>
    <x v="2"/>
    <x v="1"/>
    <x v="1"/>
    <x v="1"/>
    <s v="11"/>
    <x v="1"/>
    <x v="0"/>
    <s v="Post-IPO"/>
    <x v="0"/>
    <s v="NULL"/>
  </r>
  <r>
    <x v="630"/>
    <s v="Austin"/>
    <x v="20"/>
    <s v="NULL"/>
    <n v="0.2"/>
    <s v="0"/>
    <x v="1"/>
    <x v="318"/>
    <x v="4"/>
    <x v="11"/>
    <s v="10"/>
    <x v="11"/>
    <x v="0"/>
    <s v="Series B"/>
    <x v="0"/>
    <n v="160"/>
  </r>
  <r>
    <x v="630"/>
    <s v="Austin"/>
    <x v="20"/>
    <s v="NULL"/>
    <n v="0.25"/>
    <s v="0"/>
    <x v="1"/>
    <x v="55"/>
    <x v="17"/>
    <x v="1"/>
    <s v="11"/>
    <x v="1"/>
    <x v="0"/>
    <s v="Unknown"/>
    <x v="0"/>
    <n v="501"/>
  </r>
  <r>
    <x v="631"/>
    <s v="Salt Lake City"/>
    <x v="20"/>
    <n v="40"/>
    <n v="0.13"/>
    <s v="0"/>
    <x v="1"/>
    <x v="13"/>
    <x v="10"/>
    <x v="3"/>
    <s v="04"/>
    <x v="4"/>
    <x v="0"/>
    <s v="Series B"/>
    <x v="0"/>
    <n v="35"/>
  </r>
  <r>
    <x v="631"/>
    <s v="Salt Lake City"/>
    <x v="20"/>
    <n v="119"/>
    <n v="0.28999999999999998"/>
    <s v="0"/>
    <x v="1"/>
    <x v="319"/>
    <x v="25"/>
    <x v="4"/>
    <s v="02"/>
    <x v="5"/>
    <x v="0"/>
    <s v="Series B"/>
    <x v="0"/>
    <n v="35"/>
  </r>
  <r>
    <x v="632"/>
    <s v="Singapore"/>
    <x v="2"/>
    <n v="250"/>
    <n v="1"/>
    <s v="1"/>
    <x v="3"/>
    <x v="111"/>
    <x v="2"/>
    <x v="6"/>
    <s v="03"/>
    <x v="7"/>
    <x v="2"/>
    <s v="Unknown"/>
    <x v="8"/>
    <n v="95"/>
  </r>
  <r>
    <x v="633"/>
    <s v="Vancouver"/>
    <x v="1"/>
    <n v="50"/>
    <n v="0.05"/>
    <s v="0"/>
    <x v="0"/>
    <x v="79"/>
    <x v="23"/>
    <x v="2"/>
    <s v="01"/>
    <x v="2"/>
    <x v="0"/>
    <s v="Series C"/>
    <x v="2"/>
    <n v="300"/>
  </r>
  <r>
    <x v="633"/>
    <s v="Vancouver"/>
    <x v="1"/>
    <n v="70"/>
    <n v="7.0000000000000007E-2"/>
    <s v="0"/>
    <x v="0"/>
    <x v="12"/>
    <x v="11"/>
    <x v="2"/>
    <s v="01"/>
    <x v="2"/>
    <x v="1"/>
    <s v="Series C"/>
    <x v="2"/>
    <n v="300"/>
  </r>
  <r>
    <x v="633"/>
    <s v="Vancouver"/>
    <x v="1"/>
    <n v="400"/>
    <n v="0.3"/>
    <s v="0"/>
    <x v="1"/>
    <x v="17"/>
    <x v="4"/>
    <x v="8"/>
    <s v="09"/>
    <x v="8"/>
    <x v="0"/>
    <s v="Series C"/>
    <x v="2"/>
    <n v="300"/>
  </r>
  <r>
    <x v="634"/>
    <s v="London"/>
    <x v="18"/>
    <s v="NULL"/>
    <n v="0.17"/>
    <s v="0"/>
    <x v="1"/>
    <x v="55"/>
    <x v="17"/>
    <x v="1"/>
    <s v="11"/>
    <x v="1"/>
    <x v="0"/>
    <s v="Series D"/>
    <x v="17"/>
    <n v="1000"/>
  </r>
  <r>
    <x v="634"/>
    <s v="London"/>
    <x v="18"/>
    <n v="138"/>
    <n v="0.12"/>
    <s v="0"/>
    <x v="1"/>
    <x v="242"/>
    <x v="24"/>
    <x v="11"/>
    <s v="10"/>
    <x v="11"/>
    <x v="0"/>
    <s v="Series D"/>
    <x v="0"/>
    <n v="1000"/>
  </r>
  <r>
    <x v="634"/>
    <s v="London"/>
    <x v="18"/>
    <n v="242"/>
    <n v="0.28999999999999998"/>
    <s v="0"/>
    <x v="1"/>
    <x v="50"/>
    <x v="22"/>
    <x v="1"/>
    <s v="11"/>
    <x v="1"/>
    <x v="0"/>
    <s v="Series D"/>
    <x v="17"/>
    <n v="1000"/>
  </r>
  <r>
    <x v="635"/>
    <s v="Los Angeles"/>
    <x v="10"/>
    <n v="8"/>
    <n v="0.1"/>
    <s v="0"/>
    <x v="0"/>
    <x v="320"/>
    <x v="3"/>
    <x v="6"/>
    <s v="03"/>
    <x v="7"/>
    <x v="2"/>
    <s v="Unknown"/>
    <x v="0"/>
    <n v="45"/>
  </r>
  <r>
    <x v="636"/>
    <s v="Berlin"/>
    <x v="14"/>
    <n v="15"/>
    <n v="0.25"/>
    <s v="0"/>
    <x v="1"/>
    <x v="24"/>
    <x v="18"/>
    <x v="3"/>
    <s v="04"/>
    <x v="4"/>
    <x v="2"/>
    <s v="Series B"/>
    <x v="7"/>
    <n v="30"/>
  </r>
  <r>
    <x v="637"/>
    <s v="Belo Horizonte"/>
    <x v="1"/>
    <n v="227"/>
    <n v="0.12"/>
    <s v="0"/>
    <x v="1"/>
    <x v="321"/>
    <x v="13"/>
    <x v="11"/>
    <s v="10"/>
    <x v="11"/>
    <x v="0"/>
    <s v="Series C"/>
    <x v="3"/>
    <n v="127"/>
  </r>
  <r>
    <x v="638"/>
    <s v="SF Bay Area"/>
    <x v="2"/>
    <n v="95"/>
    <n v="0.08"/>
    <s v="0"/>
    <x v="0"/>
    <x v="207"/>
    <x v="20"/>
    <x v="0"/>
    <s v="07"/>
    <x v="3"/>
    <x v="0"/>
    <s v="Series E"/>
    <x v="0"/>
    <n v="613"/>
  </r>
  <r>
    <x v="638"/>
    <s v="SF Bay Area"/>
    <x v="2"/>
    <n v="155"/>
    <n v="0.1"/>
    <s v="0"/>
    <x v="0"/>
    <x v="167"/>
    <x v="12"/>
    <x v="3"/>
    <s v="04"/>
    <x v="4"/>
    <x v="2"/>
    <s v="Series E"/>
    <x v="0"/>
    <n v="613"/>
  </r>
  <r>
    <x v="639"/>
    <s v="Tel Aviv"/>
    <x v="26"/>
    <n v="100"/>
    <s v="NULL"/>
    <s v="0"/>
    <x v="2"/>
    <x v="322"/>
    <x v="30"/>
    <x v="4"/>
    <s v="02"/>
    <x v="5"/>
    <x v="1"/>
    <s v="Post-IPO"/>
    <x v="16"/>
    <n v="4200"/>
  </r>
  <r>
    <x v="640"/>
    <s v="Toronto"/>
    <x v="3"/>
    <n v="45"/>
    <n v="1"/>
    <s v="1"/>
    <x v="3"/>
    <x v="323"/>
    <x v="24"/>
    <x v="2"/>
    <s v="01"/>
    <x v="2"/>
    <x v="3"/>
    <s v="Series B"/>
    <x v="2"/>
    <n v="61"/>
  </r>
  <r>
    <x v="641"/>
    <s v="SF Bay Area"/>
    <x v="20"/>
    <s v="NULL"/>
    <n v="1"/>
    <s v="1"/>
    <x v="3"/>
    <x v="140"/>
    <x v="7"/>
    <x v="1"/>
    <s v="11"/>
    <x v="1"/>
    <x v="2"/>
    <s v="Series A"/>
    <x v="0"/>
    <n v="13"/>
  </r>
  <r>
    <x v="642"/>
    <s v="SF Bay Area"/>
    <x v="1"/>
    <n v="45"/>
    <n v="0.12"/>
    <s v="0"/>
    <x v="1"/>
    <x v="38"/>
    <x v="22"/>
    <x v="7"/>
    <s v="12"/>
    <x v="0"/>
    <x v="0"/>
    <s v="Series B"/>
    <x v="0"/>
    <n v="153"/>
  </r>
  <r>
    <x v="642"/>
    <s v="SF Bay Area"/>
    <x v="18"/>
    <n v="115"/>
    <n v="0.35"/>
    <s v="0"/>
    <x v="1"/>
    <x v="183"/>
    <x v="30"/>
    <x v="2"/>
    <s v="01"/>
    <x v="2"/>
    <x v="1"/>
    <s v="Series B"/>
    <x v="0"/>
    <n v="153"/>
  </r>
  <r>
    <x v="643"/>
    <s v="Boston"/>
    <x v="1"/>
    <n v="500"/>
    <n v="7.0000000000000007E-2"/>
    <s v="0"/>
    <x v="0"/>
    <x v="91"/>
    <x v="21"/>
    <x v="2"/>
    <s v="01"/>
    <x v="2"/>
    <x v="1"/>
    <s v="Post-IPO"/>
    <x v="0"/>
    <n v="100"/>
  </r>
  <r>
    <x v="644"/>
    <s v="New York City"/>
    <x v="11"/>
    <n v="47"/>
    <s v="NULL"/>
    <s v="0"/>
    <x v="2"/>
    <x v="324"/>
    <x v="19"/>
    <x v="8"/>
    <s v="09"/>
    <x v="8"/>
    <x v="3"/>
    <s v="Acquired"/>
    <x v="0"/>
    <n v="37"/>
  </r>
  <r>
    <x v="645"/>
    <s v="SF Bay Area"/>
    <x v="11"/>
    <n v="10"/>
    <s v="NULL"/>
    <s v="0"/>
    <x v="2"/>
    <x v="309"/>
    <x v="15"/>
    <x v="3"/>
    <s v="04"/>
    <x v="4"/>
    <x v="0"/>
    <s v="Acquired"/>
    <x v="0"/>
    <n v="4"/>
  </r>
  <r>
    <x v="646"/>
    <s v="SF Bay Area"/>
    <x v="22"/>
    <n v="26"/>
    <s v="NULL"/>
    <s v="0"/>
    <x v="2"/>
    <x v="5"/>
    <x v="5"/>
    <x v="4"/>
    <s v="02"/>
    <x v="5"/>
    <x v="2"/>
    <s v="Series B"/>
    <x v="0"/>
    <n v="40"/>
  </r>
  <r>
    <x v="647"/>
    <s v="Bogota"/>
    <x v="22"/>
    <n v="30"/>
    <s v="NULL"/>
    <s v="0"/>
    <x v="2"/>
    <x v="162"/>
    <x v="25"/>
    <x v="9"/>
    <s v="06"/>
    <x v="9"/>
    <x v="0"/>
    <s v="Seed"/>
    <x v="35"/>
    <n v="6"/>
  </r>
  <r>
    <x v="648"/>
    <s v="Beijing"/>
    <x v="4"/>
    <n v="275"/>
    <n v="0.2"/>
    <s v="0"/>
    <x v="1"/>
    <x v="156"/>
    <x v="29"/>
    <x v="9"/>
    <s v="06"/>
    <x v="9"/>
    <x v="1"/>
    <s v="Unknown"/>
    <x v="21"/>
    <n v="2"/>
  </r>
  <r>
    <x v="648"/>
    <s v="Beijing"/>
    <x v="4"/>
    <n v="300"/>
    <n v="0.3"/>
    <s v="0"/>
    <x v="1"/>
    <x v="166"/>
    <x v="8"/>
    <x v="9"/>
    <s v="06"/>
    <x v="9"/>
    <x v="0"/>
    <s v="Unknown"/>
    <x v="21"/>
    <n v="2"/>
  </r>
  <r>
    <x v="649"/>
    <s v="Boston"/>
    <x v="28"/>
    <s v="NULL"/>
    <n v="0.35"/>
    <s v="0"/>
    <x v="1"/>
    <x v="294"/>
    <x v="11"/>
    <x v="0"/>
    <s v="07"/>
    <x v="3"/>
    <x v="0"/>
    <s v="Series D"/>
    <x v="0"/>
    <n v="269"/>
  </r>
  <r>
    <x v="649"/>
    <s v="Boston"/>
    <x v="28"/>
    <n v="30"/>
    <s v="NULL"/>
    <s v="0"/>
    <x v="2"/>
    <x v="183"/>
    <x v="30"/>
    <x v="2"/>
    <s v="01"/>
    <x v="2"/>
    <x v="1"/>
    <s v="Series D"/>
    <x v="0"/>
    <n v="269"/>
  </r>
  <r>
    <x v="650"/>
    <s v="New York City"/>
    <x v="13"/>
    <n v="100"/>
    <n v="0.25"/>
    <s v="0"/>
    <x v="1"/>
    <x v="325"/>
    <x v="19"/>
    <x v="6"/>
    <s v="03"/>
    <x v="7"/>
    <x v="0"/>
    <s v="Series E"/>
    <x v="0"/>
    <n v="289"/>
  </r>
  <r>
    <x v="651"/>
    <s v="New York City"/>
    <x v="26"/>
    <n v="3900"/>
    <n v="0.02"/>
    <s v="0"/>
    <x v="0"/>
    <x v="210"/>
    <x v="0"/>
    <x v="2"/>
    <s v="01"/>
    <x v="2"/>
    <x v="1"/>
    <s v="Post-IPO"/>
    <x v="0"/>
    <s v="NULL"/>
  </r>
  <r>
    <x v="652"/>
    <s v="Denver"/>
    <x v="3"/>
    <n v="87"/>
    <n v="0.15"/>
    <s v="0"/>
    <x v="1"/>
    <x v="101"/>
    <x v="5"/>
    <x v="0"/>
    <s v="07"/>
    <x v="3"/>
    <x v="2"/>
    <s v="Series D"/>
    <x v="0"/>
    <n v="85"/>
  </r>
  <r>
    <x v="653"/>
    <s v="Washington D.C."/>
    <x v="21"/>
    <n v="130"/>
    <s v="NULL"/>
    <s v="0"/>
    <x v="2"/>
    <x v="124"/>
    <x v="6"/>
    <x v="0"/>
    <s v="07"/>
    <x v="3"/>
    <x v="0"/>
    <s v="Unknown"/>
    <x v="0"/>
    <n v="275"/>
  </r>
  <r>
    <x v="654"/>
    <s v="Seattle"/>
    <x v="3"/>
    <n v="40"/>
    <s v="NULL"/>
    <s v="0"/>
    <x v="2"/>
    <x v="136"/>
    <x v="26"/>
    <x v="3"/>
    <s v="04"/>
    <x v="4"/>
    <x v="0"/>
    <s v="Series A"/>
    <x v="0"/>
    <n v="7"/>
  </r>
  <r>
    <x v="655"/>
    <s v="Logan"/>
    <x v="28"/>
    <n v="300"/>
    <n v="0.2"/>
    <s v="0"/>
    <x v="1"/>
    <x v="188"/>
    <x v="25"/>
    <x v="1"/>
    <s v="11"/>
    <x v="1"/>
    <x v="0"/>
    <s v="Private Equity"/>
    <x v="0"/>
    <n v="200"/>
  </r>
  <r>
    <x v="656"/>
    <s v="Kuala Lumpur"/>
    <x v="2"/>
    <n v="50"/>
    <n v="0.12"/>
    <s v="0"/>
    <x v="1"/>
    <x v="326"/>
    <x v="5"/>
    <x v="3"/>
    <s v="04"/>
    <x v="4"/>
    <x v="2"/>
    <s v="Unknown"/>
    <x v="29"/>
    <n v="348"/>
  </r>
  <r>
    <x v="657"/>
    <s v="Sao Paulo"/>
    <x v="8"/>
    <n v="355"/>
    <n v="0.06"/>
    <s v="0"/>
    <x v="0"/>
    <x v="223"/>
    <x v="19"/>
    <x v="2"/>
    <s v="01"/>
    <x v="2"/>
    <x v="1"/>
    <s v="Subsidiary"/>
    <x v="3"/>
    <n v="2100"/>
  </r>
  <r>
    <x v="658"/>
    <s v="SF Bay Area"/>
    <x v="4"/>
    <s v="NULL"/>
    <n v="0.5"/>
    <s v="0"/>
    <x v="1"/>
    <x v="50"/>
    <x v="22"/>
    <x v="1"/>
    <s v="11"/>
    <x v="1"/>
    <x v="0"/>
    <s v="Series A"/>
    <x v="0"/>
    <n v="9"/>
  </r>
  <r>
    <x v="659"/>
    <s v="Sydney"/>
    <x v="12"/>
    <s v="NULL"/>
    <n v="0.1"/>
    <s v="0"/>
    <x v="0"/>
    <x v="213"/>
    <x v="17"/>
    <x v="2"/>
    <s v="01"/>
    <x v="2"/>
    <x v="1"/>
    <s v="Series C"/>
    <x v="4"/>
    <n v="74"/>
  </r>
  <r>
    <x v="660"/>
    <s v="SF Bay Area"/>
    <x v="10"/>
    <n v="10"/>
    <n v="0.14000000000000001"/>
    <s v="0"/>
    <x v="1"/>
    <x v="42"/>
    <x v="28"/>
    <x v="3"/>
    <s v="04"/>
    <x v="4"/>
    <x v="2"/>
    <s v="Series A"/>
    <x v="0"/>
    <n v="52"/>
  </r>
  <r>
    <x v="661"/>
    <s v="San Diego"/>
    <x v="0"/>
    <n v="500"/>
    <n v="0.05"/>
    <s v="0"/>
    <x v="0"/>
    <x v="188"/>
    <x v="25"/>
    <x v="1"/>
    <s v="11"/>
    <x v="1"/>
    <x v="0"/>
    <s v="Post-IPO"/>
    <x v="0"/>
    <n v="28"/>
  </r>
  <r>
    <x v="662"/>
    <s v="Bristol"/>
    <x v="21"/>
    <n v="38"/>
    <n v="0.1"/>
    <s v="0"/>
    <x v="0"/>
    <x v="273"/>
    <x v="14"/>
    <x v="5"/>
    <s v="08"/>
    <x v="6"/>
    <x v="0"/>
    <s v="Series C"/>
    <x v="17"/>
    <n v="123"/>
  </r>
  <r>
    <x v="663"/>
    <s v="Sydney"/>
    <x v="4"/>
    <s v="NULL"/>
    <n v="0.11"/>
    <s v="0"/>
    <x v="1"/>
    <x v="327"/>
    <x v="28"/>
    <x v="4"/>
    <s v="02"/>
    <x v="5"/>
    <x v="1"/>
    <s v="Series C"/>
    <x v="4"/>
    <n v="279"/>
  </r>
  <r>
    <x v="663"/>
    <s v="Sydney"/>
    <x v="4"/>
    <n v="20"/>
    <n v="0.06"/>
    <s v="0"/>
    <x v="0"/>
    <x v="262"/>
    <x v="16"/>
    <x v="0"/>
    <s v="07"/>
    <x v="3"/>
    <x v="0"/>
    <s v="Series C"/>
    <x v="4"/>
    <n v="279"/>
  </r>
  <r>
    <x v="664"/>
    <s v="Los Angeles"/>
    <x v="1"/>
    <s v="NULL"/>
    <n v="0.1"/>
    <s v="0"/>
    <x v="0"/>
    <x v="293"/>
    <x v="0"/>
    <x v="5"/>
    <s v="08"/>
    <x v="6"/>
    <x v="0"/>
    <s v="Private Equity"/>
    <x v="0"/>
    <n v="361"/>
  </r>
  <r>
    <x v="665"/>
    <s v="London"/>
    <x v="14"/>
    <n v="30"/>
    <n v="0.35"/>
    <s v="0"/>
    <x v="1"/>
    <x v="6"/>
    <x v="6"/>
    <x v="2"/>
    <s v="01"/>
    <x v="2"/>
    <x v="0"/>
    <s v="Series B"/>
    <x v="17"/>
    <n v="32"/>
  </r>
  <r>
    <x v="666"/>
    <s v="SF Bay Area"/>
    <x v="8"/>
    <n v="50"/>
    <s v="NULL"/>
    <s v="0"/>
    <x v="2"/>
    <x v="212"/>
    <x v="9"/>
    <x v="0"/>
    <s v="07"/>
    <x v="3"/>
    <x v="0"/>
    <s v="Series D"/>
    <x v="0"/>
    <n v="229"/>
  </r>
  <r>
    <x v="667"/>
    <s v="SF Bay Area"/>
    <x v="8"/>
    <n v="50"/>
    <n v="0.06"/>
    <s v="0"/>
    <x v="0"/>
    <x v="236"/>
    <x v="10"/>
    <x v="9"/>
    <s v="06"/>
    <x v="9"/>
    <x v="0"/>
    <s v="Series H"/>
    <x v="0"/>
    <n v="1900"/>
  </r>
  <r>
    <x v="668"/>
    <s v="SF Bay Area"/>
    <x v="8"/>
    <n v="140"/>
    <n v="0.2"/>
    <s v="0"/>
    <x v="1"/>
    <x v="81"/>
    <x v="14"/>
    <x v="2"/>
    <s v="01"/>
    <x v="2"/>
    <x v="1"/>
    <s v="Series H"/>
    <x v="0"/>
    <n v="1900"/>
  </r>
  <r>
    <x v="669"/>
    <s v="London"/>
    <x v="18"/>
    <s v="NULL"/>
    <n v="0.1"/>
    <s v="0"/>
    <x v="0"/>
    <x v="328"/>
    <x v="17"/>
    <x v="7"/>
    <s v="12"/>
    <x v="0"/>
    <x v="0"/>
    <s v="Unknown"/>
    <x v="17"/>
    <n v="704"/>
  </r>
  <r>
    <x v="670"/>
    <s v="SF Bay Area"/>
    <x v="0"/>
    <n v="9"/>
    <n v="0.4"/>
    <s v="0"/>
    <x v="1"/>
    <x v="19"/>
    <x v="5"/>
    <x v="2"/>
    <s v="01"/>
    <x v="2"/>
    <x v="2"/>
    <s v="Series A"/>
    <x v="0"/>
    <n v="15"/>
  </r>
  <r>
    <x v="671"/>
    <s v="Sydney"/>
    <x v="12"/>
    <n v="40"/>
    <n v="0.17"/>
    <s v="0"/>
    <x v="1"/>
    <x v="262"/>
    <x v="16"/>
    <x v="0"/>
    <s v="07"/>
    <x v="3"/>
    <x v="0"/>
    <s v="Series B"/>
    <x v="4"/>
    <n v="41"/>
  </r>
  <r>
    <x v="672"/>
    <s v="Boston"/>
    <x v="18"/>
    <n v="80"/>
    <s v="NULL"/>
    <s v="0"/>
    <x v="2"/>
    <x v="329"/>
    <x v="24"/>
    <x v="8"/>
    <s v="09"/>
    <x v="8"/>
    <x v="3"/>
    <s v="Series F"/>
    <x v="0"/>
    <n v="1200"/>
  </r>
  <r>
    <x v="673"/>
    <s v="New York City"/>
    <x v="20"/>
    <n v="90"/>
    <n v="0.2"/>
    <s v="0"/>
    <x v="1"/>
    <x v="5"/>
    <x v="5"/>
    <x v="4"/>
    <s v="02"/>
    <x v="5"/>
    <x v="2"/>
    <s v="Series D"/>
    <x v="0"/>
    <n v="222"/>
  </r>
  <r>
    <x v="674"/>
    <s v="Berlin"/>
    <x v="18"/>
    <n v="50"/>
    <n v="0.05"/>
    <s v="0"/>
    <x v="0"/>
    <x v="130"/>
    <x v="25"/>
    <x v="8"/>
    <s v="09"/>
    <x v="8"/>
    <x v="0"/>
    <s v="Series D"/>
    <x v="7"/>
    <n v="604"/>
  </r>
  <r>
    <x v="674"/>
    <s v="Berlin"/>
    <x v="18"/>
    <n v="500"/>
    <n v="0.5"/>
    <s v="0"/>
    <x v="1"/>
    <x v="44"/>
    <x v="8"/>
    <x v="1"/>
    <s v="11"/>
    <x v="1"/>
    <x v="0"/>
    <s v="Series D"/>
    <x v="7"/>
    <n v="604"/>
  </r>
  <r>
    <x v="675"/>
    <s v="SF Bay Area"/>
    <x v="13"/>
    <n v="65"/>
    <n v="0.27"/>
    <s v="0"/>
    <x v="1"/>
    <x v="99"/>
    <x v="23"/>
    <x v="11"/>
    <s v="10"/>
    <x v="11"/>
    <x v="0"/>
    <s v="Series D"/>
    <x v="0"/>
    <n v="119"/>
  </r>
  <r>
    <x v="676"/>
    <s v="SF Bay Area"/>
    <x v="13"/>
    <n v="450"/>
    <n v="7.0000000000000007E-2"/>
    <s v="0"/>
    <x v="0"/>
    <x v="110"/>
    <x v="29"/>
    <x v="11"/>
    <s v="10"/>
    <x v="11"/>
    <x v="1"/>
    <s v="Post-IPO"/>
    <x v="0"/>
    <s v="NULL"/>
  </r>
  <r>
    <x v="677"/>
    <s v="London"/>
    <x v="21"/>
    <n v="20"/>
    <n v="0.12"/>
    <s v="0"/>
    <x v="1"/>
    <x v="88"/>
    <x v="30"/>
    <x v="11"/>
    <s v="10"/>
    <x v="11"/>
    <x v="0"/>
    <s v="Series B"/>
    <x v="17"/>
    <n v="88"/>
  </r>
  <r>
    <x v="678"/>
    <s v="Bengaluru"/>
    <x v="1"/>
    <n v="50"/>
    <s v="NULL"/>
    <s v="0"/>
    <x v="2"/>
    <x v="151"/>
    <x v="27"/>
    <x v="2"/>
    <s v="01"/>
    <x v="2"/>
    <x v="1"/>
    <s v="Unknown"/>
    <x v="6"/>
    <n v="320"/>
  </r>
  <r>
    <x v="679"/>
    <s v="SF Bay Area"/>
    <x v="0"/>
    <n v="90"/>
    <n v="0.08"/>
    <s v="0"/>
    <x v="0"/>
    <x v="7"/>
    <x v="7"/>
    <x v="2"/>
    <s v="01"/>
    <x v="2"/>
    <x v="0"/>
    <s v="Series E"/>
    <x v="0"/>
    <n v="379"/>
  </r>
  <r>
    <x v="679"/>
    <s v="SF Bay Area"/>
    <x v="0"/>
    <n v="245"/>
    <n v="0.15"/>
    <s v="0"/>
    <x v="1"/>
    <x v="146"/>
    <x v="18"/>
    <x v="2"/>
    <s v="01"/>
    <x v="2"/>
    <x v="1"/>
    <s v="Series E"/>
    <x v="0"/>
    <n v="379"/>
  </r>
  <r>
    <x v="680"/>
    <s v="New York City"/>
    <x v="1"/>
    <n v="40"/>
    <n v="0.1"/>
    <s v="0"/>
    <x v="0"/>
    <x v="151"/>
    <x v="27"/>
    <x v="2"/>
    <s v="01"/>
    <x v="2"/>
    <x v="1"/>
    <s v="Post-IPO"/>
    <x v="0"/>
    <n v="295"/>
  </r>
  <r>
    <x v="681"/>
    <s v="Boulder"/>
    <x v="0"/>
    <n v="43"/>
    <s v="NULL"/>
    <s v="0"/>
    <x v="2"/>
    <x v="39"/>
    <x v="20"/>
    <x v="5"/>
    <s v="08"/>
    <x v="6"/>
    <x v="0"/>
    <s v="Series E"/>
    <x v="0"/>
    <n v="459"/>
  </r>
  <r>
    <x v="682"/>
    <s v="Denver"/>
    <x v="14"/>
    <n v="109"/>
    <n v="0.12"/>
    <s v="0"/>
    <x v="1"/>
    <x v="12"/>
    <x v="11"/>
    <x v="2"/>
    <s v="01"/>
    <x v="2"/>
    <x v="1"/>
    <s v="Post-IPO"/>
    <x v="0"/>
    <n v="179"/>
  </r>
  <r>
    <x v="682"/>
    <s v="Denver"/>
    <x v="14"/>
    <n v="130"/>
    <n v="0.22"/>
    <s v="0"/>
    <x v="1"/>
    <x v="313"/>
    <x v="17"/>
    <x v="6"/>
    <s v="03"/>
    <x v="7"/>
    <x v="2"/>
    <s v="Series C"/>
    <x v="0"/>
    <n v="79"/>
  </r>
  <r>
    <x v="683"/>
    <s v="SF Bay Area"/>
    <x v="8"/>
    <n v="1877"/>
    <s v="NULL"/>
    <s v="0"/>
    <x v="2"/>
    <x v="330"/>
    <x v="12"/>
    <x v="2"/>
    <s v="01"/>
    <x v="2"/>
    <x v="3"/>
    <s v="Unknown"/>
    <x v="0"/>
    <n v="2400"/>
  </r>
  <r>
    <x v="684"/>
    <s v="Bengaluru"/>
    <x v="12"/>
    <n v="6"/>
    <n v="0.06"/>
    <s v="0"/>
    <x v="0"/>
    <x v="5"/>
    <x v="5"/>
    <x v="4"/>
    <s v="02"/>
    <x v="5"/>
    <x v="2"/>
    <s v="Unknown"/>
    <x v="6"/>
    <n v="8"/>
  </r>
  <r>
    <x v="685"/>
    <s v="Salt Lake City"/>
    <x v="5"/>
    <n v="150"/>
    <n v="0.12"/>
    <s v="0"/>
    <x v="1"/>
    <x v="269"/>
    <x v="2"/>
    <x v="10"/>
    <s v="05"/>
    <x v="10"/>
    <x v="2"/>
    <s v="Acquired"/>
    <x v="0"/>
    <n v="89"/>
  </r>
  <r>
    <x v="686"/>
    <s v="SF Bay Area"/>
    <x v="30"/>
    <n v="45"/>
    <n v="0.05"/>
    <s v="0"/>
    <x v="0"/>
    <x v="32"/>
    <x v="11"/>
    <x v="10"/>
    <s v="05"/>
    <x v="10"/>
    <x v="2"/>
    <s v="Private Equity"/>
    <x v="0"/>
    <s v="NULL"/>
  </r>
  <r>
    <x v="687"/>
    <s v="New York City"/>
    <x v="1"/>
    <n v="70"/>
    <n v="0.1"/>
    <s v="0"/>
    <x v="0"/>
    <x v="235"/>
    <x v="25"/>
    <x v="10"/>
    <s v="05"/>
    <x v="10"/>
    <x v="2"/>
    <s v="Acquired"/>
    <x v="0"/>
    <n v="116"/>
  </r>
  <r>
    <x v="687"/>
    <s v="New York City"/>
    <x v="1"/>
    <n v="120"/>
    <n v="0.13"/>
    <s v="0"/>
    <x v="1"/>
    <x v="207"/>
    <x v="20"/>
    <x v="0"/>
    <s v="07"/>
    <x v="3"/>
    <x v="0"/>
    <s v="Acquired"/>
    <x v="0"/>
    <n v="116"/>
  </r>
  <r>
    <x v="688"/>
    <s v="Toronto"/>
    <x v="9"/>
    <n v="26"/>
    <s v="NULL"/>
    <s v="0"/>
    <x v="2"/>
    <x v="331"/>
    <x v="6"/>
    <x v="8"/>
    <s v="09"/>
    <x v="8"/>
    <x v="2"/>
    <s v="Unknown"/>
    <x v="2"/>
    <n v="40"/>
  </r>
  <r>
    <x v="689"/>
    <s v="SF Bay Area"/>
    <x v="26"/>
    <n v="201"/>
    <s v="NULL"/>
    <s v="0"/>
    <x v="2"/>
    <x v="26"/>
    <x v="20"/>
    <x v="9"/>
    <s v="06"/>
    <x v="9"/>
    <x v="0"/>
    <s v="Post-IPO"/>
    <x v="0"/>
    <n v="12"/>
  </r>
  <r>
    <x v="689"/>
    <s v="SF Bay Area"/>
    <x v="26"/>
    <n v="343"/>
    <s v="NULL"/>
    <s v="0"/>
    <x v="2"/>
    <x v="81"/>
    <x v="14"/>
    <x v="2"/>
    <s v="01"/>
    <x v="2"/>
    <x v="1"/>
    <s v="Post-IPO"/>
    <x v="0"/>
    <n v="12"/>
  </r>
  <r>
    <x v="690"/>
    <s v="SF Bay Area"/>
    <x v="9"/>
    <n v="39"/>
    <n v="0.06"/>
    <s v="0"/>
    <x v="0"/>
    <x v="332"/>
    <x v="13"/>
    <x v="10"/>
    <s v="05"/>
    <x v="10"/>
    <x v="2"/>
    <s v="Series D"/>
    <x v="0"/>
    <n v="240"/>
  </r>
  <r>
    <x v="690"/>
    <s v="SF Bay Area"/>
    <x v="9"/>
    <n v="49"/>
    <n v="0.05"/>
    <s v="0"/>
    <x v="0"/>
    <x v="251"/>
    <x v="7"/>
    <x v="0"/>
    <s v="07"/>
    <x v="3"/>
    <x v="0"/>
    <s v="Series D"/>
    <x v="0"/>
    <n v="240"/>
  </r>
  <r>
    <x v="690"/>
    <s v="SF Bay Area"/>
    <x v="9"/>
    <n v="124"/>
    <n v="0.13"/>
    <s v="0"/>
    <x v="1"/>
    <x v="188"/>
    <x v="25"/>
    <x v="1"/>
    <s v="11"/>
    <x v="1"/>
    <x v="0"/>
    <s v="Series D"/>
    <x v="0"/>
    <n v="240"/>
  </r>
  <r>
    <x v="691"/>
    <s v="Toronto"/>
    <x v="16"/>
    <n v="19"/>
    <n v="0.11"/>
    <s v="0"/>
    <x v="1"/>
    <x v="249"/>
    <x v="3"/>
    <x v="10"/>
    <s v="05"/>
    <x v="10"/>
    <x v="2"/>
    <s v="Acquired"/>
    <x v="2"/>
    <s v="NULL"/>
  </r>
  <r>
    <x v="692"/>
    <s v="SF Bay Area"/>
    <x v="18"/>
    <n v="40"/>
    <n v="0.2"/>
    <s v="0"/>
    <x v="1"/>
    <x v="193"/>
    <x v="29"/>
    <x v="1"/>
    <s v="11"/>
    <x v="1"/>
    <x v="1"/>
    <s v="Acquired"/>
    <x v="0"/>
    <s v="NULL"/>
  </r>
  <r>
    <x v="693"/>
    <s v="Ferdericton"/>
    <x v="7"/>
    <n v="57"/>
    <n v="0.16"/>
    <s v="0"/>
    <x v="1"/>
    <x v="75"/>
    <x v="13"/>
    <x v="0"/>
    <s v="07"/>
    <x v="3"/>
    <x v="0"/>
    <s v="Series C"/>
    <x v="2"/>
    <n v="125"/>
  </r>
  <r>
    <x v="694"/>
    <s v="SF Bay Area"/>
    <x v="12"/>
    <n v="715"/>
    <n v="7.0000000000000007E-2"/>
    <s v="0"/>
    <x v="0"/>
    <x v="333"/>
    <x v="28"/>
    <x v="9"/>
    <s v="06"/>
    <x v="9"/>
    <x v="2"/>
    <s v="Post-IPO"/>
    <x v="0"/>
    <n v="18"/>
  </r>
  <r>
    <x v="695"/>
    <s v="New York City"/>
    <x v="16"/>
    <s v="NULL"/>
    <n v="0.5"/>
    <s v="0"/>
    <x v="1"/>
    <x v="14"/>
    <x v="12"/>
    <x v="0"/>
    <s v="07"/>
    <x v="3"/>
    <x v="0"/>
    <s v="Series F"/>
    <x v="0"/>
    <n v="356"/>
  </r>
  <r>
    <x v="695"/>
    <s v="New York City"/>
    <x v="16"/>
    <n v="22"/>
    <s v="NULL"/>
    <s v="0"/>
    <x v="2"/>
    <x v="334"/>
    <x v="10"/>
    <x v="10"/>
    <s v="05"/>
    <x v="10"/>
    <x v="3"/>
    <s v="Unknown"/>
    <x v="0"/>
    <n v="356"/>
  </r>
  <r>
    <x v="696"/>
    <s v="SF Bay Area"/>
    <x v="0"/>
    <n v="1000"/>
    <s v="NULL"/>
    <s v="0"/>
    <x v="2"/>
    <x v="185"/>
    <x v="30"/>
    <x v="0"/>
    <s v="07"/>
    <x v="3"/>
    <x v="0"/>
    <s v="Post-IPO"/>
    <x v="0"/>
    <n v="2000"/>
  </r>
  <r>
    <x v="697"/>
    <s v="FlorianÃƒÂ³polis"/>
    <x v="3"/>
    <n v="70"/>
    <n v="0.18"/>
    <s v="0"/>
    <x v="1"/>
    <x v="3"/>
    <x v="3"/>
    <x v="0"/>
    <s v="07"/>
    <x v="3"/>
    <x v="0"/>
    <s v="Unknown"/>
    <x v="3"/>
    <n v="23"/>
  </r>
  <r>
    <x v="698"/>
    <s v="Kuala Lumpur"/>
    <x v="3"/>
    <n v="50"/>
    <n v="0.2"/>
    <s v="0"/>
    <x v="1"/>
    <x v="335"/>
    <x v="6"/>
    <x v="5"/>
    <s v="08"/>
    <x v="6"/>
    <x v="0"/>
    <s v="Unknown"/>
    <x v="29"/>
    <n v="26"/>
  </r>
  <r>
    <x v="699"/>
    <s v="New York City"/>
    <x v="8"/>
    <n v="9"/>
    <n v="0.5"/>
    <s v="0"/>
    <x v="1"/>
    <x v="144"/>
    <x v="14"/>
    <x v="6"/>
    <s v="03"/>
    <x v="7"/>
    <x v="2"/>
    <s v="Seed"/>
    <x v="0"/>
    <n v="15"/>
  </r>
  <r>
    <x v="700"/>
    <s v="SF Bay Area"/>
    <x v="2"/>
    <n v="25"/>
    <n v="0.25"/>
    <s v="0"/>
    <x v="1"/>
    <x v="186"/>
    <x v="6"/>
    <x v="4"/>
    <s v="02"/>
    <x v="5"/>
    <x v="0"/>
    <s v="Series C"/>
    <x v="0"/>
    <n v="197"/>
  </r>
  <r>
    <x v="701"/>
    <s v="Boston"/>
    <x v="2"/>
    <n v="85"/>
    <n v="7.0000000000000007E-2"/>
    <s v="0"/>
    <x v="0"/>
    <x v="196"/>
    <x v="3"/>
    <x v="4"/>
    <s v="02"/>
    <x v="5"/>
    <x v="1"/>
    <s v="Acquired"/>
    <x v="0"/>
    <n v="30"/>
  </r>
  <r>
    <x v="701"/>
    <s v="Boston"/>
    <x v="2"/>
    <n v="140"/>
    <n v="0.1"/>
    <s v="0"/>
    <x v="0"/>
    <x v="336"/>
    <x v="4"/>
    <x v="10"/>
    <s v="05"/>
    <x v="10"/>
    <x v="0"/>
    <s v="Acquired"/>
    <x v="0"/>
    <n v="30"/>
  </r>
  <r>
    <x v="702"/>
    <s v="SF Bay Area"/>
    <x v="8"/>
    <n v="50"/>
    <n v="0.5"/>
    <s v="0"/>
    <x v="1"/>
    <x v="127"/>
    <x v="23"/>
    <x v="4"/>
    <s v="02"/>
    <x v="5"/>
    <x v="0"/>
    <s v="Series C"/>
    <x v="0"/>
    <n v="103"/>
  </r>
  <r>
    <x v="703"/>
    <s v="Washington D.C."/>
    <x v="21"/>
    <n v="55"/>
    <n v="0.17"/>
    <s v="0"/>
    <x v="1"/>
    <x v="106"/>
    <x v="28"/>
    <x v="9"/>
    <s v="06"/>
    <x v="9"/>
    <x v="0"/>
    <s v="Post-IPO"/>
    <x v="0"/>
    <n v="410"/>
  </r>
  <r>
    <x v="703"/>
    <s v="Washington D.C."/>
    <x v="21"/>
    <n v="90"/>
    <n v="0.35"/>
    <s v="0"/>
    <x v="1"/>
    <x v="106"/>
    <x v="28"/>
    <x v="9"/>
    <s v="06"/>
    <x v="9"/>
    <x v="0"/>
    <s v="Post-IPO"/>
    <x v="0"/>
    <n v="410"/>
  </r>
  <r>
    <x v="704"/>
    <s v="Los Angeles"/>
    <x v="2"/>
    <n v="200"/>
    <n v="0.17"/>
    <s v="0"/>
    <x v="1"/>
    <x v="4"/>
    <x v="4"/>
    <x v="3"/>
    <s v="04"/>
    <x v="4"/>
    <x v="0"/>
    <s v="Unknown"/>
    <x v="0"/>
    <n v="652"/>
  </r>
  <r>
    <x v="705"/>
    <s v="Portland"/>
    <x v="16"/>
    <n v="12"/>
    <n v="0.05"/>
    <s v="0"/>
    <x v="0"/>
    <x v="216"/>
    <x v="0"/>
    <x v="6"/>
    <s v="03"/>
    <x v="7"/>
    <x v="2"/>
    <s v="Unknown"/>
    <x v="0"/>
    <n v="233"/>
  </r>
  <r>
    <x v="706"/>
    <s v="Jakarta"/>
    <x v="3"/>
    <n v="200"/>
    <n v="0.3"/>
    <s v="0"/>
    <x v="1"/>
    <x v="205"/>
    <x v="25"/>
    <x v="7"/>
    <s v="12"/>
    <x v="0"/>
    <x v="0"/>
    <s v="Post-IPO"/>
    <x v="11"/>
    <n v="5100"/>
  </r>
  <r>
    <x v="707"/>
    <s v="Boston"/>
    <x v="16"/>
    <s v="NULL"/>
    <n v="0.09"/>
    <s v="0"/>
    <x v="0"/>
    <x v="76"/>
    <x v="3"/>
    <x v="2"/>
    <s v="01"/>
    <x v="2"/>
    <x v="1"/>
    <s v="Series C"/>
    <x v="0"/>
    <n v="114"/>
  </r>
  <r>
    <x v="708"/>
    <s v="New York City"/>
    <x v="11"/>
    <s v="NULL"/>
    <n v="0.08"/>
    <s v="0"/>
    <x v="0"/>
    <x v="153"/>
    <x v="6"/>
    <x v="8"/>
    <s v="09"/>
    <x v="8"/>
    <x v="0"/>
    <s v="Series C"/>
    <x v="0"/>
    <n v="22"/>
  </r>
  <r>
    <x v="708"/>
    <s v="Paris"/>
    <x v="11"/>
    <n v="208"/>
    <s v="NULL"/>
    <s v="0"/>
    <x v="2"/>
    <x v="116"/>
    <x v="15"/>
    <x v="4"/>
    <s v="02"/>
    <x v="5"/>
    <x v="1"/>
    <s v="Series C"/>
    <x v="19"/>
    <n v="22"/>
  </r>
  <r>
    <x v="709"/>
    <s v="Seattle"/>
    <x v="20"/>
    <s v="NULL"/>
    <n v="1"/>
    <s v="1"/>
    <x v="3"/>
    <x v="40"/>
    <x v="15"/>
    <x v="9"/>
    <s v="06"/>
    <x v="9"/>
    <x v="0"/>
    <s v="Series B"/>
    <x v="0"/>
    <n v="44"/>
  </r>
  <r>
    <x v="709"/>
    <s v="Seattle"/>
    <x v="20"/>
    <n v="20"/>
    <n v="0.2"/>
    <s v="0"/>
    <x v="1"/>
    <x v="95"/>
    <x v="2"/>
    <x v="3"/>
    <s v="04"/>
    <x v="4"/>
    <x v="2"/>
    <s v="Series A"/>
    <x v="0"/>
    <n v="24"/>
  </r>
  <r>
    <x v="710"/>
    <s v="New York City"/>
    <x v="12"/>
    <n v="35"/>
    <n v="0.4"/>
    <s v="0"/>
    <x v="1"/>
    <x v="64"/>
    <x v="5"/>
    <x v="6"/>
    <s v="03"/>
    <x v="7"/>
    <x v="2"/>
    <s v="Series B"/>
    <x v="0"/>
    <n v="40"/>
  </r>
  <r>
    <x v="711"/>
    <s v="Hamburg"/>
    <x v="18"/>
    <n v="50"/>
    <n v="0.16"/>
    <s v="0"/>
    <x v="1"/>
    <x v="70"/>
    <x v="15"/>
    <x v="1"/>
    <s v="11"/>
    <x v="1"/>
    <x v="0"/>
    <s v="Unknown"/>
    <x v="7"/>
    <n v="28"/>
  </r>
  <r>
    <x v="712"/>
    <s v="Chicago"/>
    <x v="2"/>
    <n v="6"/>
    <n v="0.21"/>
    <s v="0"/>
    <x v="1"/>
    <x v="24"/>
    <x v="18"/>
    <x v="3"/>
    <s v="04"/>
    <x v="4"/>
    <x v="2"/>
    <s v="Unknown"/>
    <x v="0"/>
    <n v="12"/>
  </r>
  <r>
    <x v="713"/>
    <s v="Boston"/>
    <x v="19"/>
    <n v="39"/>
    <n v="0.2"/>
    <s v="0"/>
    <x v="1"/>
    <x v="5"/>
    <x v="5"/>
    <x v="4"/>
    <s v="02"/>
    <x v="5"/>
    <x v="2"/>
    <s v="Private Equity"/>
    <x v="0"/>
    <n v="118"/>
  </r>
  <r>
    <x v="714"/>
    <s v="New York City"/>
    <x v="8"/>
    <n v="50"/>
    <n v="0.05"/>
    <s v="0"/>
    <x v="0"/>
    <x v="208"/>
    <x v="17"/>
    <x v="9"/>
    <s v="06"/>
    <x v="9"/>
    <x v="0"/>
    <s v="Series B"/>
    <x v="0"/>
    <n v="430"/>
  </r>
  <r>
    <x v="715"/>
    <s v="Boston"/>
    <x v="0"/>
    <s v="NULL"/>
    <n v="0.56999999999999995"/>
    <s v="0"/>
    <x v="4"/>
    <x v="327"/>
    <x v="28"/>
    <x v="4"/>
    <s v="02"/>
    <x v="5"/>
    <x v="1"/>
    <s v="Acquired"/>
    <x v="0"/>
    <n v="194"/>
  </r>
  <r>
    <x v="716"/>
    <s v="Lagos"/>
    <x v="3"/>
    <n v="900"/>
    <n v="0.2"/>
    <s v="0"/>
    <x v="1"/>
    <x v="252"/>
    <x v="12"/>
    <x v="1"/>
    <s v="11"/>
    <x v="1"/>
    <x v="0"/>
    <s v="Post-IPO"/>
    <x v="13"/>
    <n v="1200"/>
  </r>
  <r>
    <x v="717"/>
    <s v="SF Bay Area"/>
    <x v="21"/>
    <n v="100"/>
    <n v="0.06"/>
    <s v="0"/>
    <x v="0"/>
    <x v="193"/>
    <x v="29"/>
    <x v="1"/>
    <s v="11"/>
    <x v="1"/>
    <x v="1"/>
    <s v="Private Equity"/>
    <x v="0"/>
    <n v="205"/>
  </r>
  <r>
    <x v="718"/>
    <s v="New York City"/>
    <x v="10"/>
    <n v="500"/>
    <n v="1"/>
    <s v="1"/>
    <x v="3"/>
    <x v="43"/>
    <x v="26"/>
    <x v="0"/>
    <s v="07"/>
    <x v="3"/>
    <x v="2"/>
    <s v="Acquired"/>
    <x v="0"/>
    <n v="11"/>
  </r>
  <r>
    <x v="719"/>
    <s v="Boulder"/>
    <x v="21"/>
    <n v="100"/>
    <n v="0.12"/>
    <s v="0"/>
    <x v="1"/>
    <x v="12"/>
    <x v="11"/>
    <x v="2"/>
    <s v="01"/>
    <x v="2"/>
    <x v="1"/>
    <s v="Series F"/>
    <x v="0"/>
    <n v="416"/>
  </r>
  <r>
    <x v="720"/>
    <s v="Gothenburg"/>
    <x v="12"/>
    <n v="72"/>
    <n v="0.33"/>
    <s v="0"/>
    <x v="1"/>
    <x v="1"/>
    <x v="1"/>
    <x v="1"/>
    <s v="11"/>
    <x v="1"/>
    <x v="0"/>
    <s v="Unknown"/>
    <x v="5"/>
    <n v="281"/>
  </r>
  <r>
    <x v="721"/>
    <s v="SF Bay Area"/>
    <x v="20"/>
    <s v="NULL"/>
    <n v="0.14000000000000001"/>
    <s v="0"/>
    <x v="1"/>
    <x v="161"/>
    <x v="7"/>
    <x v="9"/>
    <s v="06"/>
    <x v="9"/>
    <x v="0"/>
    <s v="Series C"/>
    <x v="0"/>
    <n v="108"/>
  </r>
  <r>
    <x v="722"/>
    <s v="Amsterdam"/>
    <x v="8"/>
    <n v="390"/>
    <s v="NULL"/>
    <s v="0"/>
    <x v="2"/>
    <x v="75"/>
    <x v="13"/>
    <x v="0"/>
    <s v="07"/>
    <x v="3"/>
    <x v="0"/>
    <s v="Post-IPO"/>
    <x v="26"/>
    <n v="2800"/>
  </r>
  <r>
    <x v="723"/>
    <s v="SF Bay Area"/>
    <x v="2"/>
    <n v="400"/>
    <n v="0.3"/>
    <s v="0"/>
    <x v="1"/>
    <x v="99"/>
    <x v="23"/>
    <x v="11"/>
    <s v="10"/>
    <x v="11"/>
    <x v="0"/>
    <s v="Unknown"/>
    <x v="0"/>
    <n v="1500"/>
  </r>
  <r>
    <x v="723"/>
    <s v="SF Bay Area"/>
    <x v="2"/>
    <n v="900"/>
    <n v="0.3"/>
    <s v="0"/>
    <x v="1"/>
    <x v="36"/>
    <x v="26"/>
    <x v="10"/>
    <s v="05"/>
    <x v="10"/>
    <x v="2"/>
    <s v="Unknown"/>
    <x v="0"/>
    <n v="1500"/>
  </r>
  <r>
    <x v="724"/>
    <s v="SF Bay Area"/>
    <x v="2"/>
    <n v="35"/>
    <n v="7.0000000000000007E-2"/>
    <s v="0"/>
    <x v="0"/>
    <x v="98"/>
    <x v="23"/>
    <x v="8"/>
    <s v="09"/>
    <x v="8"/>
    <x v="0"/>
    <s v="Acquired"/>
    <x v="0"/>
    <n v="244"/>
  </r>
  <r>
    <x v="725"/>
    <s v="New York City"/>
    <x v="11"/>
    <s v="NULL"/>
    <n v="0.1"/>
    <s v="0"/>
    <x v="0"/>
    <x v="17"/>
    <x v="4"/>
    <x v="8"/>
    <s v="09"/>
    <x v="8"/>
    <x v="0"/>
    <s v="Post-IPO"/>
    <x v="0"/>
    <n v="166"/>
  </r>
  <r>
    <x v="725"/>
    <s v="New York City"/>
    <x v="11"/>
    <n v="75"/>
    <n v="0.11"/>
    <s v="0"/>
    <x v="1"/>
    <x v="54"/>
    <x v="29"/>
    <x v="3"/>
    <s v="04"/>
    <x v="4"/>
    <x v="1"/>
    <s v="Post-IPO"/>
    <x v="0"/>
    <n v="166"/>
  </r>
  <r>
    <x v="726"/>
    <s v="Los Angeles"/>
    <x v="2"/>
    <s v="NULL"/>
    <n v="1"/>
    <s v="1"/>
    <x v="3"/>
    <x v="57"/>
    <x v="19"/>
    <x v="4"/>
    <s v="02"/>
    <x v="5"/>
    <x v="1"/>
    <s v="Acquired"/>
    <x v="0"/>
    <s v="NULL"/>
  </r>
  <r>
    <x v="727"/>
    <s v="San Diego"/>
    <x v="18"/>
    <s v="NULL"/>
    <n v="0.17"/>
    <s v="0"/>
    <x v="1"/>
    <x v="1"/>
    <x v="1"/>
    <x v="1"/>
    <s v="11"/>
    <x v="1"/>
    <x v="0"/>
    <s v="Series C"/>
    <x v="0"/>
    <n v="188"/>
  </r>
  <r>
    <x v="728"/>
    <s v="Selangor"/>
    <x v="2"/>
    <s v="NULL"/>
    <n v="1"/>
    <s v="1"/>
    <x v="3"/>
    <x v="186"/>
    <x v="6"/>
    <x v="4"/>
    <s v="02"/>
    <x v="5"/>
    <x v="0"/>
    <s v="Series B"/>
    <x v="0"/>
    <n v="17"/>
  </r>
  <r>
    <x v="729"/>
    <s v="Seattle"/>
    <x v="22"/>
    <n v="47"/>
    <s v="NULL"/>
    <s v="0"/>
    <x v="2"/>
    <x v="134"/>
    <x v="13"/>
    <x v="2"/>
    <s v="01"/>
    <x v="2"/>
    <x v="1"/>
    <s v="Unknown"/>
    <x v="0"/>
    <n v="169"/>
  </r>
  <r>
    <x v="730"/>
    <s v="SF Bay Area"/>
    <x v="18"/>
    <s v="NULL"/>
    <n v="0.23"/>
    <s v="0"/>
    <x v="1"/>
    <x v="227"/>
    <x v="7"/>
    <x v="7"/>
    <s v="12"/>
    <x v="0"/>
    <x v="0"/>
    <s v="Series B"/>
    <x v="0"/>
    <n v="91"/>
  </r>
  <r>
    <x v="731"/>
    <s v="SF Bay Area"/>
    <x v="27"/>
    <n v="240"/>
    <n v="0.03"/>
    <s v="0"/>
    <x v="0"/>
    <x v="5"/>
    <x v="5"/>
    <x v="4"/>
    <s v="02"/>
    <x v="5"/>
    <x v="2"/>
    <s v="Series D"/>
    <x v="0"/>
    <n v="1200"/>
  </r>
  <r>
    <x v="731"/>
    <s v="SF Bay Area"/>
    <x v="27"/>
    <n v="400"/>
    <n v="7.0000000000000007E-2"/>
    <s v="0"/>
    <x v="0"/>
    <x v="77"/>
    <x v="9"/>
    <x v="9"/>
    <s v="06"/>
    <x v="9"/>
    <x v="2"/>
    <s v="Series E"/>
    <x v="0"/>
    <n v="1300"/>
  </r>
  <r>
    <x v="731"/>
    <s v="SF Bay Area"/>
    <x v="27"/>
    <n v="2434"/>
    <n v="1"/>
    <s v="1"/>
    <x v="3"/>
    <x v="337"/>
    <x v="6"/>
    <x v="2"/>
    <s v="01"/>
    <x v="2"/>
    <x v="3"/>
    <s v="Unknown"/>
    <x v="0"/>
    <n v="1600"/>
  </r>
  <r>
    <x v="732"/>
    <s v="Sao Paulo"/>
    <x v="10"/>
    <n v="150"/>
    <s v="NULL"/>
    <s v="0"/>
    <x v="2"/>
    <x v="335"/>
    <x v="6"/>
    <x v="5"/>
    <s v="08"/>
    <x v="6"/>
    <x v="0"/>
    <s v="Series E"/>
    <x v="3"/>
    <n v="1600"/>
  </r>
  <r>
    <x v="733"/>
    <s v="Stamford"/>
    <x v="14"/>
    <n v="160"/>
    <n v="0.08"/>
    <s v="0"/>
    <x v="0"/>
    <x v="338"/>
    <x v="9"/>
    <x v="3"/>
    <s v="04"/>
    <x v="4"/>
    <x v="2"/>
    <s v="Acquired"/>
    <x v="0"/>
    <n v="229"/>
  </r>
  <r>
    <x v="734"/>
    <s v="Austin"/>
    <x v="22"/>
    <s v="NULL"/>
    <n v="0.35"/>
    <s v="0"/>
    <x v="1"/>
    <x v="27"/>
    <x v="21"/>
    <x v="6"/>
    <s v="03"/>
    <x v="7"/>
    <x v="2"/>
    <s v="Series A"/>
    <x v="0"/>
    <n v="8"/>
  </r>
  <r>
    <x v="735"/>
    <s v="SF Bay Area"/>
    <x v="15"/>
    <n v="349"/>
    <n v="0.18"/>
    <s v="0"/>
    <x v="1"/>
    <x v="27"/>
    <x v="21"/>
    <x v="6"/>
    <s v="03"/>
    <x v="7"/>
    <x v="2"/>
    <s v="Series D"/>
    <x v="0"/>
    <n v="227"/>
  </r>
  <r>
    <x v="736"/>
    <s v="Sao Paulo"/>
    <x v="19"/>
    <n v="18"/>
    <n v="0.16"/>
    <s v="0"/>
    <x v="1"/>
    <x v="174"/>
    <x v="5"/>
    <x v="5"/>
    <s v="08"/>
    <x v="6"/>
    <x v="2"/>
    <s v="Unknown"/>
    <x v="3"/>
    <n v="23"/>
  </r>
  <r>
    <x v="737"/>
    <s v="Austin"/>
    <x v="7"/>
    <n v="120"/>
    <n v="0.1"/>
    <s v="0"/>
    <x v="0"/>
    <x v="275"/>
    <x v="12"/>
    <x v="11"/>
    <s v="10"/>
    <x v="11"/>
    <x v="0"/>
    <s v="Private Equity"/>
    <x v="0"/>
    <n v="138"/>
  </r>
  <r>
    <x v="738"/>
    <s v="SF Bay Area"/>
    <x v="20"/>
    <n v="39"/>
    <n v="7.0000000000000007E-2"/>
    <s v="0"/>
    <x v="0"/>
    <x v="339"/>
    <x v="25"/>
    <x v="0"/>
    <s v="07"/>
    <x v="3"/>
    <x v="0"/>
    <s v="Series E"/>
    <x v="0"/>
    <n v="240"/>
  </r>
  <r>
    <x v="739"/>
    <s v="New York City"/>
    <x v="12"/>
    <n v="25"/>
    <n v="0.18"/>
    <s v="0"/>
    <x v="1"/>
    <x v="249"/>
    <x v="3"/>
    <x v="10"/>
    <s v="05"/>
    <x v="10"/>
    <x v="2"/>
    <s v="Unknown"/>
    <x v="0"/>
    <n v="10"/>
  </r>
  <r>
    <x v="740"/>
    <s v="Sydney"/>
    <x v="18"/>
    <n v="8"/>
    <n v="0.28000000000000003"/>
    <s v="0"/>
    <x v="1"/>
    <x v="283"/>
    <x v="13"/>
    <x v="4"/>
    <s v="02"/>
    <x v="5"/>
    <x v="1"/>
    <s v="Seed"/>
    <x v="4"/>
    <n v="10"/>
  </r>
  <r>
    <x v="741"/>
    <s v="SF Bay Area"/>
    <x v="16"/>
    <s v="NULL"/>
    <n v="1"/>
    <s v="1"/>
    <x v="3"/>
    <x v="55"/>
    <x v="17"/>
    <x v="1"/>
    <s v="11"/>
    <x v="1"/>
    <x v="0"/>
    <s v="Series A"/>
    <x v="0"/>
    <n v="21"/>
  </r>
  <r>
    <x v="742"/>
    <s v="Dubai"/>
    <x v="8"/>
    <n v="93"/>
    <n v="0.1"/>
    <s v="0"/>
    <x v="0"/>
    <x v="252"/>
    <x v="12"/>
    <x v="1"/>
    <s v="11"/>
    <x v="1"/>
    <x v="0"/>
    <s v="Series C"/>
    <x v="0"/>
    <n v="804"/>
  </r>
  <r>
    <x v="742"/>
    <s v="New York City"/>
    <x v="8"/>
    <n v="124"/>
    <s v="NULL"/>
    <s v="0"/>
    <x v="2"/>
    <x v="338"/>
    <x v="9"/>
    <x v="3"/>
    <s v="04"/>
    <x v="4"/>
    <x v="2"/>
    <s v="Series B"/>
    <x v="0"/>
    <n v="89"/>
  </r>
  <r>
    <x v="743"/>
    <s v="SF Bay Area"/>
    <x v="23"/>
    <n v="70"/>
    <s v="NULL"/>
    <s v="0"/>
    <x v="2"/>
    <x v="233"/>
    <x v="6"/>
    <x v="6"/>
    <s v="03"/>
    <x v="7"/>
    <x v="2"/>
    <s v="Unknown"/>
    <x v="0"/>
    <n v="1"/>
  </r>
  <r>
    <x v="743"/>
    <s v="SF Bay Area"/>
    <x v="23"/>
    <n v="100"/>
    <n v="1"/>
    <s v="1"/>
    <x v="3"/>
    <x v="340"/>
    <x v="12"/>
    <x v="8"/>
    <s v="09"/>
    <x v="8"/>
    <x v="0"/>
    <s v="Unknown"/>
    <x v="0"/>
    <n v="1"/>
  </r>
  <r>
    <x v="744"/>
    <s v="SF Bay Area"/>
    <x v="3"/>
    <n v="40"/>
    <s v="NULL"/>
    <s v="0"/>
    <x v="2"/>
    <x v="124"/>
    <x v="6"/>
    <x v="0"/>
    <s v="07"/>
    <x v="3"/>
    <x v="0"/>
    <s v="Unknown"/>
    <x v="0"/>
    <n v="11"/>
  </r>
  <r>
    <x v="745"/>
    <s v="Stockholm"/>
    <x v="12"/>
    <n v="100"/>
    <s v="NULL"/>
    <s v="0"/>
    <x v="2"/>
    <x v="341"/>
    <x v="28"/>
    <x v="8"/>
    <s v="09"/>
    <x v="8"/>
    <x v="0"/>
    <s v="Unknown"/>
    <x v="5"/>
    <n v="3700"/>
  </r>
  <r>
    <x v="745"/>
    <s v="Stockholm"/>
    <x v="12"/>
    <n v="700"/>
    <n v="0.1"/>
    <s v="0"/>
    <x v="0"/>
    <x v="41"/>
    <x v="27"/>
    <x v="10"/>
    <s v="05"/>
    <x v="10"/>
    <x v="0"/>
    <s v="Unknown"/>
    <x v="5"/>
    <n v="3700"/>
  </r>
  <r>
    <x v="746"/>
    <s v="Hong Kong"/>
    <x v="14"/>
    <n v="300"/>
    <n v="0.15"/>
    <s v="0"/>
    <x v="1"/>
    <x v="230"/>
    <x v="13"/>
    <x v="3"/>
    <s v="04"/>
    <x v="4"/>
    <x v="2"/>
    <s v="Series D"/>
    <x v="15"/>
    <n v="521"/>
  </r>
  <r>
    <x v="747"/>
    <s v="New York City"/>
    <x v="20"/>
    <n v="115"/>
    <n v="0.46"/>
    <s v="0"/>
    <x v="1"/>
    <x v="342"/>
    <x v="15"/>
    <x v="6"/>
    <s v="03"/>
    <x v="7"/>
    <x v="0"/>
    <s v="Unknown"/>
    <x v="0"/>
    <n v="654"/>
  </r>
  <r>
    <x v="748"/>
    <s v="New York City"/>
    <x v="20"/>
    <n v="20"/>
    <n v="0.08"/>
    <s v="0"/>
    <x v="0"/>
    <x v="343"/>
    <x v="9"/>
    <x v="11"/>
    <s v="10"/>
    <x v="11"/>
    <x v="2"/>
    <s v="Series C"/>
    <x v="0"/>
    <n v="560"/>
  </r>
  <r>
    <x v="748"/>
    <s v="New York City"/>
    <x v="20"/>
    <n v="127"/>
    <n v="0.3"/>
    <s v="0"/>
    <x v="1"/>
    <x v="111"/>
    <x v="2"/>
    <x v="6"/>
    <s v="03"/>
    <x v="7"/>
    <x v="2"/>
    <s v="Series C"/>
    <x v="0"/>
    <n v="560"/>
  </r>
  <r>
    <x v="749"/>
    <s v="SF Bay Area"/>
    <x v="10"/>
    <n v="15"/>
    <n v="0.2"/>
    <s v="0"/>
    <x v="1"/>
    <x v="46"/>
    <x v="15"/>
    <x v="3"/>
    <s v="04"/>
    <x v="4"/>
    <x v="2"/>
    <s v="Series A"/>
    <x v="0"/>
    <n v="40"/>
  </r>
  <r>
    <x v="750"/>
    <s v="Toronto"/>
    <x v="12"/>
    <s v="NULL"/>
    <n v="0.14000000000000001"/>
    <s v="0"/>
    <x v="1"/>
    <x v="31"/>
    <x v="24"/>
    <x v="5"/>
    <s v="08"/>
    <x v="6"/>
    <x v="1"/>
    <s v="Series D"/>
    <x v="2"/>
    <n v="278"/>
  </r>
  <r>
    <x v="750"/>
    <s v="Toronto"/>
    <x v="12"/>
    <n v="15"/>
    <n v="0.04"/>
    <s v="0"/>
    <x v="0"/>
    <x v="1"/>
    <x v="1"/>
    <x v="1"/>
    <s v="11"/>
    <x v="1"/>
    <x v="0"/>
    <s v="Series D"/>
    <x v="2"/>
    <n v="278"/>
  </r>
  <r>
    <x v="751"/>
    <s v="London"/>
    <x v="4"/>
    <n v="16"/>
    <n v="0.14000000000000001"/>
    <s v="0"/>
    <x v="1"/>
    <x v="26"/>
    <x v="20"/>
    <x v="9"/>
    <s v="06"/>
    <x v="9"/>
    <x v="0"/>
    <s v="Unknown"/>
    <x v="17"/>
    <s v="NULL"/>
  </r>
  <r>
    <x v="752"/>
    <s v="Jakarta"/>
    <x v="12"/>
    <n v="70"/>
    <n v="0.08"/>
    <s v="0"/>
    <x v="0"/>
    <x v="112"/>
    <x v="23"/>
    <x v="3"/>
    <s v="04"/>
    <x v="4"/>
    <x v="0"/>
    <s v="Unknown"/>
    <x v="11"/>
    <n v="180"/>
  </r>
  <r>
    <x v="753"/>
    <s v="SF Bay Area"/>
    <x v="0"/>
    <n v="23"/>
    <n v="0.09"/>
    <s v="0"/>
    <x v="0"/>
    <x v="230"/>
    <x v="13"/>
    <x v="3"/>
    <s v="04"/>
    <x v="4"/>
    <x v="2"/>
    <s v="Series C"/>
    <x v="0"/>
    <n v="50"/>
  </r>
  <r>
    <x v="753"/>
    <s v="SF Bay Area"/>
    <x v="0"/>
    <n v="78"/>
    <n v="0.09"/>
    <s v="0"/>
    <x v="0"/>
    <x v="271"/>
    <x v="3"/>
    <x v="7"/>
    <s v="12"/>
    <x v="0"/>
    <x v="0"/>
    <s v="Series E"/>
    <x v="0"/>
    <n v="514"/>
  </r>
  <r>
    <x v="754"/>
    <s v="Mexico City"/>
    <x v="12"/>
    <n v="180"/>
    <s v="NULL"/>
    <s v="0"/>
    <x v="2"/>
    <x v="292"/>
    <x v="27"/>
    <x v="8"/>
    <s v="09"/>
    <x v="8"/>
    <x v="0"/>
    <s v="Series E"/>
    <x v="0"/>
    <n v="706"/>
  </r>
  <r>
    <x v="755"/>
    <s v="SF Bay Area"/>
    <x v="11"/>
    <n v="12"/>
    <s v="NULL"/>
    <s v="0"/>
    <x v="2"/>
    <x v="311"/>
    <x v="22"/>
    <x v="2"/>
    <s v="01"/>
    <x v="2"/>
    <x v="2"/>
    <s v="Series C"/>
    <x v="0"/>
    <n v="19"/>
  </r>
  <r>
    <x v="756"/>
    <s v="Berlin"/>
    <x v="12"/>
    <n v="50"/>
    <n v="0.25"/>
    <s v="0"/>
    <x v="1"/>
    <x v="37"/>
    <x v="0"/>
    <x v="10"/>
    <s v="05"/>
    <x v="10"/>
    <x v="0"/>
    <s v="Series B"/>
    <x v="7"/>
    <n v="53"/>
  </r>
  <r>
    <x v="757"/>
    <s v="Bengaluru"/>
    <x v="2"/>
    <n v="40"/>
    <s v="NULL"/>
    <s v="0"/>
    <x v="2"/>
    <x v="68"/>
    <x v="21"/>
    <x v="5"/>
    <s v="08"/>
    <x v="6"/>
    <x v="0"/>
    <s v="Series B"/>
    <x v="6"/>
    <n v="44"/>
  </r>
  <r>
    <x v="758"/>
    <s v="SF Bay Area"/>
    <x v="4"/>
    <n v="1100"/>
    <n v="0.3"/>
    <s v="0"/>
    <x v="1"/>
    <x v="260"/>
    <x v="14"/>
    <x v="1"/>
    <s v="11"/>
    <x v="1"/>
    <x v="0"/>
    <s v="Unknown"/>
    <x v="0"/>
    <n v="134"/>
  </r>
  <r>
    <x v="759"/>
    <s v="Stockholm"/>
    <x v="0"/>
    <n v="100"/>
    <n v="0.1"/>
    <s v="0"/>
    <x v="0"/>
    <x v="344"/>
    <x v="1"/>
    <x v="10"/>
    <s v="05"/>
    <x v="10"/>
    <x v="0"/>
    <s v="Series D"/>
    <x v="5"/>
    <n v="568"/>
  </r>
  <r>
    <x v="759"/>
    <s v="Stockholm"/>
    <x v="0"/>
    <n v="300"/>
    <n v="0.1"/>
    <s v="0"/>
    <x v="0"/>
    <x v="264"/>
    <x v="21"/>
    <x v="11"/>
    <s v="10"/>
    <x v="11"/>
    <x v="0"/>
    <s v="Series D"/>
    <x v="5"/>
    <n v="568"/>
  </r>
  <r>
    <x v="760"/>
    <s v="Lagos"/>
    <x v="12"/>
    <n v="23"/>
    <n v="0.05"/>
    <s v="0"/>
    <x v="0"/>
    <x v="345"/>
    <x v="7"/>
    <x v="4"/>
    <s v="02"/>
    <x v="5"/>
    <x v="0"/>
    <s v="Series B"/>
    <x v="13"/>
    <n v="91"/>
  </r>
  <r>
    <x v="761"/>
    <s v="Guadalajara"/>
    <x v="12"/>
    <n v="90"/>
    <n v="0.3"/>
    <s v="0"/>
    <x v="1"/>
    <x v="230"/>
    <x v="13"/>
    <x v="3"/>
    <s v="04"/>
    <x v="4"/>
    <x v="2"/>
    <s v="Series B"/>
    <x v="25"/>
    <n v="38"/>
  </r>
  <r>
    <x v="762"/>
    <s v="Nairobi"/>
    <x v="8"/>
    <s v="NULL"/>
    <n v="1"/>
    <s v="1"/>
    <x v="3"/>
    <x v="92"/>
    <x v="27"/>
    <x v="9"/>
    <s v="06"/>
    <x v="9"/>
    <x v="0"/>
    <s v="Seed"/>
    <x v="31"/>
    <n v="1"/>
  </r>
  <r>
    <x v="763"/>
    <s v="Boston"/>
    <x v="0"/>
    <n v="70"/>
    <s v="NULL"/>
    <s v="0"/>
    <x v="2"/>
    <x v="346"/>
    <x v="24"/>
    <x v="10"/>
    <s v="05"/>
    <x v="10"/>
    <x v="1"/>
    <s v="Unknown"/>
    <x v="0"/>
    <n v="183"/>
  </r>
  <r>
    <x v="764"/>
    <s v="SF Bay Area"/>
    <x v="13"/>
    <n v="36"/>
    <s v="NULL"/>
    <s v="0"/>
    <x v="2"/>
    <x v="241"/>
    <x v="4"/>
    <x v="5"/>
    <s v="08"/>
    <x v="6"/>
    <x v="0"/>
    <s v="Series D"/>
    <x v="0"/>
    <n v="188"/>
  </r>
  <r>
    <x v="765"/>
    <s v="Copenhagen"/>
    <x v="5"/>
    <n v="40"/>
    <s v="NULL"/>
    <s v="0"/>
    <x v="2"/>
    <x v="126"/>
    <x v="1"/>
    <x v="3"/>
    <s v="04"/>
    <x v="4"/>
    <x v="2"/>
    <s v="Series B"/>
    <x v="10"/>
    <n v="34"/>
  </r>
  <r>
    <x v="766"/>
    <s v="SF Bay Area"/>
    <x v="21"/>
    <n v="300"/>
    <n v="0.2"/>
    <s v="0"/>
    <x v="1"/>
    <x v="37"/>
    <x v="0"/>
    <x v="10"/>
    <s v="05"/>
    <x v="10"/>
    <x v="0"/>
    <s v="Series D"/>
    <x v="0"/>
    <n v="1900"/>
  </r>
  <r>
    <x v="767"/>
    <s v="SF Bay Area"/>
    <x v="12"/>
    <n v="13"/>
    <n v="0.25"/>
    <s v="0"/>
    <x v="1"/>
    <x v="180"/>
    <x v="27"/>
    <x v="6"/>
    <s v="03"/>
    <x v="7"/>
    <x v="2"/>
    <s v="Series C"/>
    <x v="0"/>
    <n v="94"/>
  </r>
  <r>
    <x v="768"/>
    <s v="SF Bay Area"/>
    <x v="26"/>
    <n v="1300"/>
    <n v="7.0000000000000007E-2"/>
    <s v="0"/>
    <x v="0"/>
    <x v="210"/>
    <x v="0"/>
    <x v="2"/>
    <s v="01"/>
    <x v="2"/>
    <x v="1"/>
    <s v="Post-IPO"/>
    <x v="0"/>
    <s v="NULL"/>
  </r>
  <r>
    <x v="769"/>
    <s v="SF Bay Area"/>
    <x v="5"/>
    <n v="19"/>
    <s v="NULL"/>
    <s v="0"/>
    <x v="2"/>
    <x v="167"/>
    <x v="12"/>
    <x v="3"/>
    <s v="04"/>
    <x v="4"/>
    <x v="2"/>
    <s v="Series B"/>
    <x v="0"/>
    <n v="48"/>
  </r>
  <r>
    <x v="769"/>
    <s v="SF Bay Area"/>
    <x v="5"/>
    <n v="65"/>
    <s v="NULL"/>
    <s v="0"/>
    <x v="2"/>
    <x v="347"/>
    <x v="9"/>
    <x v="3"/>
    <s v="04"/>
    <x v="4"/>
    <x v="3"/>
    <s v="Series C"/>
    <x v="0"/>
    <n v="122"/>
  </r>
  <r>
    <x v="770"/>
    <s v="Birmingham"/>
    <x v="20"/>
    <n v="110"/>
    <s v="NULL"/>
    <s v="0"/>
    <x v="2"/>
    <x v="236"/>
    <x v="10"/>
    <x v="9"/>
    <s v="06"/>
    <x v="9"/>
    <x v="0"/>
    <s v="Series C"/>
    <x v="0"/>
    <n v="347"/>
  </r>
  <r>
    <x v="771"/>
    <s v="Grand Rapids"/>
    <x v="3"/>
    <s v="NULL"/>
    <n v="1"/>
    <s v="1"/>
    <x v="3"/>
    <x v="156"/>
    <x v="29"/>
    <x v="9"/>
    <s v="06"/>
    <x v="9"/>
    <x v="1"/>
    <s v="Seed"/>
    <x v="0"/>
    <n v="40"/>
  </r>
  <r>
    <x v="772"/>
    <s v="SF Bay Area"/>
    <x v="21"/>
    <n v="50"/>
    <n v="0.4"/>
    <s v="0"/>
    <x v="1"/>
    <x v="169"/>
    <x v="6"/>
    <x v="3"/>
    <s v="04"/>
    <x v="4"/>
    <x v="2"/>
    <s v="Series C"/>
    <x v="0"/>
    <n v="52"/>
  </r>
  <r>
    <x v="773"/>
    <s v="New York City"/>
    <x v="21"/>
    <n v="30"/>
    <n v="0.06"/>
    <s v="0"/>
    <x v="0"/>
    <x v="194"/>
    <x v="26"/>
    <x v="11"/>
    <s v="10"/>
    <x v="11"/>
    <x v="0"/>
    <s v="Post-IPO"/>
    <x v="0"/>
    <n v="342"/>
  </r>
  <r>
    <x v="773"/>
    <s v="New York City"/>
    <x v="21"/>
    <n v="60"/>
    <s v="NULL"/>
    <s v="0"/>
    <x v="2"/>
    <x v="5"/>
    <x v="5"/>
    <x v="4"/>
    <s v="02"/>
    <x v="5"/>
    <x v="2"/>
    <s v="Series B"/>
    <x v="0"/>
    <n v="152"/>
  </r>
  <r>
    <x v="773"/>
    <s v="New York City"/>
    <x v="21"/>
    <n v="115"/>
    <n v="0.37"/>
    <s v="0"/>
    <x v="1"/>
    <x v="173"/>
    <x v="4"/>
    <x v="4"/>
    <s v="02"/>
    <x v="5"/>
    <x v="0"/>
    <s v="Post-IPO"/>
    <x v="0"/>
    <n v="342"/>
  </r>
  <r>
    <x v="773"/>
    <s v="New York City"/>
    <x v="21"/>
    <n v="130"/>
    <n v="0.28000000000000003"/>
    <s v="0"/>
    <x v="1"/>
    <x v="348"/>
    <x v="13"/>
    <x v="10"/>
    <s v="05"/>
    <x v="10"/>
    <x v="0"/>
    <s v="Post-IPO"/>
    <x v="0"/>
    <n v="342"/>
  </r>
  <r>
    <x v="774"/>
    <s v="SF Bay Area"/>
    <x v="22"/>
    <s v="NULL"/>
    <n v="0.15"/>
    <s v="0"/>
    <x v="1"/>
    <x v="45"/>
    <x v="29"/>
    <x v="7"/>
    <s v="12"/>
    <x v="0"/>
    <x v="1"/>
    <s v="Series F"/>
    <x v="0"/>
    <n v="328"/>
  </r>
  <r>
    <x v="774"/>
    <s v="SF Bay Area"/>
    <x v="22"/>
    <n v="13"/>
    <s v="NULL"/>
    <s v="0"/>
    <x v="2"/>
    <x v="303"/>
    <x v="2"/>
    <x v="11"/>
    <s v="10"/>
    <x v="11"/>
    <x v="0"/>
    <s v="Series F"/>
    <x v="0"/>
    <n v="328"/>
  </r>
  <r>
    <x v="774"/>
    <s v="SF Bay Area"/>
    <x v="22"/>
    <n v="16"/>
    <n v="0.1"/>
    <s v="0"/>
    <x v="0"/>
    <x v="349"/>
    <x v="15"/>
    <x v="10"/>
    <s v="05"/>
    <x v="10"/>
    <x v="2"/>
    <s v="Series C"/>
    <x v="0"/>
    <n v="49"/>
  </r>
  <r>
    <x v="775"/>
    <s v="Tel Aviv"/>
    <x v="30"/>
    <n v="30"/>
    <n v="0.33"/>
    <s v="0"/>
    <x v="1"/>
    <x v="161"/>
    <x v="7"/>
    <x v="9"/>
    <s v="06"/>
    <x v="9"/>
    <x v="0"/>
    <s v="Series C"/>
    <x v="16"/>
    <n v="41"/>
  </r>
  <r>
    <x v="776"/>
    <s v="Auckland"/>
    <x v="12"/>
    <n v="45"/>
    <s v="NULL"/>
    <s v="0"/>
    <x v="2"/>
    <x v="8"/>
    <x v="8"/>
    <x v="0"/>
    <s v="07"/>
    <x v="3"/>
    <x v="0"/>
    <s v="Post-IPO"/>
    <x v="38"/>
    <n v="130"/>
  </r>
  <r>
    <x v="777"/>
    <s v="SF Bay Area"/>
    <x v="3"/>
    <s v="NULL"/>
    <n v="0.5"/>
    <s v="0"/>
    <x v="1"/>
    <x v="19"/>
    <x v="5"/>
    <x v="2"/>
    <s v="01"/>
    <x v="2"/>
    <x v="2"/>
    <s v="Series C"/>
    <x v="0"/>
    <n v="62"/>
  </r>
  <r>
    <x v="778"/>
    <s v="Mumbai"/>
    <x v="5"/>
    <n v="60"/>
    <s v="NULL"/>
    <s v="0"/>
    <x v="2"/>
    <x v="110"/>
    <x v="29"/>
    <x v="11"/>
    <s v="10"/>
    <x v="11"/>
    <x v="1"/>
    <s v="Series E"/>
    <x v="6"/>
    <n v="190"/>
  </r>
  <r>
    <x v="778"/>
    <s v="Mumbai"/>
    <x v="5"/>
    <n v="80"/>
    <n v="0.04"/>
    <s v="0"/>
    <x v="0"/>
    <x v="4"/>
    <x v="4"/>
    <x v="3"/>
    <s v="04"/>
    <x v="4"/>
    <x v="0"/>
    <s v="Series E"/>
    <x v="6"/>
    <n v="166"/>
  </r>
  <r>
    <x v="779"/>
    <s v="New York City"/>
    <x v="18"/>
    <n v="80"/>
    <n v="0.31"/>
    <s v="0"/>
    <x v="1"/>
    <x v="69"/>
    <x v="15"/>
    <x v="7"/>
    <s v="12"/>
    <x v="0"/>
    <x v="0"/>
    <s v="Series C"/>
    <x v="0"/>
    <n v="379"/>
  </r>
  <r>
    <x v="780"/>
    <s v="Seattle"/>
    <x v="3"/>
    <n v="56"/>
    <n v="0.21"/>
    <s v="0"/>
    <x v="1"/>
    <x v="280"/>
    <x v="11"/>
    <x v="11"/>
    <s v="10"/>
    <x v="11"/>
    <x v="0"/>
    <s v="Post-IPO"/>
    <x v="0"/>
    <n v="71"/>
  </r>
  <r>
    <x v="780"/>
    <s v="Seattle"/>
    <x v="3"/>
    <n v="91"/>
    <n v="0.5"/>
    <s v="0"/>
    <x v="1"/>
    <x v="180"/>
    <x v="27"/>
    <x v="6"/>
    <s v="03"/>
    <x v="7"/>
    <x v="2"/>
    <s v="Acquired"/>
    <x v="0"/>
    <n v="2"/>
  </r>
  <r>
    <x v="781"/>
    <s v="Dublin"/>
    <x v="5"/>
    <n v="27"/>
    <n v="0.09"/>
    <s v="0"/>
    <x v="0"/>
    <x v="270"/>
    <x v="24"/>
    <x v="0"/>
    <s v="07"/>
    <x v="3"/>
    <x v="1"/>
    <s v="Private Equity"/>
    <x v="1"/>
    <n v="56"/>
  </r>
  <r>
    <x v="782"/>
    <s v="Vancouver"/>
    <x v="11"/>
    <n v="23"/>
    <n v="0.38"/>
    <s v="0"/>
    <x v="1"/>
    <x v="128"/>
    <x v="5"/>
    <x v="3"/>
    <s v="04"/>
    <x v="4"/>
    <x v="0"/>
    <s v="Post-IPO"/>
    <x v="2"/>
    <n v="3"/>
  </r>
  <r>
    <x v="783"/>
    <s v="Buenos Aires"/>
    <x v="4"/>
    <n v="100"/>
    <n v="0.38"/>
    <s v="0"/>
    <x v="1"/>
    <x v="350"/>
    <x v="18"/>
    <x v="1"/>
    <s v="11"/>
    <x v="1"/>
    <x v="0"/>
    <s v="Series A"/>
    <x v="28"/>
    <n v="17"/>
  </r>
  <r>
    <x v="784"/>
    <s v="New York City"/>
    <x v="12"/>
    <n v="52"/>
    <s v="NULL"/>
    <s v="0"/>
    <x v="2"/>
    <x v="279"/>
    <x v="13"/>
    <x v="3"/>
    <s v="04"/>
    <x v="4"/>
    <x v="0"/>
    <s v="Post-IPO"/>
    <x v="0"/>
    <n v="481"/>
  </r>
  <r>
    <x v="785"/>
    <s v="Sydney"/>
    <x v="20"/>
    <n v="100"/>
    <s v="NULL"/>
    <s v="0"/>
    <x v="2"/>
    <x v="35"/>
    <x v="19"/>
    <x v="6"/>
    <s v="03"/>
    <x v="7"/>
    <x v="1"/>
    <s v="Unknown"/>
    <x v="4"/>
    <n v="59"/>
  </r>
  <r>
    <x v="786"/>
    <s v="SF Bay Area"/>
    <x v="12"/>
    <n v="225"/>
    <n v="0.14000000000000001"/>
    <s v="0"/>
    <x v="1"/>
    <x v="45"/>
    <x v="29"/>
    <x v="7"/>
    <s v="12"/>
    <x v="0"/>
    <x v="1"/>
    <s v="Post-IPO"/>
    <x v="0"/>
    <n v="392"/>
  </r>
  <r>
    <x v="786"/>
    <s v="SF Bay Area"/>
    <x v="12"/>
    <n v="460"/>
    <n v="0.3"/>
    <s v="0"/>
    <x v="1"/>
    <x v="167"/>
    <x v="12"/>
    <x v="3"/>
    <s v="04"/>
    <x v="4"/>
    <x v="2"/>
    <s v="Post-IPO"/>
    <x v="0"/>
    <n v="392"/>
  </r>
  <r>
    <x v="787"/>
    <s v="Ahmedabad"/>
    <x v="12"/>
    <n v="500"/>
    <n v="0.5"/>
    <s v="0"/>
    <x v="1"/>
    <x v="349"/>
    <x v="15"/>
    <x v="10"/>
    <s v="05"/>
    <x v="10"/>
    <x v="2"/>
    <s v="Unknown"/>
    <x v="6"/>
    <n v="200"/>
  </r>
  <r>
    <x v="788"/>
    <s v="Charlotte"/>
    <x v="12"/>
    <n v="200"/>
    <s v="NULL"/>
    <s v="0"/>
    <x v="2"/>
    <x v="30"/>
    <x v="23"/>
    <x v="6"/>
    <s v="03"/>
    <x v="7"/>
    <x v="0"/>
    <s v="Post-IPO"/>
    <x v="0"/>
    <s v="NULL"/>
  </r>
  <r>
    <x v="789"/>
    <s v="Berlin"/>
    <x v="18"/>
    <s v="NULL"/>
    <n v="0.5"/>
    <s v="0"/>
    <x v="1"/>
    <x v="351"/>
    <x v="12"/>
    <x v="7"/>
    <s v="12"/>
    <x v="0"/>
    <x v="0"/>
    <s v="Series A"/>
    <x v="7"/>
    <n v="90"/>
  </r>
  <r>
    <x v="789"/>
    <s v="Berlin"/>
    <x v="18"/>
    <n v="18"/>
    <n v="0.15"/>
    <s v="0"/>
    <x v="1"/>
    <x v="203"/>
    <x v="22"/>
    <x v="3"/>
    <s v="04"/>
    <x v="4"/>
    <x v="0"/>
    <s v="Series A"/>
    <x v="7"/>
    <n v="90"/>
  </r>
  <r>
    <x v="790"/>
    <s v="New York City"/>
    <x v="20"/>
    <n v="30"/>
    <n v="0.3"/>
    <s v="0"/>
    <x v="1"/>
    <x v="207"/>
    <x v="20"/>
    <x v="0"/>
    <s v="07"/>
    <x v="3"/>
    <x v="0"/>
    <s v="Series B"/>
    <x v="0"/>
    <n v="114"/>
  </r>
  <r>
    <x v="791"/>
    <s v="SF Bay Area"/>
    <x v="19"/>
    <n v="86"/>
    <n v="0.4"/>
    <s v="0"/>
    <x v="1"/>
    <x v="174"/>
    <x v="5"/>
    <x v="5"/>
    <s v="08"/>
    <x v="6"/>
    <x v="2"/>
    <s v="Series C"/>
    <x v="0"/>
    <n v="72"/>
  </r>
  <r>
    <x v="792"/>
    <s v="Mumbai"/>
    <x v="5"/>
    <n v="150"/>
    <s v="NULL"/>
    <s v="0"/>
    <x v="2"/>
    <x v="352"/>
    <x v="12"/>
    <x v="4"/>
    <s v="02"/>
    <x v="5"/>
    <x v="0"/>
    <s v="Series A"/>
    <x v="6"/>
    <n v="24"/>
  </r>
  <r>
    <x v="793"/>
    <s v="Mumbai"/>
    <x v="5"/>
    <s v="NULL"/>
    <n v="1"/>
    <s v="1"/>
    <x v="3"/>
    <x v="56"/>
    <x v="7"/>
    <x v="8"/>
    <s v="09"/>
    <x v="8"/>
    <x v="0"/>
    <s v="Series C"/>
    <x v="6"/>
    <n v="20"/>
  </r>
  <r>
    <x v="794"/>
    <s v="SF Bay Area"/>
    <x v="2"/>
    <s v="NULL"/>
    <n v="0.14000000000000001"/>
    <s v="0"/>
    <x v="1"/>
    <x v="45"/>
    <x v="29"/>
    <x v="7"/>
    <s v="12"/>
    <x v="0"/>
    <x v="1"/>
    <s v="Post-IPO"/>
    <x v="0"/>
    <n v="158"/>
  </r>
  <r>
    <x v="795"/>
    <s v="SF Bay Area"/>
    <x v="1"/>
    <n v="130"/>
    <n v="0.15"/>
    <s v="0"/>
    <x v="1"/>
    <x v="98"/>
    <x v="23"/>
    <x v="8"/>
    <s v="09"/>
    <x v="8"/>
    <x v="0"/>
    <s v="Acquired"/>
    <x v="0"/>
    <n v="6"/>
  </r>
  <r>
    <x v="796"/>
    <s v="Seattle"/>
    <x v="12"/>
    <n v="18"/>
    <n v="0.22"/>
    <s v="0"/>
    <x v="1"/>
    <x v="24"/>
    <x v="18"/>
    <x v="3"/>
    <s v="04"/>
    <x v="4"/>
    <x v="2"/>
    <s v="Series B"/>
    <x v="0"/>
    <n v="15"/>
  </r>
  <r>
    <x v="796"/>
    <s v="Seattle"/>
    <x v="12"/>
    <n v="22"/>
    <n v="0.49"/>
    <s v="0"/>
    <x v="1"/>
    <x v="353"/>
    <x v="13"/>
    <x v="0"/>
    <s v="07"/>
    <x v="3"/>
    <x v="2"/>
    <s v="Series B"/>
    <x v="0"/>
    <n v="15"/>
  </r>
  <r>
    <x v="797"/>
    <s v="Toronto"/>
    <x v="5"/>
    <n v="14"/>
    <n v="7.0000000000000007E-2"/>
    <s v="0"/>
    <x v="0"/>
    <x v="215"/>
    <x v="5"/>
    <x v="8"/>
    <s v="09"/>
    <x v="8"/>
    <x v="2"/>
    <s v="Unknown"/>
    <x v="2"/>
    <s v="NULL"/>
  </r>
  <r>
    <x v="798"/>
    <s v="Tel Aviv"/>
    <x v="12"/>
    <n v="20"/>
    <s v="NULL"/>
    <s v="0"/>
    <x v="2"/>
    <x v="354"/>
    <x v="21"/>
    <x v="6"/>
    <s v="03"/>
    <x v="7"/>
    <x v="0"/>
    <s v="Series B"/>
    <x v="16"/>
    <n v="42"/>
  </r>
  <r>
    <x v="798"/>
    <s v="Tel Aviv"/>
    <x v="12"/>
    <n v="20"/>
    <n v="0.25"/>
    <s v="0"/>
    <x v="1"/>
    <x v="346"/>
    <x v="24"/>
    <x v="10"/>
    <s v="05"/>
    <x v="10"/>
    <x v="1"/>
    <s v="Series B"/>
    <x v="16"/>
    <n v="42"/>
  </r>
  <r>
    <x v="799"/>
    <s v="Jerusalem"/>
    <x v="2"/>
    <n v="80"/>
    <n v="0.12"/>
    <s v="0"/>
    <x v="1"/>
    <x v="203"/>
    <x v="22"/>
    <x v="3"/>
    <s v="04"/>
    <x v="4"/>
    <x v="0"/>
    <s v="Series D"/>
    <x v="16"/>
    <n v="335"/>
  </r>
  <r>
    <x v="800"/>
    <s v="Montreal"/>
    <x v="3"/>
    <n v="300"/>
    <n v="0.1"/>
    <s v="0"/>
    <x v="0"/>
    <x v="59"/>
    <x v="1"/>
    <x v="2"/>
    <s v="01"/>
    <x v="2"/>
    <x v="1"/>
    <s v="Post-IPO"/>
    <x v="2"/>
    <n v="1200"/>
  </r>
  <r>
    <x v="801"/>
    <s v="SF Bay Area"/>
    <x v="10"/>
    <n v="80"/>
    <n v="0.13"/>
    <s v="0"/>
    <x v="1"/>
    <x v="338"/>
    <x v="9"/>
    <x v="3"/>
    <s v="04"/>
    <x v="4"/>
    <x v="2"/>
    <s v="Series D"/>
    <x v="0"/>
    <n v="765"/>
  </r>
  <r>
    <x v="802"/>
    <s v="Seattle"/>
    <x v="22"/>
    <s v="NULL"/>
    <n v="0.15"/>
    <s v="0"/>
    <x v="1"/>
    <x v="193"/>
    <x v="29"/>
    <x v="1"/>
    <s v="11"/>
    <x v="1"/>
    <x v="1"/>
    <s v="Series C"/>
    <x v="0"/>
    <n v="33"/>
  </r>
  <r>
    <x v="803"/>
    <s v="New York City"/>
    <x v="19"/>
    <n v="13"/>
    <n v="1"/>
    <s v="1"/>
    <x v="3"/>
    <x v="355"/>
    <x v="24"/>
    <x v="3"/>
    <s v="04"/>
    <x v="4"/>
    <x v="3"/>
    <s v="Unknown"/>
    <x v="0"/>
    <s v="NULL"/>
  </r>
  <r>
    <x v="804"/>
    <s v="SF Bay Area"/>
    <x v="19"/>
    <n v="960"/>
    <n v="0.06"/>
    <s v="0"/>
    <x v="0"/>
    <x v="356"/>
    <x v="12"/>
    <x v="0"/>
    <s v="07"/>
    <x v="3"/>
    <x v="2"/>
    <s v="Acquired"/>
    <x v="0"/>
    <n v="154"/>
  </r>
  <r>
    <x v="805"/>
    <s v="Copenhagen"/>
    <x v="1"/>
    <n v="35"/>
    <n v="0.35"/>
    <s v="0"/>
    <x v="1"/>
    <x v="164"/>
    <x v="10"/>
    <x v="1"/>
    <s v="11"/>
    <x v="1"/>
    <x v="0"/>
    <s v="Seed"/>
    <x v="10"/>
    <n v="2"/>
  </r>
  <r>
    <x v="806"/>
    <s v="Melbourne"/>
    <x v="2"/>
    <n v="50"/>
    <n v="0.17"/>
    <s v="0"/>
    <x v="1"/>
    <x v="17"/>
    <x v="4"/>
    <x v="8"/>
    <s v="09"/>
    <x v="8"/>
    <x v="0"/>
    <s v="Unknown"/>
    <x v="4"/>
    <n v="165"/>
  </r>
  <r>
    <x v="807"/>
    <s v="New York City"/>
    <x v="12"/>
    <n v="27"/>
    <n v="0.18"/>
    <s v="0"/>
    <x v="1"/>
    <x v="207"/>
    <x v="20"/>
    <x v="0"/>
    <s v="07"/>
    <x v="3"/>
    <x v="0"/>
    <s v="Series C"/>
    <x v="0"/>
    <n v="115"/>
  </r>
  <r>
    <x v="808"/>
    <s v="Sao Paulo"/>
    <x v="8"/>
    <n v="100"/>
    <n v="0.15"/>
    <s v="0"/>
    <x v="1"/>
    <x v="357"/>
    <x v="17"/>
    <x v="4"/>
    <s v="02"/>
    <x v="5"/>
    <x v="0"/>
    <s v="Series D"/>
    <x v="3"/>
    <n v="118"/>
  </r>
  <r>
    <x v="809"/>
    <s v="New York City"/>
    <x v="9"/>
    <n v="30"/>
    <s v="NULL"/>
    <s v="0"/>
    <x v="2"/>
    <x v="358"/>
    <x v="23"/>
    <x v="2"/>
    <s v="01"/>
    <x v="2"/>
    <x v="2"/>
    <s v="Post-IPO"/>
    <x v="0"/>
    <n v="42"/>
  </r>
  <r>
    <x v="809"/>
    <s v="New York City"/>
    <x v="9"/>
    <n v="193"/>
    <n v="0.11"/>
    <s v="0"/>
    <x v="1"/>
    <x v="18"/>
    <x v="15"/>
    <x v="8"/>
    <s v="09"/>
    <x v="8"/>
    <x v="0"/>
    <s v="Post-IPO"/>
    <x v="0"/>
    <n v="42"/>
  </r>
  <r>
    <x v="810"/>
    <s v="SF Bay Area"/>
    <x v="1"/>
    <s v="NULL"/>
    <n v="0.1"/>
    <s v="0"/>
    <x v="0"/>
    <x v="30"/>
    <x v="23"/>
    <x v="6"/>
    <s v="03"/>
    <x v="7"/>
    <x v="0"/>
    <s v="Post-IPO"/>
    <x v="0"/>
    <n v="16"/>
  </r>
  <r>
    <x v="811"/>
    <s v="New York City"/>
    <x v="18"/>
    <n v="50"/>
    <s v="NULL"/>
    <s v="0"/>
    <x v="2"/>
    <x v="359"/>
    <x v="26"/>
    <x v="6"/>
    <s v="03"/>
    <x v="7"/>
    <x v="2"/>
    <s v="Post-IPO"/>
    <x v="0"/>
    <n v="46"/>
  </r>
  <r>
    <x v="812"/>
    <s v="SF Bay Area"/>
    <x v="9"/>
    <s v="NULL"/>
    <n v="0.16"/>
    <s v="0"/>
    <x v="1"/>
    <x v="59"/>
    <x v="1"/>
    <x v="2"/>
    <s v="01"/>
    <x v="2"/>
    <x v="1"/>
    <s v="Post-IPO"/>
    <x v="0"/>
    <n v="12"/>
  </r>
  <r>
    <x v="813"/>
    <s v="Bengaluru"/>
    <x v="3"/>
    <n v="450"/>
    <n v="0.15"/>
    <s v="0"/>
    <x v="1"/>
    <x v="261"/>
    <x v="30"/>
    <x v="10"/>
    <s v="05"/>
    <x v="10"/>
    <x v="2"/>
    <s v="Series D"/>
    <x v="6"/>
    <n v="157"/>
  </r>
  <r>
    <x v="814"/>
    <s v="Pittsburgh"/>
    <x v="10"/>
    <s v="NULL"/>
    <n v="1"/>
    <s v="1"/>
    <x v="3"/>
    <x v="327"/>
    <x v="28"/>
    <x v="4"/>
    <s v="02"/>
    <x v="5"/>
    <x v="1"/>
    <s v="Seed"/>
    <x v="0"/>
    <n v="57"/>
  </r>
  <r>
    <x v="815"/>
    <s v="Sao Paulo"/>
    <x v="20"/>
    <n v="47"/>
    <s v="NULL"/>
    <s v="0"/>
    <x v="2"/>
    <x v="111"/>
    <x v="2"/>
    <x v="6"/>
    <s v="03"/>
    <x v="7"/>
    <x v="2"/>
    <s v="Series C"/>
    <x v="3"/>
    <n v="263"/>
  </r>
  <r>
    <x v="815"/>
    <s v="Sao Paulo"/>
    <x v="20"/>
    <n v="47"/>
    <n v="0.1"/>
    <s v="0"/>
    <x v="0"/>
    <x v="126"/>
    <x v="1"/>
    <x v="3"/>
    <s v="04"/>
    <x v="4"/>
    <x v="2"/>
    <s v="Series C"/>
    <x v="3"/>
    <n v="263"/>
  </r>
  <r>
    <x v="815"/>
    <s v="Sao Paulo"/>
    <x v="20"/>
    <n v="159"/>
    <s v="NULL"/>
    <s v="0"/>
    <x v="2"/>
    <x v="141"/>
    <x v="30"/>
    <x v="3"/>
    <s v="04"/>
    <x v="4"/>
    <x v="0"/>
    <s v="Unknown"/>
    <x v="3"/>
    <n v="788"/>
  </r>
  <r>
    <x v="815"/>
    <s v="Sao Paulo"/>
    <x v="20"/>
    <n v="312"/>
    <n v="0.12"/>
    <s v="0"/>
    <x v="1"/>
    <x v="207"/>
    <x v="20"/>
    <x v="0"/>
    <s v="07"/>
    <x v="3"/>
    <x v="0"/>
    <s v="Unknown"/>
    <x v="3"/>
    <n v="788"/>
  </r>
  <r>
    <x v="815"/>
    <s v="Sao Paulo"/>
    <x v="20"/>
    <n v="340"/>
    <n v="0.15"/>
    <s v="0"/>
    <x v="1"/>
    <x v="35"/>
    <x v="19"/>
    <x v="6"/>
    <s v="03"/>
    <x v="7"/>
    <x v="1"/>
    <s v="Unknown"/>
    <x v="3"/>
    <n v="788"/>
  </r>
  <r>
    <x v="815"/>
    <s v="Sao Paulo"/>
    <x v="20"/>
    <n v="384"/>
    <n v="0.12"/>
    <s v="0"/>
    <x v="1"/>
    <x v="138"/>
    <x v="22"/>
    <x v="10"/>
    <s v="05"/>
    <x v="10"/>
    <x v="0"/>
    <s v="Unknown"/>
    <x v="3"/>
    <n v="788"/>
  </r>
  <r>
    <x v="816"/>
    <s v="Seattle"/>
    <x v="20"/>
    <n v="32"/>
    <n v="0.6"/>
    <s v="0"/>
    <x v="4"/>
    <x v="163"/>
    <x v="9"/>
    <x v="10"/>
    <s v="05"/>
    <x v="10"/>
    <x v="2"/>
    <s v="Series A"/>
    <x v="0"/>
    <n v="17"/>
  </r>
  <r>
    <x v="817"/>
    <s v="New York City"/>
    <x v="20"/>
    <n v="25"/>
    <n v="0.75"/>
    <s v="0"/>
    <x v="4"/>
    <x v="144"/>
    <x v="14"/>
    <x v="6"/>
    <s v="03"/>
    <x v="7"/>
    <x v="2"/>
    <s v="Series A"/>
    <x v="0"/>
    <n v="18"/>
  </r>
  <r>
    <x v="818"/>
    <s v="Sao Paulo"/>
    <x v="15"/>
    <n v="300"/>
    <n v="7.0000000000000007E-2"/>
    <s v="0"/>
    <x v="0"/>
    <x v="197"/>
    <x v="24"/>
    <x v="9"/>
    <s v="06"/>
    <x v="9"/>
    <x v="1"/>
    <s v="Series F"/>
    <x v="3"/>
    <n v="507"/>
  </r>
  <r>
    <x v="818"/>
    <s v="Sao Paulo"/>
    <x v="15"/>
    <n v="500"/>
    <n v="0.15"/>
    <s v="0"/>
    <x v="1"/>
    <x v="241"/>
    <x v="4"/>
    <x v="5"/>
    <s v="08"/>
    <x v="6"/>
    <x v="0"/>
    <s v="Series F"/>
    <x v="3"/>
    <n v="507"/>
  </r>
  <r>
    <x v="819"/>
    <s v="Sao Paulo"/>
    <x v="3"/>
    <n v="25"/>
    <n v="0.1"/>
    <s v="0"/>
    <x v="0"/>
    <x v="293"/>
    <x v="0"/>
    <x v="5"/>
    <s v="08"/>
    <x v="6"/>
    <x v="0"/>
    <s v="Acquired"/>
    <x v="3"/>
    <s v="NULL"/>
  </r>
  <r>
    <x v="820"/>
    <s v="Dover"/>
    <x v="18"/>
    <n v="76"/>
    <n v="0.23"/>
    <s v="0"/>
    <x v="1"/>
    <x v="55"/>
    <x v="17"/>
    <x v="1"/>
    <s v="11"/>
    <x v="1"/>
    <x v="0"/>
    <s v="Series B"/>
    <x v="0"/>
    <n v="56"/>
  </r>
  <r>
    <x v="821"/>
    <s v="Boston"/>
    <x v="14"/>
    <n v="34"/>
    <s v="NULL"/>
    <s v="0"/>
    <x v="2"/>
    <x v="157"/>
    <x v="30"/>
    <x v="6"/>
    <s v="03"/>
    <x v="7"/>
    <x v="2"/>
    <s v="Series C"/>
    <x v="0"/>
    <n v="81"/>
  </r>
  <r>
    <x v="822"/>
    <s v="SF Bay Area"/>
    <x v="16"/>
    <n v="23"/>
    <n v="0.11"/>
    <s v="0"/>
    <x v="1"/>
    <x v="321"/>
    <x v="13"/>
    <x v="11"/>
    <s v="10"/>
    <x v="11"/>
    <x v="0"/>
    <s v="Series C"/>
    <x v="0"/>
    <n v="2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D69FB-14C8-4562-8A0D-73291AF828D4}" name="%compani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industry">
  <location ref="Z848:AA1671"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dataField="1" multipleItemSelectionAllowed="1"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Items count="1">
    <i/>
  </colItems>
  <dataFields count="1">
    <dataField name="Max of percentage_laid_off" fld="4" subtotal="max" baseField="0" baseItem="0"/>
  </dataFields>
  <formats count="2">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AF25CE-78D5-43A3-A604-1FF59582A236}" name="dash1_total_lai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M840:M841" firstHeaderRow="1" firstDataRow="1" firstDataCol="0" rowPageCount="1" colPageCount="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axis="axisPage" multipleItemSelectionAllowed="1"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2" hier="-1"/>
  </pageFields>
  <dataFields count="1">
    <dataField name="Sum of total_laid_off" fld="3"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CAEDF-6CA9-4C16-87C3-2C92F004155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2:H835"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Items count="1">
    <i/>
  </colItems>
  <dataFields count="1">
    <dataField name="Sum of funds_raised_million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8018D0-4D9C-45D4-9E51-99BA2528C6D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N12:O835"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Items count="1">
    <i/>
  </colItems>
  <dataFields count="1">
    <dataField name="Count of total_laid_off"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A5378A-0289-4AC2-BEAE-A82C2CD2EDE9}" name="dash1_coun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U840:W842" firstHeaderRow="1" firstDataRow="2"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multipleItemSelectionAllowed="1" showAll="0">
      <items count="6">
        <item x="2"/>
        <item x="3"/>
        <item x="0"/>
        <item x="1"/>
        <item x="4"/>
        <item t="default"/>
      </items>
    </pivotField>
    <pivotField showAll="0"/>
    <pivotField axis="axisCol" showAll="0" measureFilter="1">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14"/>
  </colFields>
  <colItems count="2">
    <i>
      <x v="38"/>
    </i>
    <i t="grand">
      <x/>
    </i>
  </colItems>
  <dataFields count="1">
    <dataField name="Sum of total_laid_off" fld="3" baseField="0" baseItem="0"/>
  </dataFields>
  <formats count="1">
    <format dxfId="31">
      <pivotArea outline="0" collapsedLevelsAreSubtotals="1" fieldPosition="0"/>
    </format>
  </formats>
  <pivotTableStyleInfo name="PivotStyleLight16" showRowHeaders="1" showColHeaders="1" showRowStripes="0" showColStripes="0" showLastColumn="1"/>
  <filters count="1">
    <filter fld="1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A4CCE6-DB5F-437B-AA1C-38604760FBD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country">
  <location ref="AK59:AL65"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axis="axisRow" showAll="0" measureFilter="1">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3"/>
    </i>
    <i>
      <x v="14"/>
    </i>
    <i>
      <x v="24"/>
    </i>
    <i>
      <x v="32"/>
    </i>
    <i>
      <x v="34"/>
    </i>
    <i>
      <x v="38"/>
    </i>
  </rowItems>
  <colItems count="1">
    <i/>
  </colItems>
  <dataFields count="1">
    <dataField name="Sum of total_laid_off" fld="3" baseField="0" baseItem="0"/>
  </dataFields>
  <chartFormats count="2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3"/>
          </reference>
        </references>
      </pivotArea>
    </chartFormat>
    <chartFormat chart="2" format="10">
      <pivotArea type="data" outline="0" fieldPosition="0">
        <references count="2">
          <reference field="4294967294" count="1" selected="0">
            <x v="0"/>
          </reference>
          <reference field="14" count="1" selected="0">
            <x v="14"/>
          </reference>
        </references>
      </pivotArea>
    </chartFormat>
    <chartFormat chart="2" format="11">
      <pivotArea type="data" outline="0" fieldPosition="0">
        <references count="2">
          <reference field="4294967294" count="1" selected="0">
            <x v="0"/>
          </reference>
          <reference field="14" count="1" selected="0">
            <x v="24"/>
          </reference>
        </references>
      </pivotArea>
    </chartFormat>
    <chartFormat chart="2" format="12">
      <pivotArea type="data" outline="0" fieldPosition="0">
        <references count="2">
          <reference field="4294967294" count="1" selected="0">
            <x v="0"/>
          </reference>
          <reference field="14" count="1" selected="0">
            <x v="32"/>
          </reference>
        </references>
      </pivotArea>
    </chartFormat>
    <chartFormat chart="2" format="13">
      <pivotArea type="data" outline="0" fieldPosition="0">
        <references count="2">
          <reference field="4294967294" count="1" selected="0">
            <x v="0"/>
          </reference>
          <reference field="14" count="1" selected="0">
            <x v="34"/>
          </reference>
        </references>
      </pivotArea>
    </chartFormat>
    <chartFormat chart="2" format="14">
      <pivotArea type="data" outline="0" fieldPosition="0">
        <references count="2">
          <reference field="4294967294" count="1" selected="0">
            <x v="0"/>
          </reference>
          <reference field="14" count="1" selected="0">
            <x v="38"/>
          </reference>
        </references>
      </pivotArea>
    </chartFormat>
    <chartFormat chart="0" format="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4" count="1" selected="0">
            <x v="3"/>
          </reference>
        </references>
      </pivotArea>
    </chartFormat>
    <chartFormat chart="8" format="28">
      <pivotArea type="data" outline="0" fieldPosition="0">
        <references count="2">
          <reference field="4294967294" count="1" selected="0">
            <x v="0"/>
          </reference>
          <reference field="14" count="1" selected="0">
            <x v="4"/>
          </reference>
        </references>
      </pivotArea>
    </chartFormat>
    <chartFormat chart="8" format="29">
      <pivotArea type="data" outline="0" fieldPosition="0">
        <references count="2">
          <reference field="4294967294" count="1" selected="0">
            <x v="0"/>
          </reference>
          <reference field="14" count="1" selected="0">
            <x v="6"/>
          </reference>
        </references>
      </pivotArea>
    </chartFormat>
    <chartFormat chart="8" format="30">
      <pivotArea type="data" outline="0" fieldPosition="0">
        <references count="2">
          <reference field="4294967294" count="1" selected="0">
            <x v="0"/>
          </reference>
          <reference field="14" count="1" selected="0">
            <x v="11"/>
          </reference>
        </references>
      </pivotArea>
    </chartFormat>
    <chartFormat chart="8" format="31">
      <pivotArea type="data" outline="0" fieldPosition="0">
        <references count="2">
          <reference field="4294967294" count="1" selected="0">
            <x v="0"/>
          </reference>
          <reference field="14" count="1" selected="0">
            <x v="14"/>
          </reference>
        </references>
      </pivotArea>
    </chartFormat>
    <chartFormat chart="8" format="32">
      <pivotArea type="data" outline="0" fieldPosition="0">
        <references count="2">
          <reference field="4294967294" count="1" selected="0">
            <x v="0"/>
          </reference>
          <reference field="14" count="1" selected="0">
            <x v="24"/>
          </reference>
        </references>
      </pivotArea>
    </chartFormat>
    <chartFormat chart="8" format="33">
      <pivotArea type="data" outline="0" fieldPosition="0">
        <references count="2">
          <reference field="4294967294" count="1" selected="0">
            <x v="0"/>
          </reference>
          <reference field="14" count="1" selected="0">
            <x v="32"/>
          </reference>
        </references>
      </pivotArea>
    </chartFormat>
    <chartFormat chart="8" format="34">
      <pivotArea type="data" outline="0" fieldPosition="0">
        <references count="2">
          <reference field="4294967294" count="1" selected="0">
            <x v="0"/>
          </reference>
          <reference field="14" count="1" selected="0">
            <x v="34"/>
          </reference>
        </references>
      </pivotArea>
    </chartFormat>
    <chartFormat chart="8" format="35">
      <pivotArea type="data" outline="0" fieldPosition="0">
        <references count="2">
          <reference field="4294967294" count="1" selected="0">
            <x v="0"/>
          </reference>
          <reference field="14" count="1" selected="0">
            <x v="37"/>
          </reference>
        </references>
      </pivotArea>
    </chartFormat>
    <chartFormat chart="8" format="36">
      <pivotArea type="data" outline="0" fieldPosition="0">
        <references count="2">
          <reference field="4294967294" count="1" selected="0">
            <x v="0"/>
          </reference>
          <reference field="14" count="1" selected="0">
            <x v="38"/>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0"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D5C990-CECB-4D14-ABA9-60E737CD5915}" name="total compani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I837:I838" firstHeaderRow="1" firstDataRow="1" firstDataCol="0" rowPageCount="1" colPageCount="1"/>
  <pivotFields count="19">
    <pivotField dataField="1" showAll="0"/>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axis="axisPage" multipleItemSelectionAllowed="1"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2" hier="-1"/>
  </pageFields>
  <dataFields count="1">
    <dataField name="Count of company" fld="0" subtotal="count"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EE4031-B943-41CE-8F42-19FAAA932446}"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K846:L858"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axis="axisRow" showAll="0">
      <items count="14">
        <item x="4"/>
        <item x="6"/>
        <item x="0"/>
        <item x="5"/>
        <item x="2"/>
        <item x="3"/>
        <item x="9"/>
        <item x="7"/>
        <item x="10"/>
        <item x="1"/>
        <item x="11"/>
        <item x="8"/>
        <item h="1" x="12"/>
        <item t="default"/>
      </items>
    </pivotField>
    <pivotField multipleItemSelectionAllowed="1"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2">
    <i>
      <x/>
    </i>
    <i>
      <x v="1"/>
    </i>
    <i>
      <x v="2"/>
    </i>
    <i>
      <x v="3"/>
    </i>
    <i>
      <x v="4"/>
    </i>
    <i>
      <x v="5"/>
    </i>
    <i>
      <x v="6"/>
    </i>
    <i>
      <x v="7"/>
    </i>
    <i>
      <x v="8"/>
    </i>
    <i>
      <x v="9"/>
    </i>
    <i>
      <x v="10"/>
    </i>
    <i>
      <x v="11"/>
    </i>
  </rowItems>
  <colItems count="1">
    <i/>
  </colItems>
  <dataFields count="1">
    <dataField name="Sum of total_laid_off" fld="3" baseField="0" baseItem="0" numFmtId="1"/>
  </dataFields>
  <formats count="2">
    <format dxfId="34">
      <pivotArea collapsedLevelsAreSubtotals="1" fieldPosition="0">
        <references count="1">
          <reference field="11" count="1">
            <x v="2"/>
          </reference>
        </references>
      </pivotArea>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38A193-8498-4494-9EEC-C986D1650CCE}" name="month"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 fieldListSortAscending="1">
  <location ref="AI13:AJ25"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axis="axisRow" numFmtId="167" showAll="0">
      <items count="13">
        <item x="2"/>
        <item x="4"/>
        <item x="6"/>
        <item x="3"/>
        <item x="10"/>
        <item x="9"/>
        <item x="0"/>
        <item x="5"/>
        <item x="8"/>
        <item x="11"/>
        <item x="1"/>
        <item x="7"/>
        <item t="default"/>
      </items>
    </pivotField>
    <pivotField showAll="0"/>
    <pivotField showAll="0" sortType="ascending" defaultSubtota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2">
    <i>
      <x/>
    </i>
    <i>
      <x v="1"/>
    </i>
    <i>
      <x v="2"/>
    </i>
    <i>
      <x v="3"/>
    </i>
    <i>
      <x v="4"/>
    </i>
    <i>
      <x v="5"/>
    </i>
    <i>
      <x v="6"/>
    </i>
    <i>
      <x v="7"/>
    </i>
    <i>
      <x v="8"/>
    </i>
    <i>
      <x v="9"/>
    </i>
    <i>
      <x v="10"/>
    </i>
    <i>
      <x v="11"/>
    </i>
  </rowItems>
  <colItems count="1">
    <i/>
  </colItems>
  <dataFields count="1">
    <dataField name="Sum of total_laid_off" fld="3" baseField="0" baseItem="0"/>
  </dataFields>
  <chartFormats count="2">
    <chartFormat chart="3"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F4965C-6181-4BA7-A019-5F8780F25C5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826"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FEDCEF-2B7F-4EBD-84BD-CFC8C78B0B11}"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J839:BL1662" firstHeaderRow="0"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multipleItemSelectionAllowed="1" showAll="0">
      <items count="6">
        <item x="2"/>
        <item x="3"/>
        <item x="0"/>
        <item x="1"/>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Fields count="1">
    <field x="-2"/>
  </colFields>
  <colItems count="2">
    <i>
      <x/>
    </i>
    <i i="1">
      <x v="1"/>
    </i>
  </colItems>
  <dataFields count="2">
    <dataField name="Sum of funds_raised_millions" fld="15" baseField="0" baseItem="1"/>
    <dataField name="Sum of total_laid_off" fld="3" baseField="0" baseItem="4"/>
  </dataFields>
  <formats count="2">
    <format dxfId="36">
      <pivotArea outline="0" collapsedLevelsAreSubtotals="1" fieldPosition="0"/>
    </format>
    <format dxfId="35">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D43848-0831-46F7-BF1A-E9F119DDC81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 fieldListSortAscending="1">
  <location ref="AL13:AM45"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axis="axisRow" showAll="0">
      <items count="33">
        <item x="31"/>
        <item x="29"/>
        <item x="24"/>
        <item x="19"/>
        <item x="5"/>
        <item x="26"/>
        <item x="6"/>
        <item x="22"/>
        <item x="4"/>
        <item x="7"/>
        <item x="10"/>
        <item x="23"/>
        <item x="20"/>
        <item x="3"/>
        <item x="25"/>
        <item x="15"/>
        <item x="17"/>
        <item x="1"/>
        <item x="11"/>
        <item x="30"/>
        <item x="13"/>
        <item x="12"/>
        <item x="28"/>
        <item x="27"/>
        <item x="18"/>
        <item x="0"/>
        <item x="16"/>
        <item x="2"/>
        <item x="8"/>
        <item x="9"/>
        <item x="14"/>
        <item x="21"/>
        <item t="default"/>
      </items>
    </pivotField>
    <pivotField numFmtId="167" showAll="0">
      <items count="13">
        <item x="2"/>
        <item x="4"/>
        <item x="6"/>
        <item x="3"/>
        <item x="10"/>
        <item x="9"/>
        <item x="0"/>
        <item x="5"/>
        <item x="8"/>
        <item x="11"/>
        <item x="1"/>
        <item x="7"/>
        <item t="default"/>
      </items>
    </pivotField>
    <pivotField showAll="0"/>
    <pivotField showAll="0" defaultSubtota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973853-4ECB-40F2-B366-E73688950B72}" name="coun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country">
  <location ref="AC53:AD59"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axis="axisRow" showAll="0" measureFilter="1">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3"/>
    </i>
    <i>
      <x v="14"/>
    </i>
    <i>
      <x v="24"/>
    </i>
    <i>
      <x v="32"/>
    </i>
    <i>
      <x v="34"/>
    </i>
    <i>
      <x v="38"/>
    </i>
  </rowItems>
  <colItems count="1">
    <i/>
  </colItems>
  <dataFields count="1">
    <dataField name="Sum of total_laid_off" fld="3" baseField="0" baseItem="0"/>
  </dataFields>
  <chartFormats count="22">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3"/>
          </reference>
        </references>
      </pivotArea>
    </chartFormat>
    <chartFormat chart="2" format="10">
      <pivotArea type="data" outline="0" fieldPosition="0">
        <references count="2">
          <reference field="4294967294" count="1" selected="0">
            <x v="0"/>
          </reference>
          <reference field="14" count="1" selected="0">
            <x v="14"/>
          </reference>
        </references>
      </pivotArea>
    </chartFormat>
    <chartFormat chart="2" format="11">
      <pivotArea type="data" outline="0" fieldPosition="0">
        <references count="2">
          <reference field="4294967294" count="1" selected="0">
            <x v="0"/>
          </reference>
          <reference field="14" count="1" selected="0">
            <x v="24"/>
          </reference>
        </references>
      </pivotArea>
    </chartFormat>
    <chartFormat chart="2" format="12">
      <pivotArea type="data" outline="0" fieldPosition="0">
        <references count="2">
          <reference field="4294967294" count="1" selected="0">
            <x v="0"/>
          </reference>
          <reference field="14" count="1" selected="0">
            <x v="32"/>
          </reference>
        </references>
      </pivotArea>
    </chartFormat>
    <chartFormat chart="2" format="13">
      <pivotArea type="data" outline="0" fieldPosition="0">
        <references count="2">
          <reference field="4294967294" count="1" selected="0">
            <x v="0"/>
          </reference>
          <reference field="14" count="1" selected="0">
            <x v="34"/>
          </reference>
        </references>
      </pivotArea>
    </chartFormat>
    <chartFormat chart="2" format="14">
      <pivotArea type="data" outline="0" fieldPosition="0">
        <references count="2">
          <reference field="4294967294" count="1" selected="0">
            <x v="0"/>
          </reference>
          <reference field="14" count="1" selected="0">
            <x v="38"/>
          </reference>
        </references>
      </pivotArea>
    </chartFormat>
    <chartFormat chart="0" format="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4" count="1" selected="0">
            <x v="3"/>
          </reference>
        </references>
      </pivotArea>
    </chartFormat>
    <chartFormat chart="8" format="28">
      <pivotArea type="data" outline="0" fieldPosition="0">
        <references count="2">
          <reference field="4294967294" count="1" selected="0">
            <x v="0"/>
          </reference>
          <reference field="14" count="1" selected="0">
            <x v="4"/>
          </reference>
        </references>
      </pivotArea>
    </chartFormat>
    <chartFormat chart="8" format="29">
      <pivotArea type="data" outline="0" fieldPosition="0">
        <references count="2">
          <reference field="4294967294" count="1" selected="0">
            <x v="0"/>
          </reference>
          <reference field="14" count="1" selected="0">
            <x v="6"/>
          </reference>
        </references>
      </pivotArea>
    </chartFormat>
    <chartFormat chart="8" format="30">
      <pivotArea type="data" outline="0" fieldPosition="0">
        <references count="2">
          <reference field="4294967294" count="1" selected="0">
            <x v="0"/>
          </reference>
          <reference field="14" count="1" selected="0">
            <x v="11"/>
          </reference>
        </references>
      </pivotArea>
    </chartFormat>
    <chartFormat chart="8" format="31">
      <pivotArea type="data" outline="0" fieldPosition="0">
        <references count="2">
          <reference field="4294967294" count="1" selected="0">
            <x v="0"/>
          </reference>
          <reference field="14" count="1" selected="0">
            <x v="14"/>
          </reference>
        </references>
      </pivotArea>
    </chartFormat>
    <chartFormat chart="8" format="32">
      <pivotArea type="data" outline="0" fieldPosition="0">
        <references count="2">
          <reference field="4294967294" count="1" selected="0">
            <x v="0"/>
          </reference>
          <reference field="14" count="1" selected="0">
            <x v="24"/>
          </reference>
        </references>
      </pivotArea>
    </chartFormat>
    <chartFormat chart="8" format="33">
      <pivotArea type="data" outline="0" fieldPosition="0">
        <references count="2">
          <reference field="4294967294" count="1" selected="0">
            <x v="0"/>
          </reference>
          <reference field="14" count="1" selected="0">
            <x v="32"/>
          </reference>
        </references>
      </pivotArea>
    </chartFormat>
    <chartFormat chart="8" format="34">
      <pivotArea type="data" outline="0" fieldPosition="0">
        <references count="2">
          <reference field="4294967294" count="1" selected="0">
            <x v="0"/>
          </reference>
          <reference field="14" count="1" selected="0">
            <x v="34"/>
          </reference>
        </references>
      </pivotArea>
    </chartFormat>
    <chartFormat chart="8" format="35">
      <pivotArea type="data" outline="0" fieldPosition="0">
        <references count="2">
          <reference field="4294967294" count="1" selected="0">
            <x v="0"/>
          </reference>
          <reference field="14" count="1" selected="0">
            <x v="37"/>
          </reference>
        </references>
      </pivotArea>
    </chartFormat>
    <chartFormat chart="8" format="36">
      <pivotArea type="data" outline="0" fieldPosition="0">
        <references count="2">
          <reference field="4294967294" count="1" selected="0">
            <x v="0"/>
          </reference>
          <reference field="14" count="1" selected="0">
            <x v="38"/>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0"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5AF1E9-CB99-4B8D-AA7A-0926BEE95C8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Z11:AA50"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axis="axisRow" showAll="0">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F822F16-03A2-4ABF-B72A-11154F775303}"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L834:AL835" firstHeaderRow="1" firstDataRow="1" firstDataCol="0" rowPageCount="1" colPageCount="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axis="axisPage" multipleItemSelectionAllowed="1"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2" hier="-1"/>
  </pageFields>
  <dataFields count="1">
    <dataField name="Sum of total_laid_off" fld="3" baseField="0" baseItem="0"/>
  </dataFields>
  <formats count="2">
    <format dxfId="38">
      <pivotArea outline="0" collapsedLevelsAreSubtotals="1" fieldPosition="0"/>
    </format>
    <format dxfId="37">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27B731-8E51-4A12-8BED-4E3497CCAEBB}"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Q12:AR22" firstHeaderRow="1" firstDataRow="1" firstDataCol="1"/>
  <pivotFields count="19">
    <pivotField axis="axisRow" showAll="0" measureFilter="1" sortType="ascending">
      <items count="824">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3"/>
        <item x="12"/>
        <item x="11"/>
        <item x="10"/>
        <item x="9"/>
        <item x="8"/>
        <item x="7"/>
        <item x="6"/>
        <item x="5"/>
        <item x="4"/>
        <item x="3"/>
        <item x="1"/>
        <item x="2"/>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0">
    <i>
      <x v="116"/>
    </i>
    <i>
      <x v="481"/>
    </i>
    <i>
      <x v="77"/>
    </i>
    <i>
      <x v="239"/>
    </i>
    <i>
      <x v="600"/>
    </i>
    <i>
      <x v="787"/>
    </i>
    <i>
      <x v="244"/>
    </i>
    <i>
      <x v="745"/>
    </i>
    <i>
      <x v="441"/>
    </i>
    <i>
      <x v="599"/>
    </i>
  </rowItems>
  <colItems count="1">
    <i/>
  </colItems>
  <dataFields count="1">
    <dataField name="Sum of funds_raised_millions" fld="15" baseField="0" baseItem="0"/>
  </dataFields>
  <chartFormats count="3">
    <chartFormat chart="0"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32D037E-BB11-429F-998A-09DE19D91F3B}"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ategory" fieldListSortAscending="1">
  <location ref="AE14:AF18" firstHeaderRow="1" firstDataRow="1" firstDataCol="1"/>
  <pivotFields count="19">
    <pivotField showAll="0"/>
    <pivotField showAll="0"/>
    <pivotField showAll="0"/>
    <pivotField dataField="1" showAll="0"/>
    <pivotField showAll="0"/>
    <pivotField showAll="0"/>
    <pivotField axis="axisRow" showAll="0">
      <items count="6">
        <item x="4"/>
        <item x="1"/>
        <item x="3"/>
        <item x="0"/>
        <item h="1" x="2"/>
        <item t="default"/>
      </items>
    </pivotField>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defaultSubtota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x v="3"/>
    </i>
  </rowItems>
  <colItems count="1">
    <i/>
  </colItems>
  <dataFields count="1">
    <dataField name="Sum of total_laid_off" fld="3" baseField="0" baseItem="0"/>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ADABFF1-62A0-4B99-B741-E3FCD1183079}" name="kpi company" cacheId="0" applyNumberFormats="0" applyBorderFormats="0" applyFontFormats="0" applyPatternFormats="0" applyAlignmentFormats="0" applyWidthHeightFormats="1" dataCaption="Values" updatedVersion="8" minRefreshableVersion="3" rowGrandTotals="0" colGrandTotals="0" itemPrintTitles="1" mergeItem="1" createdVersion="8" indent="0" showHeaders="0" outline="1" outlineData="1" multipleFieldFilters="0" chartFormat="1">
  <location ref="P846:Q847" firstHeaderRow="1" firstDataRow="1" firstDataCol="1"/>
  <pivotFields count="19">
    <pivotField axis="axisRow" showAll="0" measureFilter="1" sortType="descending" defaultSubtotal="0">
      <items count="823">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showAll="0" defaultSubtotal="0"/>
    <pivotField showAll="0" defaultSubtotal="0"/>
    <pivotField subtotalTop="0" showAll="0" defaultSubtotal="0"/>
    <pivotField showAll="0" defaultSubtotal="0"/>
    <pivotField showAll="0" defaultSubtotal="0">
      <items count="360">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s>
    </pivotField>
    <pivotField showAll="0" defaultSubtotal="0"/>
    <pivotField numFmtId="167" showAll="0" defaultSubtotal="0">
      <items count="12">
        <item x="2"/>
        <item x="4"/>
        <item x="6"/>
        <item x="3"/>
        <item x="10"/>
        <item x="9"/>
        <item x="0"/>
        <item x="5"/>
        <item x="8"/>
        <item x="11"/>
        <item x="1"/>
        <item x="7"/>
      </items>
    </pivotField>
    <pivotField showAll="0" defaultSubtotal="0"/>
    <pivotField showAll="0" defaultSubtotal="0"/>
    <pivotField multipleItemSelectionAllowed="1" showAll="0" defaultSubtotal="0">
      <items count="5">
        <item x="2"/>
        <item x="3"/>
        <item x="0"/>
        <item x="1"/>
        <item x="4"/>
      </items>
    </pivotField>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0"/>
  </rowFields>
  <rowItems count="1">
    <i>
      <x v="52"/>
    </i>
  </rowItems>
  <colItems count="1">
    <i/>
  </colItems>
  <dataFields count="1">
    <dataField name="sum" fld="3" baseField="0" baseItem="52" numFmtId="1"/>
  </dataFields>
  <formats count="2">
    <format dxfId="40">
      <pivotArea outline="0" collapsedLevelsAreSubtotals="1" fieldPosition="0"/>
    </format>
    <format dxfId="39">
      <pivotArea dataOnly="0" outline="0" axis="axisValues" fieldPosition="0"/>
    </format>
  </formats>
  <pivotTableStyleInfo showRowHeaders="1" showColHeaders="1" showRowStripes="0" showColStripes="0" showLastColumn="1"/>
  <filters count="1">
    <filter fld="0" type="count" evalOrder="-1" id="7"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7D05D38-2F99-4D8B-AD8F-2CE15A3A2DD8}"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L842:AM1665"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multipleItemSelectionAllowed="1"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Items count="1">
    <i/>
  </colItems>
  <dataFields count="1">
    <dataField name="Count of total_laid_off" fld="3" subtotal="count" baseField="0" baseItem="0"/>
  </dataFields>
  <formats count="2">
    <format dxfId="42">
      <pivotArea outline="0" collapsedLevelsAreSubtotals="1" fieldPosition="0"/>
    </format>
    <format dxfId="41">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1CD4891-BD23-4B64-AAD4-D82FBBB90B7F}"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C842:BD1583" firstHeaderRow="1" firstDataRow="1" firstDataCol="1"/>
  <pivotFields count="19">
    <pivotField axis="axisRow" showAll="0" measureFilter="1">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multipleItemSelectionAllowed="1" showAll="0">
      <items count="6">
        <item x="2"/>
        <item x="3"/>
        <item x="0"/>
        <item x="1"/>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741">
    <i>
      <x/>
    </i>
    <i>
      <x v="1"/>
    </i>
    <i>
      <x v="2"/>
    </i>
    <i>
      <x v="3"/>
    </i>
    <i>
      <x v="4"/>
    </i>
    <i>
      <x v="5"/>
    </i>
    <i>
      <x v="6"/>
    </i>
    <i>
      <x v="7"/>
    </i>
    <i>
      <x v="8"/>
    </i>
    <i>
      <x v="9"/>
    </i>
    <i>
      <x v="10"/>
    </i>
    <i>
      <x v="11"/>
    </i>
    <i>
      <x v="12"/>
    </i>
    <i>
      <x v="13"/>
    </i>
    <i>
      <x v="14"/>
    </i>
    <i>
      <x v="15"/>
    </i>
    <i>
      <x v="16"/>
    </i>
    <i>
      <x v="17"/>
    </i>
    <i>
      <x v="18"/>
    </i>
    <i>
      <x v="19"/>
    </i>
    <i>
      <x v="20"/>
    </i>
    <i>
      <x v="21"/>
    </i>
    <i>
      <x v="22"/>
    </i>
    <i>
      <x v="23"/>
    </i>
    <i>
      <x v="24"/>
    </i>
    <i>
      <x v="25"/>
    </i>
    <i>
      <x v="26"/>
    </i>
    <i>
      <x v="27"/>
    </i>
    <i>
      <x v="29"/>
    </i>
    <i>
      <x v="30"/>
    </i>
    <i>
      <x v="33"/>
    </i>
    <i>
      <x v="34"/>
    </i>
    <i>
      <x v="35"/>
    </i>
    <i>
      <x v="36"/>
    </i>
    <i>
      <x v="37"/>
    </i>
    <i>
      <x v="38"/>
    </i>
    <i>
      <x v="39"/>
    </i>
    <i>
      <x v="41"/>
    </i>
    <i>
      <x v="42"/>
    </i>
    <i>
      <x v="44"/>
    </i>
    <i>
      <x v="45"/>
    </i>
    <i>
      <x v="46"/>
    </i>
    <i>
      <x v="47"/>
    </i>
    <i>
      <x v="48"/>
    </i>
    <i>
      <x v="49"/>
    </i>
    <i>
      <x v="50"/>
    </i>
    <i>
      <x v="51"/>
    </i>
    <i>
      <x v="52"/>
    </i>
    <i>
      <x v="53"/>
    </i>
    <i>
      <x v="56"/>
    </i>
    <i>
      <x v="57"/>
    </i>
    <i>
      <x v="58"/>
    </i>
    <i>
      <x v="59"/>
    </i>
    <i>
      <x v="60"/>
    </i>
    <i>
      <x v="61"/>
    </i>
    <i>
      <x v="62"/>
    </i>
    <i>
      <x v="63"/>
    </i>
    <i>
      <x v="64"/>
    </i>
    <i>
      <x v="65"/>
    </i>
    <i>
      <x v="66"/>
    </i>
    <i>
      <x v="67"/>
    </i>
    <i>
      <x v="68"/>
    </i>
    <i>
      <x v="69"/>
    </i>
    <i>
      <x v="71"/>
    </i>
    <i>
      <x v="72"/>
    </i>
    <i>
      <x v="73"/>
    </i>
    <i>
      <x v="74"/>
    </i>
    <i>
      <x v="75"/>
    </i>
    <i>
      <x v="76"/>
    </i>
    <i>
      <x v="77"/>
    </i>
    <i>
      <x v="78"/>
    </i>
    <i>
      <x v="79"/>
    </i>
    <i>
      <x v="80"/>
    </i>
    <i>
      <x v="81"/>
    </i>
    <i>
      <x v="83"/>
    </i>
    <i>
      <x v="85"/>
    </i>
    <i>
      <x v="86"/>
    </i>
    <i>
      <x v="87"/>
    </i>
    <i>
      <x v="88"/>
    </i>
    <i>
      <x v="89"/>
    </i>
    <i>
      <x v="91"/>
    </i>
    <i>
      <x v="92"/>
    </i>
    <i>
      <x v="93"/>
    </i>
    <i>
      <x v="94"/>
    </i>
    <i>
      <x v="95"/>
    </i>
    <i>
      <x v="96"/>
    </i>
    <i>
      <x v="97"/>
    </i>
    <i>
      <x v="98"/>
    </i>
    <i>
      <x v="99"/>
    </i>
    <i>
      <x v="101"/>
    </i>
    <i>
      <x v="102"/>
    </i>
    <i>
      <x v="103"/>
    </i>
    <i>
      <x v="105"/>
    </i>
    <i>
      <x v="107"/>
    </i>
    <i>
      <x v="108"/>
    </i>
    <i>
      <x v="109"/>
    </i>
    <i>
      <x v="110"/>
    </i>
    <i>
      <x v="111"/>
    </i>
    <i>
      <x v="112"/>
    </i>
    <i>
      <x v="113"/>
    </i>
    <i>
      <x v="114"/>
    </i>
    <i>
      <x v="115"/>
    </i>
    <i>
      <x v="116"/>
    </i>
    <i>
      <x v="118"/>
    </i>
    <i>
      <x v="119"/>
    </i>
    <i>
      <x v="121"/>
    </i>
    <i>
      <x v="122"/>
    </i>
    <i>
      <x v="123"/>
    </i>
    <i>
      <x v="124"/>
    </i>
    <i>
      <x v="125"/>
    </i>
    <i>
      <x v="126"/>
    </i>
    <i>
      <x v="127"/>
    </i>
    <i>
      <x v="128"/>
    </i>
    <i>
      <x v="129"/>
    </i>
    <i>
      <x v="130"/>
    </i>
    <i>
      <x v="131"/>
    </i>
    <i>
      <x v="132"/>
    </i>
    <i>
      <x v="133"/>
    </i>
    <i>
      <x v="134"/>
    </i>
    <i>
      <x v="135"/>
    </i>
    <i>
      <x v="136"/>
    </i>
    <i>
      <x v="137"/>
    </i>
    <i>
      <x v="138"/>
    </i>
    <i>
      <x v="139"/>
    </i>
    <i>
      <x v="140"/>
    </i>
    <i>
      <x v="141"/>
    </i>
    <i>
      <x v="142"/>
    </i>
    <i>
      <x v="143"/>
    </i>
    <i>
      <x v="145"/>
    </i>
    <i>
      <x v="147"/>
    </i>
    <i>
      <x v="148"/>
    </i>
    <i>
      <x v="149"/>
    </i>
    <i>
      <x v="150"/>
    </i>
    <i>
      <x v="151"/>
    </i>
    <i>
      <x v="152"/>
    </i>
    <i>
      <x v="155"/>
    </i>
    <i>
      <x v="156"/>
    </i>
    <i>
      <x v="157"/>
    </i>
    <i>
      <x v="159"/>
    </i>
    <i>
      <x v="160"/>
    </i>
    <i>
      <x v="161"/>
    </i>
    <i>
      <x v="162"/>
    </i>
    <i>
      <x v="163"/>
    </i>
    <i>
      <x v="164"/>
    </i>
    <i>
      <x v="165"/>
    </i>
    <i>
      <x v="167"/>
    </i>
    <i>
      <x v="168"/>
    </i>
    <i>
      <x v="169"/>
    </i>
    <i>
      <x v="171"/>
    </i>
    <i>
      <x v="173"/>
    </i>
    <i>
      <x v="174"/>
    </i>
    <i>
      <x v="176"/>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2"/>
    </i>
    <i>
      <x v="223"/>
    </i>
    <i>
      <x v="224"/>
    </i>
    <i>
      <x v="226"/>
    </i>
    <i>
      <x v="227"/>
    </i>
    <i>
      <x v="228"/>
    </i>
    <i>
      <x v="229"/>
    </i>
    <i>
      <x v="231"/>
    </i>
    <i>
      <x v="232"/>
    </i>
    <i>
      <x v="233"/>
    </i>
    <i>
      <x v="234"/>
    </i>
    <i>
      <x v="235"/>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2"/>
    </i>
    <i>
      <x v="273"/>
    </i>
    <i>
      <x v="274"/>
    </i>
    <i>
      <x v="275"/>
    </i>
    <i>
      <x v="276"/>
    </i>
    <i>
      <x v="277"/>
    </i>
    <i>
      <x v="278"/>
    </i>
    <i>
      <x v="279"/>
    </i>
    <i>
      <x v="280"/>
    </i>
    <i>
      <x v="281"/>
    </i>
    <i>
      <x v="282"/>
    </i>
    <i>
      <x v="283"/>
    </i>
    <i>
      <x v="284"/>
    </i>
    <i>
      <x v="285"/>
    </i>
    <i>
      <x v="286"/>
    </i>
    <i>
      <x v="287"/>
    </i>
    <i>
      <x v="288"/>
    </i>
    <i>
      <x v="289"/>
    </i>
    <i>
      <x v="291"/>
    </i>
    <i>
      <x v="292"/>
    </i>
    <i>
      <x v="293"/>
    </i>
    <i>
      <x v="294"/>
    </i>
    <i>
      <x v="295"/>
    </i>
    <i>
      <x v="296"/>
    </i>
    <i>
      <x v="297"/>
    </i>
    <i>
      <x v="298"/>
    </i>
    <i>
      <x v="299"/>
    </i>
    <i>
      <x v="300"/>
    </i>
    <i>
      <x v="301"/>
    </i>
    <i>
      <x v="302"/>
    </i>
    <i>
      <x v="303"/>
    </i>
    <i>
      <x v="304"/>
    </i>
    <i>
      <x v="305"/>
    </i>
    <i>
      <x v="306"/>
    </i>
    <i>
      <x v="307"/>
    </i>
    <i>
      <x v="308"/>
    </i>
    <i>
      <x v="310"/>
    </i>
    <i>
      <x v="311"/>
    </i>
    <i>
      <x v="312"/>
    </i>
    <i>
      <x v="313"/>
    </i>
    <i>
      <x v="314"/>
    </i>
    <i>
      <x v="315"/>
    </i>
    <i>
      <x v="316"/>
    </i>
    <i>
      <x v="317"/>
    </i>
    <i>
      <x v="319"/>
    </i>
    <i>
      <x v="320"/>
    </i>
    <i>
      <x v="321"/>
    </i>
    <i>
      <x v="322"/>
    </i>
    <i>
      <x v="323"/>
    </i>
    <i>
      <x v="324"/>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5"/>
    </i>
    <i>
      <x v="367"/>
    </i>
    <i>
      <x v="368"/>
    </i>
    <i>
      <x v="369"/>
    </i>
    <i>
      <x v="370"/>
    </i>
    <i>
      <x v="371"/>
    </i>
    <i>
      <x v="373"/>
    </i>
    <i>
      <x v="374"/>
    </i>
    <i>
      <x v="376"/>
    </i>
    <i>
      <x v="377"/>
    </i>
    <i>
      <x v="378"/>
    </i>
    <i>
      <x v="379"/>
    </i>
    <i>
      <x v="380"/>
    </i>
    <i>
      <x v="381"/>
    </i>
    <i>
      <x v="383"/>
    </i>
    <i>
      <x v="384"/>
    </i>
    <i>
      <x v="385"/>
    </i>
    <i>
      <x v="386"/>
    </i>
    <i>
      <x v="387"/>
    </i>
    <i>
      <x v="388"/>
    </i>
    <i>
      <x v="391"/>
    </i>
    <i>
      <x v="392"/>
    </i>
    <i>
      <x v="393"/>
    </i>
    <i>
      <x v="394"/>
    </i>
    <i>
      <x v="395"/>
    </i>
    <i>
      <x v="397"/>
    </i>
    <i>
      <x v="398"/>
    </i>
    <i>
      <x v="399"/>
    </i>
    <i>
      <x v="400"/>
    </i>
    <i>
      <x v="401"/>
    </i>
    <i>
      <x v="402"/>
    </i>
    <i>
      <x v="403"/>
    </i>
    <i>
      <x v="404"/>
    </i>
    <i>
      <x v="405"/>
    </i>
    <i>
      <x v="406"/>
    </i>
    <i>
      <x v="408"/>
    </i>
    <i>
      <x v="409"/>
    </i>
    <i>
      <x v="410"/>
    </i>
    <i>
      <x v="412"/>
    </i>
    <i>
      <x v="413"/>
    </i>
    <i>
      <x v="414"/>
    </i>
    <i>
      <x v="415"/>
    </i>
    <i>
      <x v="416"/>
    </i>
    <i>
      <x v="417"/>
    </i>
    <i>
      <x v="418"/>
    </i>
    <i>
      <x v="419"/>
    </i>
    <i>
      <x v="421"/>
    </i>
    <i>
      <x v="422"/>
    </i>
    <i>
      <x v="423"/>
    </i>
    <i>
      <x v="424"/>
    </i>
    <i>
      <x v="425"/>
    </i>
    <i>
      <x v="426"/>
    </i>
    <i>
      <x v="427"/>
    </i>
    <i>
      <x v="428"/>
    </i>
    <i>
      <x v="429"/>
    </i>
    <i>
      <x v="430"/>
    </i>
    <i>
      <x v="431"/>
    </i>
    <i>
      <x v="432"/>
    </i>
    <i>
      <x v="433"/>
    </i>
    <i>
      <x v="434"/>
    </i>
    <i>
      <x v="435"/>
    </i>
    <i>
      <x v="436"/>
    </i>
    <i>
      <x v="437"/>
    </i>
    <i>
      <x v="439"/>
    </i>
    <i>
      <x v="440"/>
    </i>
    <i>
      <x v="441"/>
    </i>
    <i>
      <x v="442"/>
    </i>
    <i>
      <x v="443"/>
    </i>
    <i>
      <x v="444"/>
    </i>
    <i>
      <x v="445"/>
    </i>
    <i>
      <x v="446"/>
    </i>
    <i>
      <x v="447"/>
    </i>
    <i>
      <x v="448"/>
    </i>
    <i>
      <x v="449"/>
    </i>
    <i>
      <x v="450"/>
    </i>
    <i>
      <x v="451"/>
    </i>
    <i>
      <x v="453"/>
    </i>
    <i>
      <x v="454"/>
    </i>
    <i>
      <x v="455"/>
    </i>
    <i>
      <x v="457"/>
    </i>
    <i>
      <x v="458"/>
    </i>
    <i>
      <x v="459"/>
    </i>
    <i>
      <x v="460"/>
    </i>
    <i>
      <x v="461"/>
    </i>
    <i>
      <x v="462"/>
    </i>
    <i>
      <x v="463"/>
    </i>
    <i>
      <x v="465"/>
    </i>
    <i>
      <x v="466"/>
    </i>
    <i>
      <x v="467"/>
    </i>
    <i>
      <x v="468"/>
    </i>
    <i>
      <x v="469"/>
    </i>
    <i>
      <x v="470"/>
    </i>
    <i>
      <x v="471"/>
    </i>
    <i>
      <x v="472"/>
    </i>
    <i>
      <x v="473"/>
    </i>
    <i>
      <x v="474"/>
    </i>
    <i>
      <x v="475"/>
    </i>
    <i>
      <x v="476"/>
    </i>
    <i>
      <x v="477"/>
    </i>
    <i>
      <x v="479"/>
    </i>
    <i>
      <x v="480"/>
    </i>
    <i>
      <x v="481"/>
    </i>
    <i>
      <x v="482"/>
    </i>
    <i>
      <x v="483"/>
    </i>
    <i>
      <x v="485"/>
    </i>
    <i>
      <x v="486"/>
    </i>
    <i>
      <x v="487"/>
    </i>
    <i>
      <x v="488"/>
    </i>
    <i>
      <x v="489"/>
    </i>
    <i>
      <x v="490"/>
    </i>
    <i>
      <x v="491"/>
    </i>
    <i>
      <x v="492"/>
    </i>
    <i>
      <x v="493"/>
    </i>
    <i>
      <x v="494"/>
    </i>
    <i>
      <x v="495"/>
    </i>
    <i>
      <x v="496"/>
    </i>
    <i>
      <x v="497"/>
    </i>
    <i>
      <x v="498"/>
    </i>
    <i>
      <x v="499"/>
    </i>
    <i>
      <x v="501"/>
    </i>
    <i>
      <x v="502"/>
    </i>
    <i>
      <x v="503"/>
    </i>
    <i>
      <x v="504"/>
    </i>
    <i>
      <x v="505"/>
    </i>
    <i>
      <x v="508"/>
    </i>
    <i>
      <x v="509"/>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40"/>
    </i>
    <i>
      <x v="541"/>
    </i>
    <i>
      <x v="543"/>
    </i>
    <i>
      <x v="545"/>
    </i>
    <i>
      <x v="546"/>
    </i>
    <i>
      <x v="548"/>
    </i>
    <i>
      <x v="549"/>
    </i>
    <i>
      <x v="550"/>
    </i>
    <i>
      <x v="551"/>
    </i>
    <i>
      <x v="552"/>
    </i>
    <i>
      <x v="553"/>
    </i>
    <i>
      <x v="554"/>
    </i>
    <i>
      <x v="555"/>
    </i>
    <i>
      <x v="556"/>
    </i>
    <i>
      <x v="557"/>
    </i>
    <i>
      <x v="558"/>
    </i>
    <i>
      <x v="559"/>
    </i>
    <i>
      <x v="561"/>
    </i>
    <i>
      <x v="562"/>
    </i>
    <i>
      <x v="563"/>
    </i>
    <i>
      <x v="564"/>
    </i>
    <i>
      <x v="565"/>
    </i>
    <i>
      <x v="567"/>
    </i>
    <i>
      <x v="568"/>
    </i>
    <i>
      <x v="569"/>
    </i>
    <i>
      <x v="570"/>
    </i>
    <i>
      <x v="571"/>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2"/>
    </i>
    <i>
      <x v="603"/>
    </i>
    <i>
      <x v="604"/>
    </i>
    <i>
      <x v="605"/>
    </i>
    <i>
      <x v="606"/>
    </i>
    <i>
      <x v="607"/>
    </i>
    <i>
      <x v="608"/>
    </i>
    <i>
      <x v="609"/>
    </i>
    <i>
      <x v="610"/>
    </i>
    <i>
      <x v="611"/>
    </i>
    <i>
      <x v="612"/>
    </i>
    <i>
      <x v="614"/>
    </i>
    <i>
      <x v="616"/>
    </i>
    <i>
      <x v="617"/>
    </i>
    <i>
      <x v="618"/>
    </i>
    <i>
      <x v="619"/>
    </i>
    <i>
      <x v="620"/>
    </i>
    <i>
      <x v="621"/>
    </i>
    <i>
      <x v="623"/>
    </i>
    <i>
      <x v="625"/>
    </i>
    <i>
      <x v="626"/>
    </i>
    <i>
      <x v="627"/>
    </i>
    <i>
      <x v="629"/>
    </i>
    <i>
      <x v="630"/>
    </i>
    <i>
      <x v="631"/>
    </i>
    <i>
      <x v="632"/>
    </i>
    <i>
      <x v="633"/>
    </i>
    <i>
      <x v="634"/>
    </i>
    <i>
      <x v="635"/>
    </i>
    <i>
      <x v="636"/>
    </i>
    <i>
      <x v="637"/>
    </i>
    <i>
      <x v="638"/>
    </i>
    <i>
      <x v="639"/>
    </i>
    <i>
      <x v="640"/>
    </i>
    <i>
      <x v="641"/>
    </i>
    <i>
      <x v="642"/>
    </i>
    <i>
      <x v="643"/>
    </i>
    <i>
      <x v="644"/>
    </i>
    <i>
      <x v="645"/>
    </i>
    <i>
      <x v="646"/>
    </i>
    <i>
      <x v="647"/>
    </i>
    <i>
      <x v="648"/>
    </i>
    <i>
      <x v="649"/>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7"/>
    </i>
    <i>
      <x v="678"/>
    </i>
    <i>
      <x v="679"/>
    </i>
    <i>
      <x v="680"/>
    </i>
    <i>
      <x v="681"/>
    </i>
    <i>
      <x v="682"/>
    </i>
    <i>
      <x v="683"/>
    </i>
    <i>
      <x v="684"/>
    </i>
    <i>
      <x v="685"/>
    </i>
    <i>
      <x v="687"/>
    </i>
    <i>
      <x v="688"/>
    </i>
    <i>
      <x v="689"/>
    </i>
    <i>
      <x v="690"/>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7"/>
    </i>
    <i>
      <x v="728"/>
    </i>
    <i>
      <x v="729"/>
    </i>
    <i>
      <x v="730"/>
    </i>
    <i>
      <x v="731"/>
    </i>
    <i>
      <x v="732"/>
    </i>
    <i>
      <x v="733"/>
    </i>
    <i>
      <x v="734"/>
    </i>
    <i>
      <x v="735"/>
    </i>
    <i>
      <x v="736"/>
    </i>
    <i>
      <x v="737"/>
    </i>
    <i>
      <x v="738"/>
    </i>
    <i>
      <x v="739"/>
    </i>
    <i>
      <x v="740"/>
    </i>
    <i>
      <x v="741"/>
    </i>
    <i>
      <x v="742"/>
    </i>
    <i>
      <x v="743"/>
    </i>
    <i>
      <x v="744"/>
    </i>
    <i>
      <x v="745"/>
    </i>
    <i>
      <x v="746"/>
    </i>
    <i>
      <x v="747"/>
    </i>
    <i>
      <x v="748"/>
    </i>
    <i>
      <x v="749"/>
    </i>
    <i>
      <x v="750"/>
    </i>
    <i>
      <x v="752"/>
    </i>
    <i>
      <x v="753"/>
    </i>
    <i>
      <x v="754"/>
    </i>
    <i>
      <x v="755"/>
    </i>
    <i>
      <x v="756"/>
    </i>
    <i>
      <x v="757"/>
    </i>
    <i>
      <x v="758"/>
    </i>
    <i>
      <x v="759"/>
    </i>
    <i>
      <x v="760"/>
    </i>
    <i>
      <x v="761"/>
    </i>
    <i>
      <x v="762"/>
    </i>
    <i>
      <x v="763"/>
    </i>
    <i>
      <x v="764"/>
    </i>
    <i>
      <x v="765"/>
    </i>
    <i>
      <x v="766"/>
    </i>
    <i>
      <x v="767"/>
    </i>
    <i>
      <x v="769"/>
    </i>
    <i>
      <x v="770"/>
    </i>
    <i>
      <x v="771"/>
    </i>
    <i>
      <x v="772"/>
    </i>
    <i>
      <x v="773"/>
    </i>
    <i>
      <x v="774"/>
    </i>
    <i>
      <x v="775"/>
    </i>
    <i>
      <x v="776"/>
    </i>
    <i>
      <x v="777"/>
    </i>
    <i>
      <x v="778"/>
    </i>
    <i>
      <x v="779"/>
    </i>
    <i>
      <x v="780"/>
    </i>
    <i>
      <x v="781"/>
    </i>
    <i>
      <x v="782"/>
    </i>
    <i>
      <x v="783"/>
    </i>
    <i>
      <x v="784"/>
    </i>
    <i>
      <x v="785"/>
    </i>
    <i>
      <x v="786"/>
    </i>
    <i>
      <x v="787"/>
    </i>
    <i>
      <x v="789"/>
    </i>
    <i>
      <x v="790"/>
    </i>
    <i>
      <x v="791"/>
    </i>
    <i>
      <x v="792"/>
    </i>
    <i>
      <x v="793"/>
    </i>
    <i>
      <x v="794"/>
    </i>
    <i>
      <x v="795"/>
    </i>
    <i>
      <x v="796"/>
    </i>
    <i>
      <x v="798"/>
    </i>
    <i>
      <x v="799"/>
    </i>
    <i>
      <x v="800"/>
    </i>
    <i>
      <x v="801"/>
    </i>
    <i>
      <x v="802"/>
    </i>
    <i>
      <x v="804"/>
    </i>
    <i>
      <x v="805"/>
    </i>
    <i>
      <x v="806"/>
    </i>
    <i>
      <x v="807"/>
    </i>
    <i>
      <x v="808"/>
    </i>
    <i>
      <x v="809"/>
    </i>
    <i>
      <x v="810"/>
    </i>
    <i>
      <x v="811"/>
    </i>
    <i>
      <x v="812"/>
    </i>
    <i>
      <x v="813"/>
    </i>
    <i>
      <x v="814"/>
    </i>
    <i>
      <x v="815"/>
    </i>
    <i>
      <x v="816"/>
    </i>
    <i>
      <x v="817"/>
    </i>
    <i>
      <x v="818"/>
    </i>
    <i>
      <x v="820"/>
    </i>
    <i>
      <x v="821"/>
    </i>
    <i>
      <x v="822"/>
    </i>
  </rowItems>
  <colItems count="1">
    <i/>
  </colItems>
  <dataFields count="1">
    <dataField name="Sum of funds_raised_millions" fld="15" baseField="0" baseItem="0"/>
  </dataFields>
  <formats count="2">
    <format dxfId="44">
      <pivotArea outline="0" collapsedLevelsAreSubtotals="1" fieldPosition="0"/>
    </format>
    <format dxfId="43">
      <pivotArea grandCol="1" outline="0" collapsedLevelsAreSubtotals="1" fieldPosition="0"/>
    </format>
  </formats>
  <pivotTableStyleInfo name="PivotStyleLight16" showRowHeaders="1" showColHeaders="1" showRowStripes="0" showColStripes="0" showLastColumn="1"/>
  <filters count="1">
    <filter fld="0" type="valueGreaterThan" evalOrder="-1" id="4"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B28F897-4A27-49FC-9368-A4B70DE680CD}" name="top 10 fund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F837:G847" firstHeaderRow="1" firstDataRow="1" firstDataCol="1"/>
  <pivotFields count="19">
    <pivotField axis="axisRow" showAll="0" measureFilter="1" sortType="descending">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0">
    <i>
      <x v="223"/>
    </i>
    <i>
      <x v="381"/>
    </i>
    <i>
      <x v="77"/>
    </i>
    <i>
      <x v="578"/>
    </i>
    <i>
      <x v="35"/>
    </i>
    <i>
      <x v="222"/>
    </i>
    <i>
      <x v="583"/>
    </i>
    <i>
      <x v="745"/>
    </i>
    <i>
      <x v="341"/>
    </i>
    <i>
      <x v="706"/>
    </i>
  </rowItems>
  <colItems count="1">
    <i/>
  </colItems>
  <dataFields count="1">
    <dataField name="Sum of funds_raised_million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78803B6-D4B3-4619-9CCB-91EE20AF043A}"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R25:AS35" firstHeaderRow="1" firstDataRow="1" firstDataCol="1"/>
  <pivotFields count="19">
    <pivotField showAll="0" measureFilter="1">
      <items count="824">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3"/>
        <item x="12"/>
        <item x="11"/>
        <item x="10"/>
        <item x="9"/>
        <item x="8"/>
        <item x="7"/>
        <item x="6"/>
        <item x="5"/>
        <item x="4"/>
        <item x="3"/>
        <item x="1"/>
        <item x="2"/>
        <item x="14"/>
        <item t="default"/>
      </items>
    </pivotField>
    <pivotField showAll="0"/>
    <pivotField axis="axisRow" showAll="0" measureFilter="1" sortType="ascending">
      <items count="32">
        <item x="23"/>
        <item x="27"/>
        <item x="2"/>
        <item x="4"/>
        <item x="13"/>
        <item x="5"/>
        <item x="6"/>
        <item x="12"/>
        <item x="29"/>
        <item x="28"/>
        <item x="8"/>
        <item x="26"/>
        <item x="0"/>
        <item x="22"/>
        <item x="17"/>
        <item x="30"/>
        <item x="15"/>
        <item x="24"/>
        <item x="1"/>
        <item x="11"/>
        <item x="25"/>
        <item x="18"/>
        <item x="16"/>
        <item x="20"/>
        <item x="19"/>
        <item x="3"/>
        <item x="7"/>
        <item x="21"/>
        <item x="9"/>
        <item x="10"/>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v="30"/>
    </i>
    <i>
      <x v="3"/>
    </i>
    <i>
      <x v="23"/>
    </i>
    <i>
      <x v="5"/>
    </i>
    <i>
      <x v="12"/>
    </i>
    <i>
      <x v="25"/>
    </i>
    <i>
      <x v="2"/>
    </i>
    <i>
      <x v="7"/>
    </i>
    <i>
      <x v="29"/>
    </i>
    <i>
      <x v="10"/>
    </i>
  </rowItems>
  <colItems count="1">
    <i/>
  </colItems>
  <dataFields count="1">
    <dataField name="Sum of funds_raised_millions" fld="15" baseField="0" baseItem="0"/>
  </dataFields>
  <chartFormats count="4">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6" iMeasureFld="0">
      <autoFilter ref="A1">
        <filterColumn colId="0">
          <top10 val="10" filterVal="10"/>
        </filterColumn>
      </autoFilter>
    </filter>
    <filter fld="2"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066360-4600-44C8-9473-C1A074AD5200}"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F842:AF843" firstHeaderRow="1" firstDataRow="1" firstDataCol="0" rowPageCount="1" colPageCount="1"/>
  <pivotFields count="19">
    <pivotField showAll="0"/>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axis="axisPage" multipleItemSelectionAllowed="1" showAll="0">
      <items count="6">
        <item x="2"/>
        <item x="3"/>
        <item x="0"/>
        <item x="1"/>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2" hier="-1"/>
  </pageFields>
  <dataFields count="1">
    <dataField name="Sum of funds_raised_millions" fld="15" baseField="0" baseItem="0"/>
  </dataFields>
  <formats count="2">
    <format dxfId="46">
      <pivotArea outline="0" collapsedLevelsAreSubtotals="1" fieldPosition="0"/>
    </format>
    <format dxfId="45">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FC10306-F3DE-42E4-BB2E-5051D7E55922}"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W842:AX1524" firstHeaderRow="1" firstDataRow="1" firstDataCol="1"/>
  <pivotFields count="19">
    <pivotField axis="axisRow" showAll="0" measureFilter="1">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multipleItemSelectionAllowed="1"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82">
    <i>
      <x/>
    </i>
    <i>
      <x v="1"/>
    </i>
    <i>
      <x v="2"/>
    </i>
    <i>
      <x v="3"/>
    </i>
    <i>
      <x v="4"/>
    </i>
    <i>
      <x v="5"/>
    </i>
    <i>
      <x v="6"/>
    </i>
    <i>
      <x v="8"/>
    </i>
    <i>
      <x v="10"/>
    </i>
    <i>
      <x v="12"/>
    </i>
    <i>
      <x v="14"/>
    </i>
    <i>
      <x v="15"/>
    </i>
    <i>
      <x v="16"/>
    </i>
    <i>
      <x v="17"/>
    </i>
    <i>
      <x v="18"/>
    </i>
    <i>
      <x v="19"/>
    </i>
    <i>
      <x v="21"/>
    </i>
    <i>
      <x v="22"/>
    </i>
    <i>
      <x v="23"/>
    </i>
    <i>
      <x v="24"/>
    </i>
    <i>
      <x v="25"/>
    </i>
    <i>
      <x v="26"/>
    </i>
    <i>
      <x v="27"/>
    </i>
    <i>
      <x v="28"/>
    </i>
    <i>
      <x v="29"/>
    </i>
    <i>
      <x v="30"/>
    </i>
    <i>
      <x v="31"/>
    </i>
    <i>
      <x v="32"/>
    </i>
    <i>
      <x v="33"/>
    </i>
    <i>
      <x v="35"/>
    </i>
    <i>
      <x v="37"/>
    </i>
    <i>
      <x v="38"/>
    </i>
    <i>
      <x v="39"/>
    </i>
    <i>
      <x v="42"/>
    </i>
    <i>
      <x v="43"/>
    </i>
    <i>
      <x v="44"/>
    </i>
    <i>
      <x v="45"/>
    </i>
    <i>
      <x v="46"/>
    </i>
    <i>
      <x v="47"/>
    </i>
    <i>
      <x v="48"/>
    </i>
    <i>
      <x v="49"/>
    </i>
    <i>
      <x v="50"/>
    </i>
    <i>
      <x v="51"/>
    </i>
    <i>
      <x v="52"/>
    </i>
    <i>
      <x v="54"/>
    </i>
    <i>
      <x v="55"/>
    </i>
    <i>
      <x v="56"/>
    </i>
    <i>
      <x v="57"/>
    </i>
    <i>
      <x v="58"/>
    </i>
    <i>
      <x v="59"/>
    </i>
    <i>
      <x v="60"/>
    </i>
    <i>
      <x v="61"/>
    </i>
    <i>
      <x v="62"/>
    </i>
    <i>
      <x v="63"/>
    </i>
    <i>
      <x v="64"/>
    </i>
    <i>
      <x v="65"/>
    </i>
    <i>
      <x v="66"/>
    </i>
    <i>
      <x v="69"/>
    </i>
    <i>
      <x v="70"/>
    </i>
    <i>
      <x v="71"/>
    </i>
    <i>
      <x v="72"/>
    </i>
    <i>
      <x v="73"/>
    </i>
    <i>
      <x v="74"/>
    </i>
    <i>
      <x v="75"/>
    </i>
    <i>
      <x v="77"/>
    </i>
    <i>
      <x v="78"/>
    </i>
    <i>
      <x v="79"/>
    </i>
    <i>
      <x v="80"/>
    </i>
    <i>
      <x v="81"/>
    </i>
    <i>
      <x v="82"/>
    </i>
    <i>
      <x v="83"/>
    </i>
    <i>
      <x v="84"/>
    </i>
    <i>
      <x v="85"/>
    </i>
    <i>
      <x v="86"/>
    </i>
    <i>
      <x v="88"/>
    </i>
    <i>
      <x v="89"/>
    </i>
    <i>
      <x v="91"/>
    </i>
    <i>
      <x v="92"/>
    </i>
    <i>
      <x v="93"/>
    </i>
    <i>
      <x v="94"/>
    </i>
    <i>
      <x v="96"/>
    </i>
    <i>
      <x v="97"/>
    </i>
    <i>
      <x v="98"/>
    </i>
    <i>
      <x v="100"/>
    </i>
    <i>
      <x v="102"/>
    </i>
    <i>
      <x v="104"/>
    </i>
    <i>
      <x v="105"/>
    </i>
    <i>
      <x v="107"/>
    </i>
    <i>
      <x v="108"/>
    </i>
    <i>
      <x v="110"/>
    </i>
    <i>
      <x v="111"/>
    </i>
    <i>
      <x v="112"/>
    </i>
    <i>
      <x v="113"/>
    </i>
    <i>
      <x v="116"/>
    </i>
    <i>
      <x v="117"/>
    </i>
    <i>
      <x v="118"/>
    </i>
    <i>
      <x v="120"/>
    </i>
    <i>
      <x v="121"/>
    </i>
    <i>
      <x v="122"/>
    </i>
    <i>
      <x v="124"/>
    </i>
    <i>
      <x v="125"/>
    </i>
    <i>
      <x v="126"/>
    </i>
    <i>
      <x v="129"/>
    </i>
    <i>
      <x v="130"/>
    </i>
    <i>
      <x v="131"/>
    </i>
    <i>
      <x v="132"/>
    </i>
    <i>
      <x v="133"/>
    </i>
    <i>
      <x v="134"/>
    </i>
    <i>
      <x v="135"/>
    </i>
    <i>
      <x v="136"/>
    </i>
    <i>
      <x v="137"/>
    </i>
    <i>
      <x v="138"/>
    </i>
    <i>
      <x v="140"/>
    </i>
    <i>
      <x v="142"/>
    </i>
    <i>
      <x v="143"/>
    </i>
    <i>
      <x v="146"/>
    </i>
    <i>
      <x v="147"/>
    </i>
    <i>
      <x v="148"/>
    </i>
    <i>
      <x v="150"/>
    </i>
    <i>
      <x v="151"/>
    </i>
    <i>
      <x v="152"/>
    </i>
    <i>
      <x v="153"/>
    </i>
    <i>
      <x v="154"/>
    </i>
    <i>
      <x v="155"/>
    </i>
    <i>
      <x v="157"/>
    </i>
    <i>
      <x v="158"/>
    </i>
    <i>
      <x v="159"/>
    </i>
    <i>
      <x v="160"/>
    </i>
    <i>
      <x v="161"/>
    </i>
    <i>
      <x v="162"/>
    </i>
    <i>
      <x v="163"/>
    </i>
    <i>
      <x v="164"/>
    </i>
    <i>
      <x v="165"/>
    </i>
    <i>
      <x v="166"/>
    </i>
    <i>
      <x v="168"/>
    </i>
    <i>
      <x v="169"/>
    </i>
    <i>
      <x v="170"/>
    </i>
    <i>
      <x v="171"/>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200"/>
    </i>
    <i>
      <x v="201"/>
    </i>
    <i>
      <x v="202"/>
    </i>
    <i>
      <x v="204"/>
    </i>
    <i>
      <x v="205"/>
    </i>
    <i>
      <x v="206"/>
    </i>
    <i>
      <x v="207"/>
    </i>
    <i>
      <x v="208"/>
    </i>
    <i>
      <x v="209"/>
    </i>
    <i>
      <x v="210"/>
    </i>
    <i>
      <x v="211"/>
    </i>
    <i>
      <x v="212"/>
    </i>
    <i>
      <x v="213"/>
    </i>
    <i>
      <x v="214"/>
    </i>
    <i>
      <x v="216"/>
    </i>
    <i>
      <x v="217"/>
    </i>
    <i>
      <x v="219"/>
    </i>
    <i>
      <x v="220"/>
    </i>
    <i>
      <x v="221"/>
    </i>
    <i>
      <x v="222"/>
    </i>
    <i>
      <x v="223"/>
    </i>
    <i>
      <x v="224"/>
    </i>
    <i>
      <x v="225"/>
    </i>
    <i>
      <x v="227"/>
    </i>
    <i>
      <x v="228"/>
    </i>
    <i>
      <x v="229"/>
    </i>
    <i>
      <x v="230"/>
    </i>
    <i>
      <x v="231"/>
    </i>
    <i>
      <x v="232"/>
    </i>
    <i>
      <x v="234"/>
    </i>
    <i>
      <x v="235"/>
    </i>
    <i>
      <x v="236"/>
    </i>
    <i>
      <x v="237"/>
    </i>
    <i>
      <x v="239"/>
    </i>
    <i>
      <x v="240"/>
    </i>
    <i>
      <x v="241"/>
    </i>
    <i>
      <x v="242"/>
    </i>
    <i>
      <x v="243"/>
    </i>
    <i>
      <x v="244"/>
    </i>
    <i>
      <x v="245"/>
    </i>
    <i>
      <x v="246"/>
    </i>
    <i>
      <x v="247"/>
    </i>
    <i>
      <x v="248"/>
    </i>
    <i>
      <x v="249"/>
    </i>
    <i>
      <x v="251"/>
    </i>
    <i>
      <x v="252"/>
    </i>
    <i>
      <x v="253"/>
    </i>
    <i>
      <x v="255"/>
    </i>
    <i>
      <x v="256"/>
    </i>
    <i>
      <x v="258"/>
    </i>
    <i>
      <x v="259"/>
    </i>
    <i>
      <x v="260"/>
    </i>
    <i>
      <x v="262"/>
    </i>
    <i>
      <x v="263"/>
    </i>
    <i>
      <x v="264"/>
    </i>
    <i>
      <x v="267"/>
    </i>
    <i>
      <x v="268"/>
    </i>
    <i>
      <x v="269"/>
    </i>
    <i>
      <x v="270"/>
    </i>
    <i>
      <x v="271"/>
    </i>
    <i>
      <x v="272"/>
    </i>
    <i>
      <x v="273"/>
    </i>
    <i>
      <x v="274"/>
    </i>
    <i>
      <x v="275"/>
    </i>
    <i>
      <x v="276"/>
    </i>
    <i>
      <x v="277"/>
    </i>
    <i>
      <x v="278"/>
    </i>
    <i>
      <x v="281"/>
    </i>
    <i>
      <x v="282"/>
    </i>
    <i>
      <x v="283"/>
    </i>
    <i>
      <x v="285"/>
    </i>
    <i>
      <x v="286"/>
    </i>
    <i>
      <x v="287"/>
    </i>
    <i>
      <x v="288"/>
    </i>
    <i>
      <x v="289"/>
    </i>
    <i>
      <x v="290"/>
    </i>
    <i>
      <x v="291"/>
    </i>
    <i>
      <x v="292"/>
    </i>
    <i>
      <x v="293"/>
    </i>
    <i>
      <x v="294"/>
    </i>
    <i>
      <x v="295"/>
    </i>
    <i>
      <x v="297"/>
    </i>
    <i>
      <x v="298"/>
    </i>
    <i>
      <x v="299"/>
    </i>
    <i>
      <x v="301"/>
    </i>
    <i>
      <x v="302"/>
    </i>
    <i>
      <x v="304"/>
    </i>
    <i>
      <x v="305"/>
    </i>
    <i>
      <x v="307"/>
    </i>
    <i>
      <x v="308"/>
    </i>
    <i>
      <x v="309"/>
    </i>
    <i>
      <x v="310"/>
    </i>
    <i>
      <x v="311"/>
    </i>
    <i>
      <x v="312"/>
    </i>
    <i>
      <x v="313"/>
    </i>
    <i>
      <x v="314"/>
    </i>
    <i>
      <x v="315"/>
    </i>
    <i>
      <x v="316"/>
    </i>
    <i>
      <x v="317"/>
    </i>
    <i>
      <x v="318"/>
    </i>
    <i>
      <x v="319"/>
    </i>
    <i>
      <x v="320"/>
    </i>
    <i>
      <x v="321"/>
    </i>
    <i>
      <x v="322"/>
    </i>
    <i>
      <x v="323"/>
    </i>
    <i>
      <x v="325"/>
    </i>
    <i>
      <x v="326"/>
    </i>
    <i>
      <x v="327"/>
    </i>
    <i>
      <x v="328"/>
    </i>
    <i>
      <x v="329"/>
    </i>
    <i>
      <x v="330"/>
    </i>
    <i>
      <x v="331"/>
    </i>
    <i>
      <x v="332"/>
    </i>
    <i>
      <x v="335"/>
    </i>
    <i>
      <x v="336"/>
    </i>
    <i>
      <x v="337"/>
    </i>
    <i>
      <x v="339"/>
    </i>
    <i>
      <x v="340"/>
    </i>
    <i>
      <x v="341"/>
    </i>
    <i>
      <x v="342"/>
    </i>
    <i>
      <x v="343"/>
    </i>
    <i>
      <x v="344"/>
    </i>
    <i>
      <x v="345"/>
    </i>
    <i>
      <x v="346"/>
    </i>
    <i>
      <x v="347"/>
    </i>
    <i>
      <x v="348"/>
    </i>
    <i>
      <x v="349"/>
    </i>
    <i>
      <x v="350"/>
    </i>
    <i>
      <x v="351"/>
    </i>
    <i>
      <x v="352"/>
    </i>
    <i>
      <x v="353"/>
    </i>
    <i>
      <x v="354"/>
    </i>
    <i>
      <x v="355"/>
    </i>
    <i>
      <x v="356"/>
    </i>
    <i>
      <x v="358"/>
    </i>
    <i>
      <x v="360"/>
    </i>
    <i>
      <x v="362"/>
    </i>
    <i>
      <x v="364"/>
    </i>
    <i>
      <x v="365"/>
    </i>
    <i>
      <x v="367"/>
    </i>
    <i>
      <x v="368"/>
    </i>
    <i>
      <x v="369"/>
    </i>
    <i>
      <x v="370"/>
    </i>
    <i>
      <x v="372"/>
    </i>
    <i>
      <x v="373"/>
    </i>
    <i>
      <x v="375"/>
    </i>
    <i>
      <x v="378"/>
    </i>
    <i>
      <x v="379"/>
    </i>
    <i>
      <x v="380"/>
    </i>
    <i>
      <x v="381"/>
    </i>
    <i>
      <x v="382"/>
    </i>
    <i>
      <x v="383"/>
    </i>
    <i>
      <x v="384"/>
    </i>
    <i>
      <x v="385"/>
    </i>
    <i>
      <x v="388"/>
    </i>
    <i>
      <x v="389"/>
    </i>
    <i>
      <x v="391"/>
    </i>
    <i>
      <x v="392"/>
    </i>
    <i>
      <x v="394"/>
    </i>
    <i>
      <x v="395"/>
    </i>
    <i>
      <x v="396"/>
    </i>
    <i>
      <x v="397"/>
    </i>
    <i>
      <x v="398"/>
    </i>
    <i>
      <x v="399"/>
    </i>
    <i>
      <x v="400"/>
    </i>
    <i>
      <x v="401"/>
    </i>
    <i>
      <x v="404"/>
    </i>
    <i>
      <x v="405"/>
    </i>
    <i>
      <x v="406"/>
    </i>
    <i>
      <x v="407"/>
    </i>
    <i>
      <x v="408"/>
    </i>
    <i>
      <x v="409"/>
    </i>
    <i>
      <x v="410"/>
    </i>
    <i>
      <x v="411"/>
    </i>
    <i>
      <x v="413"/>
    </i>
    <i>
      <x v="414"/>
    </i>
    <i>
      <x v="415"/>
    </i>
    <i>
      <x v="417"/>
    </i>
    <i>
      <x v="419"/>
    </i>
    <i>
      <x v="421"/>
    </i>
    <i>
      <x v="422"/>
    </i>
    <i>
      <x v="424"/>
    </i>
    <i>
      <x v="425"/>
    </i>
    <i>
      <x v="426"/>
    </i>
    <i>
      <x v="427"/>
    </i>
    <i>
      <x v="428"/>
    </i>
    <i>
      <x v="429"/>
    </i>
    <i>
      <x v="430"/>
    </i>
    <i>
      <x v="431"/>
    </i>
    <i>
      <x v="432"/>
    </i>
    <i>
      <x v="433"/>
    </i>
    <i>
      <x v="436"/>
    </i>
    <i>
      <x v="438"/>
    </i>
    <i>
      <x v="440"/>
    </i>
    <i>
      <x v="441"/>
    </i>
    <i>
      <x v="443"/>
    </i>
    <i>
      <x v="444"/>
    </i>
    <i>
      <x v="445"/>
    </i>
    <i>
      <x v="446"/>
    </i>
    <i>
      <x v="448"/>
    </i>
    <i>
      <x v="449"/>
    </i>
    <i>
      <x v="450"/>
    </i>
    <i>
      <x v="451"/>
    </i>
    <i>
      <x v="452"/>
    </i>
    <i>
      <x v="454"/>
    </i>
    <i>
      <x v="455"/>
    </i>
    <i>
      <x v="456"/>
    </i>
    <i>
      <x v="457"/>
    </i>
    <i>
      <x v="458"/>
    </i>
    <i>
      <x v="459"/>
    </i>
    <i>
      <x v="460"/>
    </i>
    <i>
      <x v="461"/>
    </i>
    <i>
      <x v="462"/>
    </i>
    <i>
      <x v="464"/>
    </i>
    <i>
      <x v="465"/>
    </i>
    <i>
      <x v="466"/>
    </i>
    <i>
      <x v="467"/>
    </i>
    <i>
      <x v="468"/>
    </i>
    <i>
      <x v="469"/>
    </i>
    <i>
      <x v="470"/>
    </i>
    <i>
      <x v="471"/>
    </i>
    <i>
      <x v="472"/>
    </i>
    <i>
      <x v="473"/>
    </i>
    <i>
      <x v="474"/>
    </i>
    <i>
      <x v="475"/>
    </i>
    <i>
      <x v="476"/>
    </i>
    <i>
      <x v="477"/>
    </i>
    <i>
      <x v="478"/>
    </i>
    <i>
      <x v="479"/>
    </i>
    <i>
      <x v="480"/>
    </i>
    <i>
      <x v="481"/>
    </i>
    <i>
      <x v="482"/>
    </i>
    <i>
      <x v="484"/>
    </i>
    <i>
      <x v="485"/>
    </i>
    <i>
      <x v="487"/>
    </i>
    <i>
      <x v="488"/>
    </i>
    <i>
      <x v="490"/>
    </i>
    <i>
      <x v="492"/>
    </i>
    <i>
      <x v="493"/>
    </i>
    <i>
      <x v="495"/>
    </i>
    <i>
      <x v="497"/>
    </i>
    <i>
      <x v="498"/>
    </i>
    <i>
      <x v="499"/>
    </i>
    <i>
      <x v="501"/>
    </i>
    <i>
      <x v="502"/>
    </i>
    <i>
      <x v="503"/>
    </i>
    <i>
      <x v="504"/>
    </i>
    <i>
      <x v="507"/>
    </i>
    <i>
      <x v="509"/>
    </i>
    <i>
      <x v="510"/>
    </i>
    <i>
      <x v="511"/>
    </i>
    <i>
      <x v="512"/>
    </i>
    <i>
      <x v="513"/>
    </i>
    <i>
      <x v="514"/>
    </i>
    <i>
      <x v="515"/>
    </i>
    <i>
      <x v="516"/>
    </i>
    <i>
      <x v="517"/>
    </i>
    <i>
      <x v="519"/>
    </i>
    <i>
      <x v="520"/>
    </i>
    <i>
      <x v="521"/>
    </i>
    <i>
      <x v="522"/>
    </i>
    <i>
      <x v="523"/>
    </i>
    <i>
      <x v="524"/>
    </i>
    <i>
      <x v="525"/>
    </i>
    <i>
      <x v="527"/>
    </i>
    <i>
      <x v="528"/>
    </i>
    <i>
      <x v="529"/>
    </i>
    <i>
      <x v="530"/>
    </i>
    <i>
      <x v="531"/>
    </i>
    <i>
      <x v="532"/>
    </i>
    <i>
      <x v="535"/>
    </i>
    <i>
      <x v="536"/>
    </i>
    <i>
      <x v="537"/>
    </i>
    <i>
      <x v="538"/>
    </i>
    <i>
      <x v="539"/>
    </i>
    <i>
      <x v="540"/>
    </i>
    <i>
      <x v="541"/>
    </i>
    <i>
      <x v="544"/>
    </i>
    <i>
      <x v="545"/>
    </i>
    <i>
      <x v="546"/>
    </i>
    <i>
      <x v="547"/>
    </i>
    <i>
      <x v="548"/>
    </i>
    <i>
      <x v="549"/>
    </i>
    <i>
      <x v="550"/>
    </i>
    <i>
      <x v="551"/>
    </i>
    <i>
      <x v="552"/>
    </i>
    <i>
      <x v="553"/>
    </i>
    <i>
      <x v="555"/>
    </i>
    <i>
      <x v="556"/>
    </i>
    <i>
      <x v="557"/>
    </i>
    <i>
      <x v="558"/>
    </i>
    <i>
      <x v="559"/>
    </i>
    <i>
      <x v="561"/>
    </i>
    <i>
      <x v="562"/>
    </i>
    <i>
      <x v="563"/>
    </i>
    <i>
      <x v="564"/>
    </i>
    <i>
      <x v="565"/>
    </i>
    <i>
      <x v="566"/>
    </i>
    <i>
      <x v="567"/>
    </i>
    <i>
      <x v="568"/>
    </i>
    <i>
      <x v="569"/>
    </i>
    <i>
      <x v="571"/>
    </i>
    <i>
      <x v="573"/>
    </i>
    <i>
      <x v="575"/>
    </i>
    <i>
      <x v="576"/>
    </i>
    <i>
      <x v="577"/>
    </i>
    <i>
      <x v="578"/>
    </i>
    <i>
      <x v="579"/>
    </i>
    <i>
      <x v="580"/>
    </i>
    <i>
      <x v="581"/>
    </i>
    <i>
      <x v="582"/>
    </i>
    <i>
      <x v="583"/>
    </i>
    <i>
      <x v="584"/>
    </i>
    <i>
      <x v="585"/>
    </i>
    <i>
      <x v="586"/>
    </i>
    <i>
      <x v="587"/>
    </i>
    <i>
      <x v="588"/>
    </i>
    <i>
      <x v="589"/>
    </i>
    <i>
      <x v="590"/>
    </i>
    <i>
      <x v="592"/>
    </i>
    <i>
      <x v="593"/>
    </i>
    <i>
      <x v="595"/>
    </i>
    <i>
      <x v="596"/>
    </i>
    <i>
      <x v="597"/>
    </i>
    <i>
      <x v="600"/>
    </i>
    <i>
      <x v="601"/>
    </i>
    <i>
      <x v="602"/>
    </i>
    <i>
      <x v="603"/>
    </i>
    <i>
      <x v="605"/>
    </i>
    <i>
      <x v="606"/>
    </i>
    <i>
      <x v="607"/>
    </i>
    <i>
      <x v="608"/>
    </i>
    <i>
      <x v="609"/>
    </i>
    <i>
      <x v="610"/>
    </i>
    <i>
      <x v="611"/>
    </i>
    <i>
      <x v="612"/>
    </i>
    <i>
      <x v="613"/>
    </i>
    <i>
      <x v="614"/>
    </i>
    <i>
      <x v="615"/>
    </i>
    <i>
      <x v="616"/>
    </i>
    <i>
      <x v="617"/>
    </i>
    <i>
      <x v="618"/>
    </i>
    <i>
      <x v="619"/>
    </i>
    <i>
      <x v="621"/>
    </i>
    <i>
      <x v="622"/>
    </i>
    <i>
      <x v="623"/>
    </i>
    <i>
      <x v="624"/>
    </i>
    <i>
      <x v="625"/>
    </i>
    <i>
      <x v="626"/>
    </i>
    <i>
      <x v="628"/>
    </i>
    <i>
      <x v="630"/>
    </i>
    <i>
      <x v="631"/>
    </i>
    <i>
      <x v="632"/>
    </i>
    <i>
      <x v="633"/>
    </i>
    <i>
      <x v="634"/>
    </i>
    <i>
      <x v="635"/>
    </i>
    <i>
      <x v="636"/>
    </i>
    <i>
      <x v="637"/>
    </i>
    <i>
      <x v="638"/>
    </i>
    <i>
      <x v="639"/>
    </i>
    <i>
      <x v="641"/>
    </i>
    <i>
      <x v="642"/>
    </i>
    <i>
      <x v="643"/>
    </i>
    <i>
      <x v="644"/>
    </i>
    <i>
      <x v="645"/>
    </i>
    <i>
      <x v="646"/>
    </i>
    <i>
      <x v="647"/>
    </i>
    <i>
      <x v="648"/>
    </i>
    <i>
      <x v="649"/>
    </i>
    <i>
      <x v="650"/>
    </i>
    <i>
      <x v="651"/>
    </i>
    <i>
      <x v="652"/>
    </i>
    <i>
      <x v="653"/>
    </i>
    <i>
      <x v="654"/>
    </i>
    <i>
      <x v="655"/>
    </i>
    <i>
      <x v="656"/>
    </i>
    <i>
      <x v="659"/>
    </i>
    <i>
      <x v="660"/>
    </i>
    <i>
      <x v="661"/>
    </i>
    <i>
      <x v="662"/>
    </i>
    <i>
      <x v="664"/>
    </i>
    <i>
      <x v="665"/>
    </i>
    <i>
      <x v="666"/>
    </i>
    <i>
      <x v="667"/>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8"/>
    </i>
    <i>
      <x v="709"/>
    </i>
    <i>
      <x v="710"/>
    </i>
    <i>
      <x v="711"/>
    </i>
    <i>
      <x v="712"/>
    </i>
    <i>
      <x v="713"/>
    </i>
    <i>
      <x v="714"/>
    </i>
    <i>
      <x v="716"/>
    </i>
    <i>
      <x v="717"/>
    </i>
    <i>
      <x v="718"/>
    </i>
    <i>
      <x v="719"/>
    </i>
    <i>
      <x v="720"/>
    </i>
    <i>
      <x v="722"/>
    </i>
    <i>
      <x v="723"/>
    </i>
    <i>
      <x v="724"/>
    </i>
    <i>
      <x v="725"/>
    </i>
    <i>
      <x v="729"/>
    </i>
    <i>
      <x v="731"/>
    </i>
    <i>
      <x v="732"/>
    </i>
    <i>
      <x v="733"/>
    </i>
    <i>
      <x v="735"/>
    </i>
    <i>
      <x v="736"/>
    </i>
    <i>
      <x v="737"/>
    </i>
    <i>
      <x v="738"/>
    </i>
    <i>
      <x v="739"/>
    </i>
    <i>
      <x v="740"/>
    </i>
    <i>
      <x v="742"/>
    </i>
    <i>
      <x v="743"/>
    </i>
    <i>
      <x v="744"/>
    </i>
    <i>
      <x v="745"/>
    </i>
    <i>
      <x v="746"/>
    </i>
    <i>
      <x v="747"/>
    </i>
    <i>
      <x v="748"/>
    </i>
    <i>
      <x v="749"/>
    </i>
    <i>
      <x v="750"/>
    </i>
    <i>
      <x v="751"/>
    </i>
    <i>
      <x v="752"/>
    </i>
    <i>
      <x v="753"/>
    </i>
    <i>
      <x v="754"/>
    </i>
    <i>
      <x v="755"/>
    </i>
    <i>
      <x v="756"/>
    </i>
    <i>
      <x v="757"/>
    </i>
    <i>
      <x v="758"/>
    </i>
    <i>
      <x v="759"/>
    </i>
    <i>
      <x v="760"/>
    </i>
    <i>
      <x v="761"/>
    </i>
    <i>
      <x v="763"/>
    </i>
    <i>
      <x v="764"/>
    </i>
    <i>
      <x v="765"/>
    </i>
    <i>
      <x v="766"/>
    </i>
    <i>
      <x v="767"/>
    </i>
    <i>
      <x v="768"/>
    </i>
    <i>
      <x v="769"/>
    </i>
    <i>
      <x v="770"/>
    </i>
    <i>
      <x v="772"/>
    </i>
    <i>
      <x v="773"/>
    </i>
    <i>
      <x v="774"/>
    </i>
    <i>
      <x v="775"/>
    </i>
    <i>
      <x v="776"/>
    </i>
    <i>
      <x v="778"/>
    </i>
    <i>
      <x v="779"/>
    </i>
    <i>
      <x v="780"/>
    </i>
    <i>
      <x v="781"/>
    </i>
    <i>
      <x v="782"/>
    </i>
    <i>
      <x v="783"/>
    </i>
    <i>
      <x v="784"/>
    </i>
    <i>
      <x v="785"/>
    </i>
    <i>
      <x v="786"/>
    </i>
    <i>
      <x v="787"/>
    </i>
    <i>
      <x v="788"/>
    </i>
    <i>
      <x v="789"/>
    </i>
    <i>
      <x v="790"/>
    </i>
    <i>
      <x v="791"/>
    </i>
    <i>
      <x v="792"/>
    </i>
    <i>
      <x v="795"/>
    </i>
    <i>
      <x v="796"/>
    </i>
    <i>
      <x v="797"/>
    </i>
    <i>
      <x v="798"/>
    </i>
    <i>
      <x v="799"/>
    </i>
    <i>
      <x v="800"/>
    </i>
    <i>
      <x v="801"/>
    </i>
    <i>
      <x v="803"/>
    </i>
    <i>
      <x v="804"/>
    </i>
    <i>
      <x v="805"/>
    </i>
    <i>
      <x v="806"/>
    </i>
    <i>
      <x v="807"/>
    </i>
    <i>
      <x v="808"/>
    </i>
    <i>
      <x v="809"/>
    </i>
    <i>
      <x v="811"/>
    </i>
    <i>
      <x v="813"/>
    </i>
    <i>
      <x v="815"/>
    </i>
    <i>
      <x v="816"/>
    </i>
    <i>
      <x v="817"/>
    </i>
    <i>
      <x v="818"/>
    </i>
    <i>
      <x v="819"/>
    </i>
    <i>
      <x v="820"/>
    </i>
    <i>
      <x v="821"/>
    </i>
    <i>
      <x v="822"/>
    </i>
  </rowItems>
  <colItems count="1">
    <i/>
  </colItems>
  <dataFields count="1">
    <dataField name="Sum of total_laid_off" fld="3" baseField="0" baseItem="8"/>
  </dataFields>
  <formats count="2">
    <format dxfId="48">
      <pivotArea outline="0" collapsedLevelsAreSubtotals="1" fieldPosition="0"/>
    </format>
    <format dxfId="47">
      <pivotArea grandCol="1" outline="0" collapsedLevelsAreSubtotals="1" fieldPosition="0"/>
    </format>
  </formats>
  <pivotTableStyleInfo name="PivotStyleLight16" showRowHeaders="1" showColHeaders="1" showRowStripes="0" showColStripes="0" showLastColumn="1"/>
  <filters count="1">
    <filter fld="0" type="valueGreaterThan" evalOrder="-1" id="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9C6DAF6-0D5E-40E2-9A97-F854A34CFFFD}"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Z840:AB842" firstHeaderRow="1" firstDataRow="2" firstDataCol="1"/>
  <pivotFields count="19">
    <pivotField showAll="0"/>
    <pivotField showAll="0"/>
    <pivotField axis="axisCol" showAll="0" measureFilter="1">
      <items count="32">
        <item x="23"/>
        <item x="27"/>
        <item x="2"/>
        <item x="4"/>
        <item x="13"/>
        <item x="5"/>
        <item x="6"/>
        <item x="12"/>
        <item x="29"/>
        <item x="28"/>
        <item x="8"/>
        <item x="26"/>
        <item x="0"/>
        <item x="22"/>
        <item x="17"/>
        <item x="30"/>
        <item x="15"/>
        <item x="24"/>
        <item x="1"/>
        <item x="11"/>
        <item x="25"/>
        <item x="18"/>
        <item x="16"/>
        <item x="20"/>
        <item x="19"/>
        <item x="3"/>
        <item x="7"/>
        <item x="21"/>
        <item x="9"/>
        <item x="10"/>
        <item x="14"/>
        <item t="default"/>
      </items>
    </pivotField>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multipleItemSelectionAllowed="1" showAll="0">
      <items count="6">
        <item x="2"/>
        <item x="3"/>
        <item x="0"/>
        <item x="1"/>
        <item x="4"/>
        <item t="default"/>
      </items>
    </pivotField>
    <pivotField showAll="0"/>
    <pivotField showAll="0" measureFilter="1"/>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v="25"/>
    </i>
    <i t="grand">
      <x/>
    </i>
  </colItems>
  <dataFields count="1">
    <dataField name="Sum of total_laid_off" fld="3" baseField="0" baseItem="0"/>
  </dataFields>
  <formats count="3">
    <format dxfId="51">
      <pivotArea outline="0" collapsedLevelsAreSubtotals="1" fieldPosition="0"/>
    </format>
    <format dxfId="50">
      <pivotArea outline="0" collapsedLevelsAreSubtotals="1" fieldPosition="0">
        <references count="1">
          <reference field="2" count="1" selected="0">
            <x v="25"/>
          </reference>
        </references>
      </pivotArea>
    </format>
    <format dxfId="49">
      <pivotArea grandCol="1" outline="0" collapsedLevelsAreSubtotals="1" fieldPosition="0"/>
    </format>
  </formats>
  <pivotTableStyleInfo name="PivotStyleLight16" showRowHeaders="1" showColHeaders="1" showRowStripes="0" showColStripes="0" showLastColumn="1"/>
  <filters count="2">
    <filter fld="14" type="count" evalOrder="-1" id="1" iMeasureFld="0">
      <autoFilter ref="A1">
        <filterColumn colId="0">
          <top10 val="1" filterVal="1"/>
        </filterColumn>
      </autoFilter>
    </filter>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28C526A-1B04-47C5-AF19-7CE0DE20583C}" name="top 10 company layoff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829:B839" firstHeaderRow="1" firstDataRow="1" firstDataCol="1"/>
  <pivotFields count="19">
    <pivotField axis="axisRow" showAll="0" measureFilter="1" sortType="descending">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0">
    <i>
      <x v="52"/>
    </i>
    <i>
      <x v="576"/>
    </i>
    <i>
      <x v="460"/>
    </i>
    <i>
      <x v="382"/>
    </i>
    <i>
      <x v="177"/>
    </i>
    <i>
      <x v="281"/>
    </i>
    <i>
      <x v="222"/>
    </i>
    <i>
      <x v="252"/>
    </i>
    <i>
      <x v="650"/>
    </i>
    <i>
      <x v="131"/>
    </i>
  </rowItems>
  <colItems count="1">
    <i/>
  </colItems>
  <dataFields count="1">
    <dataField name="Sum of total_laid_off"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B0020E1-9ACE-47B0-B51D-B00C85517FD4}" name="top 10 indus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industry">
  <location ref="U45:V55" firstHeaderRow="1" firstDataRow="1" firstDataCol="1"/>
  <pivotFields count="19">
    <pivotField showAll="0"/>
    <pivotField showAll="0"/>
    <pivotField axis="axisRow" showAll="0" measureFilter="1" sortType="descending">
      <items count="32">
        <item x="14"/>
        <item x="10"/>
        <item x="9"/>
        <item x="21"/>
        <item x="7"/>
        <item x="3"/>
        <item x="19"/>
        <item x="20"/>
        <item x="16"/>
        <item x="18"/>
        <item x="25"/>
        <item x="11"/>
        <item x="1"/>
        <item x="24"/>
        <item x="15"/>
        <item x="30"/>
        <item x="17"/>
        <item x="22"/>
        <item x="0"/>
        <item x="26"/>
        <item x="8"/>
        <item x="28"/>
        <item x="29"/>
        <item x="12"/>
        <item x="6"/>
        <item x="5"/>
        <item x="13"/>
        <item x="4"/>
        <item x="2"/>
        <item x="27"/>
        <item x="2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v="5"/>
    </i>
    <i>
      <x v="28"/>
    </i>
    <i>
      <x v="20"/>
    </i>
    <i>
      <x v="19"/>
    </i>
    <i>
      <x v="1"/>
    </i>
    <i>
      <x v="9"/>
    </i>
    <i>
      <x v="23"/>
    </i>
    <i>
      <x/>
    </i>
    <i>
      <x v="27"/>
    </i>
    <i>
      <x v="7"/>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A071BC2-CD00-43F1-85FD-828728F12E3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industry">
  <location ref="U11:V42" firstHeaderRow="1" firstDataRow="1" firstDataCol="1"/>
  <pivotFields count="19">
    <pivotField showAll="0"/>
    <pivotField showAll="0"/>
    <pivotField axis="axisRow" showAll="0">
      <items count="32">
        <item x="23"/>
        <item x="27"/>
        <item x="2"/>
        <item x="4"/>
        <item x="13"/>
        <item x="5"/>
        <item x="6"/>
        <item x="12"/>
        <item x="29"/>
        <item x="28"/>
        <item x="8"/>
        <item x="26"/>
        <item x="0"/>
        <item x="22"/>
        <item x="17"/>
        <item x="30"/>
        <item x="15"/>
        <item x="24"/>
        <item x="1"/>
        <item x="11"/>
        <item x="25"/>
        <item x="18"/>
        <item x="16"/>
        <item x="20"/>
        <item x="19"/>
        <item x="3"/>
        <item x="7"/>
        <item x="21"/>
        <item x="9"/>
        <item x="10"/>
        <item x="14"/>
        <item t="default"/>
      </items>
    </pivotField>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866146D-A25A-40E6-835D-719A99C36261}"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I843:AJ1666" firstHeaderRow="1" firstDataRow="1" firstDataCol="1"/>
  <pivotFields count="19">
    <pivotField axis="axisRow" multipleItemSelectionAllowed="1"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multipleItemSelectionAllowed="1" showAll="0">
      <items count="6">
        <item x="2"/>
        <item x="3"/>
        <item x="0"/>
        <item x="1"/>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Items count="1">
    <i/>
  </colItems>
  <dataFields count="1">
    <dataField name="Count of funds_raised_millions" fld="15" subtotal="count" baseField="0" baseItem="0"/>
  </dataFields>
  <formats count="3">
    <format dxfId="54">
      <pivotArea outline="0" collapsedLevelsAreSubtotals="1" fieldPosition="0"/>
    </format>
    <format dxfId="53">
      <pivotArea grandCol="1" outline="0" collapsedLevelsAreSubtotals="1" fieldPosition="0"/>
    </format>
    <format dxfId="5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67BE7BF-5A9E-4F24-B715-005B7872A2A3}" name="dash1_total_indu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Q840:Q841" firstHeaderRow="1" firstDataRow="1" firstDataCol="0" rowPageCount="1" colPageCount="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multipleItemSelectionAllowed="1" showAll="0">
      <items count="6">
        <item x="2"/>
        <item x="3"/>
        <item x="0"/>
        <item x="1"/>
        <item x="4"/>
        <item t="default"/>
      </items>
    </pivotField>
    <pivotField showAll="0"/>
    <pivotField axis="axisPage" multipleItemSelectionAllowed="1" showAll="0">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4" hier="-1"/>
  </pageFields>
  <dataFields count="1">
    <dataField name="Sum of total_laid_off" fld="3"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9557A50-0025-4FC5-9EA2-9DBD6930DF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827"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8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650E1B5-2D02-428A-A959-8216526D93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27"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8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t="grand">
      <x/>
    </i>
  </rowItems>
  <colItems count="1">
    <i/>
  </colItems>
  <dataFields count="1">
    <dataField name="Sum of total_laid_off" fld="3" baseField="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EB71953-335C-45D3-ACF1-1FF2BAF80F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827"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x="2"/>
        <item x="3"/>
        <item x="0"/>
        <item x="1"/>
        <item x="4"/>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8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t="grand">
      <x/>
    </i>
  </rowItems>
  <colItems count="1">
    <i/>
  </colItems>
  <dataFields count="1">
    <dataField name="Sum of funds_raised_millions" fld="1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E44A9E-2BA1-4735-9ACE-D78BF74D396C}" sourceName="year">
  <pivotTables>
    <pivotTable tabId="3" name="category"/>
    <pivotTable tabId="3" name="country"/>
    <pivotTable tabId="3" name="month"/>
    <pivotTable tabId="3" name="top 10 company layoffs"/>
    <pivotTable tabId="3" name="top 10 funds"/>
    <pivotTable tabId="3" name="top 10 industry"/>
    <pivotTable tabId="3" name="kpi company"/>
    <pivotTable tabId="3" name="dash1_total_laid"/>
    <pivotTable tabId="3" name="%companies"/>
    <pivotTable tabId="3" name="total companies"/>
    <pivotTable tabId="3" name="dash1_total_indus"/>
    <pivotTable tabId="3" name="dash1_country"/>
    <pivotTable tabId="3" name="PivotTable15"/>
    <pivotTable tabId="3" name="PivotTable8"/>
    <pivotTable tabId="3" name="PivotTable9"/>
    <pivotTable tabId="3" name="PivotTable10"/>
    <pivotTable tabId="3" name="PivotTable11"/>
    <pivotTable tabId="3" name="PivotTable12"/>
    <pivotTable tabId="3" name="PivotTable14"/>
    <pivotTable tabId="3" name="PivotTable16"/>
    <pivotTable tabId="3" name="PivotTable7"/>
    <pivotTable tabId="3" name="PivotTable1"/>
    <pivotTable tabId="3" name="PivotTable13"/>
    <pivotTable tabId="3" name="PivotTable17"/>
    <pivotTable tabId="3" name="PivotTable18"/>
    <pivotTable tabId="3" name="PivotTable2"/>
    <pivotTable tabId="3" name="PivotTable3"/>
    <pivotTable tabId="3" name="PivotTable4"/>
    <pivotTable tabId="3" name="PivotTable5"/>
    <pivotTable tabId="3" name="PivotTable6"/>
    <pivotTable tabId="10" name="PivotTable1"/>
    <pivotTable tabId="10" name="PivotTable2"/>
    <pivotTable tabId="10" name="PivotTable3"/>
  </pivotTables>
  <data>
    <tabular pivotCacheId="200551655">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ew" xr10:uid="{F65F8F2A-9A1E-4D66-A9BF-F31CE0F910D2}" sourceName="month new">
  <pivotTables>
    <pivotTable tabId="3" name="category"/>
    <pivotTable tabId="3" name="country"/>
    <pivotTable tabId="3" name="top 10 company layoffs"/>
    <pivotTable tabId="3" name="top 10 funds"/>
    <pivotTable tabId="3" name="top 10 industry"/>
    <pivotTable tabId="3" name="kpi company"/>
    <pivotTable tabId="3" name="%companies"/>
    <pivotTable tabId="3" name="dash1_country"/>
    <pivotTable tabId="3" name="dash1_total_indus"/>
    <pivotTable tabId="3" name="dash1_total_laid"/>
    <pivotTable tabId="3" name="total companies"/>
    <pivotTable tabId="3" name="PivotTable15"/>
    <pivotTable tabId="3" name="PivotTable8"/>
    <pivotTable tabId="3" name="PivotTable9"/>
    <pivotTable tabId="3" name="PivotTable10"/>
    <pivotTable tabId="3" name="PivotTable11"/>
    <pivotTable tabId="3" name="PivotTable12"/>
    <pivotTable tabId="3" name="PivotTable14"/>
    <pivotTable tabId="3" name="PivotTable16"/>
    <pivotTable tabId="3" name="PivotTable7"/>
  </pivotTables>
  <data>
    <tabular pivotCacheId="200551655">
      <items count="12">
        <i x="2" s="1"/>
        <i x="4" s="1"/>
        <i x="6" s="1"/>
        <i x="3" s="1"/>
        <i x="10" s="1"/>
        <i x="9" s="1"/>
        <i x="0" s="1"/>
        <i x="5" s="1"/>
        <i x="8" s="1"/>
        <i x="11"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B45C53-FA0A-46B0-914E-BFD93346542F}" cache="Slicer_year" caption="year" startItem="1" rowHeight="241300"/>
  <slicer name="month new" xr10:uid="{0854E3FC-6B7D-4E72-8E98-9D7C67B8DFC1}" cache="Slicer_month_new" caption="month " rowHeight="241300"/>
  <slicer name="month new 2" xr10:uid="{0DC6A4B3-A32D-4DEE-920C-242FF456764A}" cache="Slicer_month_new" caption="month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69188D0-1F57-41DF-B4D7-BDED00CF60CD}" cache="Slicer_year" caption="year" style="Slicer Style 2 2" rowHeight="241300"/>
  <slicer name="month new 3" xr10:uid="{96D35232-13AC-4E5D-B8FA-3D532D80C7A0}" cache="Slicer_month_new" caption="month " style="Slicer Style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C62D61-4FC6-441B-9B6B-D1F3EA85457A}" name="Table2" displayName="Table2" ref="BN839:BQ1662" totalsRowShown="0">
  <autoFilter ref="BN839:BQ1662" xr:uid="{24C62D61-4FC6-441B-9B6B-D1F3EA85457A}">
    <filterColumn colId="3">
      <filters>
        <filter val="13"/>
        <filter val="18"/>
        <filter val="22"/>
        <filter val="24"/>
        <filter val="26"/>
        <filter val="28"/>
        <filter val="39"/>
        <filter val="41"/>
        <filter val="42"/>
        <filter val="47"/>
      </filters>
    </filterColumn>
  </autoFilter>
  <tableColumns count="4">
    <tableColumn id="1" xr3:uid="{06025D4C-AA22-4303-BD90-DD505288F968}" name="Row Labels">
      <calculatedColumnFormula>VLOOKUP(BJ840,BJ840:BL1663,1,0)</calculatedColumnFormula>
    </tableColumn>
    <tableColumn id="2" xr3:uid="{32452CBE-6494-4ADF-ADDB-A29512B83EBC}" name="rank_funds">
      <calculatedColumnFormula>RANK($BK$839:$BK$1662,$BK$839:$BK$1662,0)</calculatedColumnFormula>
    </tableColumn>
    <tableColumn id="3" xr3:uid="{68DFECE2-D627-4F08-BA6E-47EEE3E78720}" name="rank_laid">
      <calculatedColumnFormula>RANK($BL$840:$BL$1662,$BL$840:$BL$1662,0)</calculatedColumnFormula>
    </tableColumn>
    <tableColumn id="4" xr3:uid="{EB247928-E06D-44DD-B800-12A7163519A1}" name="score">
      <calculatedColumnFormula>BO840+BP840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3BCE1B-8C1B-4E96-96AD-E62D87784C6E}" name="Table4" displayName="Table4" ref="BS1664:BU1675" totalsRowShown="0">
  <autoFilter ref="BS1664:BU1675" xr:uid="{633BCE1B-8C1B-4E96-96AD-E62D87784C6E}"/>
  <tableColumns count="3">
    <tableColumn id="1" xr3:uid="{A7F0F54B-4672-4586-A5FB-3E21ABDB0C2D}" name="company"/>
    <tableColumn id="2" xr3:uid="{D1D0804A-70E9-40D5-9AE9-7968A8042258}" name="funding"/>
    <tableColumn id="3" xr3:uid="{4CFB98D8-B5B3-43FB-A4AE-3D9156F53234}" name="layoff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8E965E-3930-4059-88E7-695F2BEF0462}" name="Table1" displayName="Table1" ref="A1:R1001" totalsRowShown="0" headerRowDxfId="66">
  <autoFilter ref="A1:R1001" xr:uid="{D68E965E-3930-4059-88E7-695F2BEF0462}"/>
  <tableColumns count="18">
    <tableColumn id="1" xr3:uid="{694EA22C-8FFD-4AA0-A7C8-80D2BB882E01}" name="company" dataDxfId="65"/>
    <tableColumn id="2" xr3:uid="{99DC6FA0-D7CB-47FA-A851-D40C4B2676BB}" name="location"/>
    <tableColumn id="3" xr3:uid="{FCCFAE12-990E-4A2F-A767-7891A355799F}" name="industry"/>
    <tableColumn id="4" xr3:uid="{B017914C-7DF0-4882-B0B2-71B203BEF886}" name="total_laid_off"/>
    <tableColumn id="5" xr3:uid="{99368B4E-4F33-4ECD-90B0-8BD4B8B36393}" name="percentage_laid_off" dataDxfId="64"/>
    <tableColumn id="14" xr3:uid="{6C630910-BF78-44C7-B4C0-07406892B4C0}" name="fully laid off" dataDxfId="63">
      <calculatedColumnFormula>IF(Table1[[#This Row],[percentage_laid_off]]=100%,"1","0")</calculatedColumnFormula>
    </tableColumn>
    <tableColumn id="6" xr3:uid="{99CCAFD2-16A2-4B44-B2CF-E4942BB39566}" name="categoty_percentage_laid_off"/>
    <tableColumn id="7" xr3:uid="{70EFF2E8-20C0-4D21-8C96-F1148F1F383E}" name="date" dataDxfId="62"/>
    <tableColumn id="13" xr3:uid="{A8592386-1D97-44AC-9363-EE5EB1E7C7C8}" name="day" dataDxfId="61">
      <calculatedColumnFormula>TEXT(Table1[[#This Row],[date]],"dd")</calculatedColumnFormula>
    </tableColumn>
    <tableColumn id="16" xr3:uid="{F2ECC91E-ED89-47E7-B70D-AB0CC56567E5}" name="month new" dataDxfId="60">
      <calculatedColumnFormula>DATE(2000,MONTH(Table1[[#This Row],[date]]),1)</calculatedColumnFormula>
    </tableColumn>
    <tableColumn id="15" xr3:uid="{95F55CC7-2631-416B-99AC-BF1101F13732}" name="month num" dataDxfId="59">
      <calculatedColumnFormula>TEXT(Table1[[#This Row],[date]],"mm")</calculatedColumnFormula>
    </tableColumn>
    <tableColumn id="8" xr3:uid="{841F3803-E934-4585-AEE1-D766AEDFE8E8}" name="month" dataDxfId="58"/>
    <tableColumn id="9" xr3:uid="{378FB252-1986-44CC-8F30-D689D73F50A7}" name="year"/>
    <tableColumn id="10" xr3:uid="{42FB5D2D-68B4-4485-8C33-268B59EE7EB4}" name="stage"/>
    <tableColumn id="11" xr3:uid="{E3F525E6-3E53-4035-9734-4C5E3E0E2BF9}" name="country"/>
    <tableColumn id="12" xr3:uid="{32EAE2D5-08C3-4505-B888-875A36E5C8AB}" name="funds_raised_millions"/>
    <tableColumn id="17" xr3:uid="{21BCFF52-831A-4194-A76E-BC8BF4E67D92}" name="Column1" dataDxfId="57">
      <calculatedColumnFormula>AVERAGE(Table1[funds_raised_millions])</calculatedColumnFormula>
    </tableColumn>
    <tableColumn id="18" xr3:uid="{F42ECF59-735C-4447-AB95-972EA6DEA1CD}" name="Column2" dataDxfId="56">
      <calculatedColumnFormula>AVERAGE(Table1[total_laid_off])</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table" Target="../tables/table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table" Target="../tables/table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microsoft.com/office/2007/relationships/slicer" Target="../slicers/slicer1.xml"/><Relationship Id="rId8"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3.xml"/><Relationship Id="rId2" Type="http://schemas.openxmlformats.org/officeDocument/2006/relationships/pivotTable" Target="../pivotTables/pivotTable32.xml"/><Relationship Id="rId1" Type="http://schemas.openxmlformats.org/officeDocument/2006/relationships/pivotTable" Target="../pivotTables/pivotTable3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4F62-32F6-4947-A242-E87BCEE74DCE}">
  <dimension ref="A2:BU1675"/>
  <sheetViews>
    <sheetView topLeftCell="AF827" zoomScale="62" zoomScaleNormal="62" workbookViewId="0">
      <selection activeCell="AP1062" sqref="AP1062"/>
    </sheetView>
  </sheetViews>
  <sheetFormatPr defaultRowHeight="15" x14ac:dyDescent="0.25"/>
  <cols>
    <col min="1" max="1" width="27.140625" bestFit="1" customWidth="1"/>
    <col min="2" max="2" width="27.5703125" bestFit="1" customWidth="1"/>
    <col min="4" max="4" width="17" customWidth="1"/>
    <col min="5" max="5" width="19.85546875" bestFit="1" customWidth="1"/>
    <col min="6" max="6" width="19" bestFit="1" customWidth="1"/>
    <col min="7" max="7" width="27.140625" bestFit="1" customWidth="1"/>
    <col min="8" max="8" width="37.7109375" bestFit="1" customWidth="1"/>
    <col min="9" max="9" width="23.85546875" bestFit="1" customWidth="1"/>
    <col min="10" max="10" width="9.140625" bestFit="1" customWidth="1"/>
    <col min="11" max="11" width="19" bestFit="1" customWidth="1"/>
    <col min="12" max="13" width="27.5703125" bestFit="1" customWidth="1"/>
    <col min="14" max="14" width="27.140625" bestFit="1" customWidth="1"/>
    <col min="15" max="15" width="29.5703125" bestFit="1" customWidth="1"/>
    <col min="16" max="16" width="15.7109375" bestFit="1" customWidth="1"/>
    <col min="17" max="17" width="27.5703125" bestFit="1" customWidth="1"/>
    <col min="18" max="18" width="9.140625" bestFit="1" customWidth="1"/>
    <col min="21" max="21" width="16" bestFit="1" customWidth="1"/>
    <col min="22" max="22" width="27.5703125" bestFit="1" customWidth="1"/>
    <col min="23" max="23" width="16" bestFit="1" customWidth="1"/>
    <col min="24" max="24" width="7.42578125" bestFit="1" customWidth="1"/>
    <col min="25" max="25" width="5.85546875" bestFit="1" customWidth="1"/>
    <col min="26" max="26" width="22" bestFit="1" customWidth="1"/>
    <col min="27" max="27" width="27.5703125" bestFit="1" customWidth="1"/>
    <col min="28" max="28" width="16" bestFit="1" customWidth="1"/>
    <col min="29" max="29" width="14.42578125" bestFit="1" customWidth="1"/>
    <col min="30" max="30" width="27.5703125" bestFit="1" customWidth="1"/>
    <col min="31" max="31" width="18.85546875" bestFit="1" customWidth="1"/>
    <col min="32" max="32" width="37.7109375" bestFit="1" customWidth="1"/>
    <col min="33" max="33" width="9.140625" bestFit="1" customWidth="1"/>
    <col min="34" max="34" width="15.5703125" bestFit="1" customWidth="1"/>
    <col min="35" max="35" width="27.140625" bestFit="1" customWidth="1"/>
    <col min="36" max="36" width="40" bestFit="1" customWidth="1"/>
    <col min="37" max="37" width="14.42578125" bestFit="1" customWidth="1"/>
    <col min="38" max="38" width="3.85546875" bestFit="1" customWidth="1"/>
    <col min="39" max="39" width="27.5703125" bestFit="1" customWidth="1"/>
    <col min="40" max="40" width="4.5703125" bestFit="1" customWidth="1"/>
    <col min="41" max="41" width="15.140625" bestFit="1" customWidth="1"/>
    <col min="42" max="42" width="5.7109375" bestFit="1" customWidth="1"/>
    <col min="43" max="44" width="19" bestFit="1" customWidth="1"/>
    <col min="45" max="45" width="37.7109375" bestFit="1" customWidth="1"/>
    <col min="46" max="46" width="6.85546875" bestFit="1" customWidth="1"/>
    <col min="47" max="47" width="5.7109375" bestFit="1" customWidth="1"/>
    <col min="48" max="48" width="6.85546875" bestFit="1" customWidth="1"/>
    <col min="49" max="49" width="27.140625" bestFit="1" customWidth="1"/>
    <col min="50" max="50" width="27.5703125" bestFit="1" customWidth="1"/>
    <col min="51" max="51" width="10.140625" bestFit="1" customWidth="1"/>
    <col min="52" max="52" width="6.85546875" bestFit="1" customWidth="1"/>
    <col min="53" max="53" width="5.7109375" bestFit="1" customWidth="1"/>
    <col min="54" max="54" width="8.28515625" bestFit="1" customWidth="1"/>
    <col min="55" max="55" width="27.140625" bestFit="1" customWidth="1"/>
    <col min="56" max="56" width="37.7109375" bestFit="1" customWidth="1"/>
    <col min="57" max="57" width="6.42578125" bestFit="1" customWidth="1"/>
    <col min="58" max="58" width="11.28515625" bestFit="1" customWidth="1"/>
    <col min="59" max="59" width="15.5703125" bestFit="1" customWidth="1"/>
    <col min="60" max="60" width="13.140625" bestFit="1" customWidth="1"/>
    <col min="61" max="61" width="11.28515625" bestFit="1" customWidth="1"/>
    <col min="62" max="62" width="27.140625" bestFit="1" customWidth="1"/>
    <col min="63" max="63" width="37.7109375" bestFit="1" customWidth="1"/>
    <col min="64" max="64" width="27.5703125" bestFit="1" customWidth="1"/>
    <col min="66" max="66" width="24.140625" bestFit="1" customWidth="1"/>
    <col min="67" max="67" width="12.42578125" customWidth="1"/>
    <col min="68" max="68" width="11" customWidth="1"/>
    <col min="71" max="71" width="24.140625" bestFit="1" customWidth="1"/>
    <col min="72" max="72" width="19.85546875" bestFit="1" customWidth="1"/>
    <col min="73" max="73" width="13.7109375" bestFit="1" customWidth="1"/>
    <col min="74" max="74" width="19.85546875" bestFit="1" customWidth="1"/>
    <col min="75" max="75" width="27.7109375" bestFit="1" customWidth="1"/>
  </cols>
  <sheetData>
    <row r="2" spans="1:44" x14ac:dyDescent="0.25">
      <c r="F2" t="s">
        <v>1058</v>
      </c>
    </row>
    <row r="3" spans="1:44" x14ac:dyDescent="0.25">
      <c r="A3" s="6" t="s">
        <v>1063</v>
      </c>
      <c r="B3" t="s">
        <v>1064</v>
      </c>
      <c r="F3" t="s">
        <v>1059</v>
      </c>
    </row>
    <row r="4" spans="1:44" x14ac:dyDescent="0.25">
      <c r="A4" s="7">
        <v>99</v>
      </c>
      <c r="B4" s="40">
        <v>75</v>
      </c>
      <c r="F4" t="s">
        <v>1062</v>
      </c>
    </row>
    <row r="5" spans="1:44" x14ac:dyDescent="0.25">
      <c r="A5" s="7" t="s">
        <v>26</v>
      </c>
      <c r="B5" s="40">
        <v>19</v>
      </c>
      <c r="F5" t="s">
        <v>1060</v>
      </c>
      <c r="Q5" t="s">
        <v>1099</v>
      </c>
      <c r="R5">
        <v>6</v>
      </c>
    </row>
    <row r="6" spans="1:44" x14ac:dyDescent="0.25">
      <c r="A6" s="7" t="s">
        <v>20</v>
      </c>
      <c r="B6" s="40">
        <v>9</v>
      </c>
      <c r="F6" t="s">
        <v>1061</v>
      </c>
    </row>
    <row r="7" spans="1:44" x14ac:dyDescent="0.25">
      <c r="A7" s="7" t="s">
        <v>32</v>
      </c>
      <c r="B7" s="40">
        <v>12</v>
      </c>
    </row>
    <row r="8" spans="1:44" x14ac:dyDescent="0.25">
      <c r="A8" s="7" t="s">
        <v>36</v>
      </c>
      <c r="B8" s="40">
        <v>100</v>
      </c>
      <c r="D8" s="8" t="s">
        <v>1063</v>
      </c>
      <c r="E8" t="str">
        <f>VLOOKUP(D:D,A3:B827,2,0)</f>
        <v>Sum of total_laid_off</v>
      </c>
      <c r="H8" s="5" t="s">
        <v>1065</v>
      </c>
      <c r="I8" s="5"/>
      <c r="J8" s="5"/>
      <c r="L8" s="38" t="s">
        <v>1093</v>
      </c>
      <c r="M8" s="38"/>
      <c r="N8" s="38"/>
      <c r="P8" s="38" t="s">
        <v>1092</v>
      </c>
      <c r="Q8" s="38"/>
      <c r="R8" s="38"/>
      <c r="S8" s="38"/>
      <c r="T8" s="5"/>
      <c r="AB8" s="38" t="s">
        <v>1071</v>
      </c>
      <c r="AC8" s="38"/>
      <c r="AD8" s="38"/>
    </row>
    <row r="9" spans="1:44" x14ac:dyDescent="0.25">
      <c r="A9" s="7" t="s">
        <v>39</v>
      </c>
      <c r="B9" s="40">
        <v>70</v>
      </c>
      <c r="C9">
        <f>RANK(E:E,E:E)</f>
        <v>341</v>
      </c>
      <c r="D9" s="7">
        <v>99</v>
      </c>
      <c r="E9">
        <f t="shared" ref="E9:E72" si="0">VLOOKUP(D:D,A4:B828,2,0)</f>
        <v>75</v>
      </c>
      <c r="H9" s="5" t="str">
        <f>VLOOKUP(1,C9:E831,2,0)</f>
        <v>Amazon</v>
      </c>
      <c r="I9" s="5">
        <f>VLOOKUP(1,C9:E831,3,0)</f>
        <v>18150</v>
      </c>
      <c r="J9" s="5">
        <v>3</v>
      </c>
      <c r="L9" s="5"/>
      <c r="M9" s="5" t="e">
        <f>VLOOKUP(1,I13:L835, 2,0)</f>
        <v>#N/A</v>
      </c>
      <c r="N9" s="11" t="e">
        <f>VLOOKUP(1,I13:L835,4,0)</f>
        <v>#N/A</v>
      </c>
      <c r="P9" s="5" t="e">
        <f>VLOOKUP(1,M13:O835,2,0)</f>
        <v>#N/A</v>
      </c>
      <c r="Q9" s="38" t="e">
        <f>VLOOKUP(1,M13:O835,3,0)</f>
        <v>#N/A</v>
      </c>
      <c r="R9" s="38"/>
      <c r="S9" s="38"/>
      <c r="T9" s="5"/>
      <c r="W9" s="38" t="s">
        <v>1070</v>
      </c>
      <c r="X9" s="38"/>
      <c r="Y9" s="38"/>
      <c r="AB9" s="5" t="str">
        <f>VLOOKUP(1,Y12:AA835,2,0)</f>
        <v>United States</v>
      </c>
      <c r="AC9" s="5"/>
      <c r="AD9" s="5">
        <f>VLOOKUP(1,Y12:AA835,3,0)</f>
        <v>130761</v>
      </c>
    </row>
    <row r="10" spans="1:44" x14ac:dyDescent="0.25">
      <c r="A10" s="7" t="s">
        <v>44</v>
      </c>
      <c r="B10" s="40">
        <v>190</v>
      </c>
      <c r="C10">
        <f t="shared" ref="C10:C73" si="1">RANK(E:E,E:E)</f>
        <v>603</v>
      </c>
      <c r="D10" s="7" t="s">
        <v>26</v>
      </c>
      <c r="E10">
        <f t="shared" si="0"/>
        <v>19</v>
      </c>
      <c r="W10" s="5" t="e">
        <f>VLOOKUP(1,T12:V42,2,0)</f>
        <v>#N/A</v>
      </c>
      <c r="X10" s="38" t="e">
        <f>VLOOKUP(1,T12:V42,3,0)</f>
        <v>#N/A</v>
      </c>
      <c r="Y10" s="38"/>
    </row>
    <row r="11" spans="1:44" x14ac:dyDescent="0.25">
      <c r="A11" s="7" t="s">
        <v>49</v>
      </c>
      <c r="B11" s="40">
        <v>0</v>
      </c>
      <c r="C11">
        <f t="shared" si="1"/>
        <v>662</v>
      </c>
      <c r="D11" s="7" t="s">
        <v>20</v>
      </c>
      <c r="E11">
        <f t="shared" si="0"/>
        <v>9</v>
      </c>
      <c r="U11" s="6" t="s">
        <v>2</v>
      </c>
      <c r="V11" t="s">
        <v>1064</v>
      </c>
      <c r="Z11" s="6" t="s">
        <v>10</v>
      </c>
      <c r="AA11" t="s">
        <v>1064</v>
      </c>
    </row>
    <row r="12" spans="1:44" x14ac:dyDescent="0.25">
      <c r="A12" s="7" t="s">
        <v>52</v>
      </c>
      <c r="B12" s="40">
        <v>95</v>
      </c>
      <c r="C12">
        <f t="shared" si="1"/>
        <v>640</v>
      </c>
      <c r="D12" s="7" t="s">
        <v>32</v>
      </c>
      <c r="E12">
        <f t="shared" si="0"/>
        <v>12</v>
      </c>
      <c r="G12" s="6" t="s">
        <v>1063</v>
      </c>
      <c r="H12" t="s">
        <v>1066</v>
      </c>
      <c r="J12" s="8" t="s">
        <v>1063</v>
      </c>
      <c r="K12" s="9"/>
      <c r="L12" t="s">
        <v>1067</v>
      </c>
      <c r="N12" s="6" t="s">
        <v>1063</v>
      </c>
      <c r="O12" t="s">
        <v>1068</v>
      </c>
      <c r="T12" t="e">
        <f>RANK(V:V,V:V)</f>
        <v>#REF!</v>
      </c>
      <c r="U12" s="7" t="s">
        <v>210</v>
      </c>
      <c r="V12" s="40">
        <v>210</v>
      </c>
      <c r="Y12">
        <f>RANK(AA:AA,AA:AA)</f>
        <v>23</v>
      </c>
      <c r="Z12" s="7" t="s">
        <v>372</v>
      </c>
      <c r="AA12" s="40">
        <v>220</v>
      </c>
      <c r="AQ12" s="6" t="s">
        <v>1063</v>
      </c>
      <c r="AR12" t="s">
        <v>1066</v>
      </c>
    </row>
    <row r="13" spans="1:44" x14ac:dyDescent="0.25">
      <c r="A13" s="7" t="s">
        <v>54</v>
      </c>
      <c r="B13" s="40">
        <v>0</v>
      </c>
      <c r="C13">
        <f t="shared" si="1"/>
        <v>254</v>
      </c>
      <c r="D13" s="7" t="s">
        <v>36</v>
      </c>
      <c r="E13">
        <f t="shared" si="0"/>
        <v>100</v>
      </c>
      <c r="G13" s="7">
        <v>99</v>
      </c>
      <c r="H13" s="40">
        <v>244</v>
      </c>
      <c r="I13">
        <f t="shared" ref="I13:I76" si="2">RANK(L:L,L:L)</f>
        <v>293</v>
      </c>
      <c r="J13" s="7">
        <v>99</v>
      </c>
      <c r="K13" s="7"/>
      <c r="L13">
        <f>VLOOKUP(G13,G12:H835,2,0)</f>
        <v>244</v>
      </c>
      <c r="M13">
        <f>RANK(O:O,O:O)</f>
        <v>144</v>
      </c>
      <c r="N13" s="7">
        <v>99</v>
      </c>
      <c r="O13" s="40">
        <v>1</v>
      </c>
      <c r="T13" t="e">
        <f t="shared" ref="T13:T42" si="3">RANK(V:V,V:V)</f>
        <v>#REF!</v>
      </c>
      <c r="U13" s="7" t="s">
        <v>360</v>
      </c>
      <c r="V13" s="40">
        <v>3087</v>
      </c>
      <c r="Y13">
        <f t="shared" ref="Y13:Y76" si="4">RANK(AA:AA,AA:AA)</f>
        <v>15</v>
      </c>
      <c r="Z13" s="7" t="s">
        <v>58</v>
      </c>
      <c r="AA13" s="40">
        <v>1357</v>
      </c>
      <c r="AI13" s="6" t="s">
        <v>1069</v>
      </c>
      <c r="AJ13" t="s">
        <v>1064</v>
      </c>
      <c r="AL13" s="6" t="s">
        <v>1069</v>
      </c>
      <c r="AM13" t="s">
        <v>1064</v>
      </c>
      <c r="AQ13" s="7" t="s">
        <v>932</v>
      </c>
      <c r="AR13" s="40">
        <v>5100</v>
      </c>
    </row>
    <row r="14" spans="1:44" x14ac:dyDescent="0.25">
      <c r="A14" s="7" t="s">
        <v>59</v>
      </c>
      <c r="B14" s="40">
        <v>150</v>
      </c>
      <c r="C14">
        <f t="shared" si="1"/>
        <v>350</v>
      </c>
      <c r="D14" s="7" t="s">
        <v>39</v>
      </c>
      <c r="E14">
        <f t="shared" si="0"/>
        <v>70</v>
      </c>
      <c r="G14" s="7" t="s">
        <v>26</v>
      </c>
      <c r="H14" s="40">
        <v>21</v>
      </c>
      <c r="I14">
        <f t="shared" si="2"/>
        <v>648</v>
      </c>
      <c r="J14" s="7" t="s">
        <v>26</v>
      </c>
      <c r="K14" s="7"/>
      <c r="L14">
        <f t="shared" ref="L14:L77" si="5">VLOOKUP(G14,G13:H836,2,0)</f>
        <v>21</v>
      </c>
      <c r="M14">
        <f t="shared" ref="M14:M77" si="6">RANK(O:O,O:O)</f>
        <v>144</v>
      </c>
      <c r="N14" s="7" t="s">
        <v>26</v>
      </c>
      <c r="O14" s="40">
        <v>1</v>
      </c>
      <c r="T14" t="e">
        <f t="shared" si="3"/>
        <v>#REF!</v>
      </c>
      <c r="U14" s="7" t="s">
        <v>34</v>
      </c>
      <c r="V14" s="40">
        <v>20608</v>
      </c>
      <c r="Y14">
        <f t="shared" si="4"/>
        <v>16</v>
      </c>
      <c r="Z14" s="7" t="s">
        <v>293</v>
      </c>
      <c r="AA14" s="40">
        <v>570</v>
      </c>
      <c r="AE14" s="6" t="s">
        <v>1094</v>
      </c>
      <c r="AF14" t="s">
        <v>1064</v>
      </c>
      <c r="AI14" s="21">
        <v>36526</v>
      </c>
      <c r="AJ14" s="40">
        <v>37872</v>
      </c>
      <c r="AL14" s="7" t="s">
        <v>1127</v>
      </c>
      <c r="AM14" s="40">
        <v>500</v>
      </c>
      <c r="AQ14" s="7" t="s">
        <v>529</v>
      </c>
      <c r="AR14" s="40">
        <v>5300</v>
      </c>
    </row>
    <row r="15" spans="1:44" x14ac:dyDescent="0.25">
      <c r="A15" s="7" t="s">
        <v>62</v>
      </c>
      <c r="B15" s="40">
        <v>0</v>
      </c>
      <c r="C15">
        <f t="shared" si="1"/>
        <v>165</v>
      </c>
      <c r="D15" s="7" t="s">
        <v>44</v>
      </c>
      <c r="E15">
        <f t="shared" si="0"/>
        <v>190</v>
      </c>
      <c r="G15" s="7" t="s">
        <v>20</v>
      </c>
      <c r="H15" s="40">
        <v>35</v>
      </c>
      <c r="I15">
        <f t="shared" si="2"/>
        <v>600</v>
      </c>
      <c r="J15" s="7" t="s">
        <v>20</v>
      </c>
      <c r="K15" s="7"/>
      <c r="L15">
        <f t="shared" si="5"/>
        <v>35</v>
      </c>
      <c r="M15">
        <f t="shared" si="6"/>
        <v>144</v>
      </c>
      <c r="N15" s="7" t="s">
        <v>20</v>
      </c>
      <c r="O15" s="40">
        <v>1</v>
      </c>
      <c r="T15" t="e">
        <f t="shared" si="3"/>
        <v>#REF!</v>
      </c>
      <c r="U15" s="7" t="s">
        <v>46</v>
      </c>
      <c r="V15" s="40">
        <v>9397</v>
      </c>
      <c r="Y15">
        <f t="shared" si="4"/>
        <v>5</v>
      </c>
      <c r="Z15" s="7" t="s">
        <v>48</v>
      </c>
      <c r="AA15" s="40">
        <v>5647</v>
      </c>
      <c r="AE15" s="7" t="s">
        <v>130</v>
      </c>
      <c r="AF15" s="40">
        <v>1399</v>
      </c>
      <c r="AI15" s="21">
        <v>36557</v>
      </c>
      <c r="AJ15" s="40">
        <v>17672</v>
      </c>
      <c r="AL15" s="7" t="s">
        <v>1073</v>
      </c>
      <c r="AM15" s="40">
        <v>13959</v>
      </c>
      <c r="AQ15" s="7" t="s">
        <v>973</v>
      </c>
      <c r="AR15" s="40">
        <v>7400</v>
      </c>
    </row>
    <row r="16" spans="1:44" x14ac:dyDescent="0.25">
      <c r="A16" s="7" t="s">
        <v>65</v>
      </c>
      <c r="B16" s="40">
        <v>355</v>
      </c>
      <c r="C16">
        <f t="shared" si="1"/>
        <v>683</v>
      </c>
      <c r="D16" s="7" t="s">
        <v>49</v>
      </c>
      <c r="E16">
        <f t="shared" si="0"/>
        <v>0</v>
      </c>
      <c r="G16" s="7" t="s">
        <v>32</v>
      </c>
      <c r="H16" s="40">
        <v>120</v>
      </c>
      <c r="I16">
        <f t="shared" si="2"/>
        <v>419</v>
      </c>
      <c r="J16" s="7" t="s">
        <v>32</v>
      </c>
      <c r="K16" s="7"/>
      <c r="L16">
        <f t="shared" si="5"/>
        <v>120</v>
      </c>
      <c r="M16">
        <f t="shared" si="6"/>
        <v>144</v>
      </c>
      <c r="N16" s="7" t="s">
        <v>32</v>
      </c>
      <c r="O16" s="40">
        <v>1</v>
      </c>
      <c r="T16" t="e">
        <f t="shared" si="3"/>
        <v>#REF!</v>
      </c>
      <c r="U16" s="7" t="s">
        <v>89</v>
      </c>
      <c r="V16" s="40">
        <v>1786</v>
      </c>
      <c r="Y16">
        <f t="shared" si="4"/>
        <v>11</v>
      </c>
      <c r="Z16" s="7" t="s">
        <v>31</v>
      </c>
      <c r="AA16" s="40">
        <v>2856</v>
      </c>
      <c r="AE16" s="7" t="s">
        <v>28</v>
      </c>
      <c r="AF16" s="40">
        <v>69394</v>
      </c>
      <c r="AI16" s="21">
        <v>36586</v>
      </c>
      <c r="AJ16" s="40">
        <v>9144</v>
      </c>
      <c r="AL16" s="7" t="s">
        <v>1074</v>
      </c>
      <c r="AM16" s="40">
        <v>12500</v>
      </c>
      <c r="AQ16" s="7" t="s">
        <v>801</v>
      </c>
      <c r="AR16" s="40">
        <v>9900</v>
      </c>
    </row>
    <row r="17" spans="1:45" x14ac:dyDescent="0.25">
      <c r="A17" s="7" t="s">
        <v>67</v>
      </c>
      <c r="B17" s="40">
        <v>0</v>
      </c>
      <c r="C17">
        <f t="shared" si="1"/>
        <v>291</v>
      </c>
      <c r="D17" s="7" t="s">
        <v>52</v>
      </c>
      <c r="E17">
        <f t="shared" si="0"/>
        <v>95</v>
      </c>
      <c r="G17" s="7" t="s">
        <v>36</v>
      </c>
      <c r="H17" s="40">
        <v>242</v>
      </c>
      <c r="I17">
        <f t="shared" si="2"/>
        <v>298</v>
      </c>
      <c r="J17" s="7" t="s">
        <v>36</v>
      </c>
      <c r="K17" s="7"/>
      <c r="L17">
        <f t="shared" si="5"/>
        <v>242</v>
      </c>
      <c r="M17">
        <f t="shared" si="6"/>
        <v>144</v>
      </c>
      <c r="N17" s="7" t="s">
        <v>36</v>
      </c>
      <c r="O17" s="40">
        <v>1</v>
      </c>
      <c r="T17" t="e">
        <f t="shared" si="3"/>
        <v>#REF!</v>
      </c>
      <c r="U17" s="7" t="s">
        <v>51</v>
      </c>
      <c r="V17" s="40">
        <v>6364</v>
      </c>
      <c r="Y17">
        <f t="shared" si="4"/>
        <v>32</v>
      </c>
      <c r="Z17" s="7" t="s">
        <v>271</v>
      </c>
      <c r="AA17" s="40">
        <v>30</v>
      </c>
      <c r="AE17" s="7" t="s">
        <v>114</v>
      </c>
      <c r="AF17" s="40">
        <v>7401</v>
      </c>
      <c r="AI17" s="21">
        <v>36617</v>
      </c>
      <c r="AJ17" s="40">
        <v>19472</v>
      </c>
      <c r="AL17" s="7" t="s">
        <v>1075</v>
      </c>
      <c r="AM17" s="40">
        <v>5669</v>
      </c>
      <c r="AQ17" s="7" t="s">
        <v>391</v>
      </c>
      <c r="AR17" s="40">
        <v>11000</v>
      </c>
    </row>
    <row r="18" spans="1:45" x14ac:dyDescent="0.25">
      <c r="A18" s="7" t="s">
        <v>72</v>
      </c>
      <c r="B18" s="40">
        <v>12</v>
      </c>
      <c r="C18">
        <f t="shared" si="1"/>
        <v>683</v>
      </c>
      <c r="D18" s="7" t="s">
        <v>54</v>
      </c>
      <c r="E18">
        <f t="shared" si="0"/>
        <v>0</v>
      </c>
      <c r="G18" s="7" t="s">
        <v>39</v>
      </c>
      <c r="H18" s="40">
        <v>253</v>
      </c>
      <c r="I18">
        <f t="shared" si="2"/>
        <v>287</v>
      </c>
      <c r="J18" s="7" t="s">
        <v>39</v>
      </c>
      <c r="K18" s="7"/>
      <c r="L18">
        <f t="shared" si="5"/>
        <v>253</v>
      </c>
      <c r="M18">
        <f t="shared" si="6"/>
        <v>144</v>
      </c>
      <c r="N18" s="7" t="s">
        <v>39</v>
      </c>
      <c r="O18" s="40">
        <v>1</v>
      </c>
      <c r="T18" t="e">
        <f t="shared" si="3"/>
        <v>#REF!</v>
      </c>
      <c r="U18" s="7" t="s">
        <v>56</v>
      </c>
      <c r="V18" s="40">
        <v>232</v>
      </c>
      <c r="Y18">
        <f t="shared" si="4"/>
        <v>9</v>
      </c>
      <c r="Z18" s="7" t="s">
        <v>282</v>
      </c>
      <c r="AA18" s="40">
        <v>3425</v>
      </c>
      <c r="AE18" s="7" t="s">
        <v>16</v>
      </c>
      <c r="AF18" s="40">
        <v>86140</v>
      </c>
      <c r="AI18" s="21">
        <v>36647</v>
      </c>
      <c r="AJ18" s="40">
        <v>14756</v>
      </c>
      <c r="AL18" s="7" t="s">
        <v>1128</v>
      </c>
      <c r="AM18" s="40">
        <v>4385</v>
      </c>
      <c r="AQ18" s="7" t="s">
        <v>116</v>
      </c>
      <c r="AR18" s="40">
        <v>11800</v>
      </c>
    </row>
    <row r="19" spans="1:45" x14ac:dyDescent="0.25">
      <c r="A19" s="7" t="s">
        <v>74</v>
      </c>
      <c r="B19" s="40">
        <v>40</v>
      </c>
      <c r="C19">
        <f t="shared" si="1"/>
        <v>193</v>
      </c>
      <c r="D19" s="7" t="s">
        <v>59</v>
      </c>
      <c r="E19">
        <f t="shared" si="0"/>
        <v>150</v>
      </c>
      <c r="G19" s="7" t="s">
        <v>44</v>
      </c>
      <c r="H19" s="40">
        <v>500</v>
      </c>
      <c r="I19">
        <f t="shared" si="2"/>
        <v>176</v>
      </c>
      <c r="J19" s="7" t="s">
        <v>44</v>
      </c>
      <c r="K19" s="7"/>
      <c r="L19">
        <f t="shared" si="5"/>
        <v>500</v>
      </c>
      <c r="M19">
        <f t="shared" si="6"/>
        <v>28</v>
      </c>
      <c r="N19" s="7" t="s">
        <v>44</v>
      </c>
      <c r="O19" s="40">
        <v>2</v>
      </c>
      <c r="T19" t="e">
        <f t="shared" si="3"/>
        <v>#REF!</v>
      </c>
      <c r="U19" s="7" t="s">
        <v>82</v>
      </c>
      <c r="V19" s="40">
        <v>12045</v>
      </c>
      <c r="Y19">
        <f t="shared" si="4"/>
        <v>32</v>
      </c>
      <c r="Z19" s="7" t="s">
        <v>746</v>
      </c>
      <c r="AA19" s="40">
        <v>30</v>
      </c>
      <c r="AI19" s="21">
        <v>36678</v>
      </c>
      <c r="AJ19" s="40">
        <v>20878</v>
      </c>
      <c r="AL19" s="7" t="s">
        <v>1129</v>
      </c>
      <c r="AM19" s="40">
        <v>9258</v>
      </c>
      <c r="AQ19" s="7" t="s">
        <v>796</v>
      </c>
      <c r="AR19" s="40">
        <v>13600</v>
      </c>
    </row>
    <row r="20" spans="1:45" x14ac:dyDescent="0.25">
      <c r="A20" s="7" t="s">
        <v>76</v>
      </c>
      <c r="B20" s="40">
        <v>70</v>
      </c>
      <c r="C20">
        <f t="shared" si="1"/>
        <v>683</v>
      </c>
      <c r="D20" s="7" t="s">
        <v>62</v>
      </c>
      <c r="E20">
        <f t="shared" si="0"/>
        <v>0</v>
      </c>
      <c r="G20" s="7" t="s">
        <v>49</v>
      </c>
      <c r="H20" s="40">
        <v>426</v>
      </c>
      <c r="I20">
        <f t="shared" si="2"/>
        <v>197</v>
      </c>
      <c r="J20" s="7" t="s">
        <v>49</v>
      </c>
      <c r="K20" s="7"/>
      <c r="L20">
        <f t="shared" si="5"/>
        <v>426</v>
      </c>
      <c r="M20">
        <f t="shared" si="6"/>
        <v>144</v>
      </c>
      <c r="N20" s="7" t="s">
        <v>49</v>
      </c>
      <c r="O20" s="40">
        <v>1</v>
      </c>
      <c r="T20" t="e">
        <f t="shared" si="3"/>
        <v>#REF!</v>
      </c>
      <c r="U20" s="7" t="s">
        <v>474</v>
      </c>
      <c r="V20" s="40">
        <v>125</v>
      </c>
      <c r="Y20">
        <f t="shared" si="4"/>
        <v>26</v>
      </c>
      <c r="Z20" s="7" t="s">
        <v>126</v>
      </c>
      <c r="AA20" s="40">
        <v>90</v>
      </c>
      <c r="AI20" s="21">
        <v>36708</v>
      </c>
      <c r="AJ20" s="40">
        <v>13632</v>
      </c>
      <c r="AL20" s="7" t="s">
        <v>1076</v>
      </c>
      <c r="AM20" s="40">
        <v>6411</v>
      </c>
      <c r="AQ20" s="7" t="s">
        <v>193</v>
      </c>
      <c r="AR20" s="40">
        <v>14400</v>
      </c>
    </row>
    <row r="21" spans="1:45" x14ac:dyDescent="0.25">
      <c r="A21" s="7" t="s">
        <v>80</v>
      </c>
      <c r="B21" s="40">
        <v>45</v>
      </c>
      <c r="C21">
        <f t="shared" si="1"/>
        <v>93</v>
      </c>
      <c r="D21" s="7" t="s">
        <v>65</v>
      </c>
      <c r="E21">
        <f t="shared" si="0"/>
        <v>355</v>
      </c>
      <c r="G21" s="7" t="s">
        <v>52</v>
      </c>
      <c r="H21" s="40">
        <v>44</v>
      </c>
      <c r="I21">
        <f t="shared" si="2"/>
        <v>574</v>
      </c>
      <c r="J21" s="7" t="s">
        <v>52</v>
      </c>
      <c r="K21" s="7"/>
      <c r="L21">
        <f t="shared" si="5"/>
        <v>44</v>
      </c>
      <c r="M21">
        <f t="shared" si="6"/>
        <v>144</v>
      </c>
      <c r="N21" s="7" t="s">
        <v>52</v>
      </c>
      <c r="O21" s="40">
        <v>1</v>
      </c>
      <c r="T21" t="e">
        <f t="shared" si="3"/>
        <v>#REF!</v>
      </c>
      <c r="U21" s="7" t="s">
        <v>468</v>
      </c>
      <c r="V21" s="40">
        <v>2935</v>
      </c>
      <c r="Y21">
        <f t="shared" si="4"/>
        <v>712</v>
      </c>
      <c r="Z21" s="7" t="s">
        <v>135</v>
      </c>
      <c r="AA21" s="40">
        <v>0</v>
      </c>
      <c r="AI21" s="21">
        <v>36739</v>
      </c>
      <c r="AJ21" s="40">
        <v>10170</v>
      </c>
      <c r="AL21" s="7" t="s">
        <v>1130</v>
      </c>
      <c r="AM21" s="40">
        <v>5314</v>
      </c>
      <c r="AQ21" s="7" t="s">
        <v>574</v>
      </c>
      <c r="AR21" s="40">
        <v>26500</v>
      </c>
    </row>
    <row r="22" spans="1:45" x14ac:dyDescent="0.25">
      <c r="A22" s="7" t="s">
        <v>84</v>
      </c>
      <c r="B22" s="40">
        <v>50</v>
      </c>
      <c r="C22">
        <f t="shared" si="1"/>
        <v>683</v>
      </c>
      <c r="D22" s="7" t="s">
        <v>67</v>
      </c>
      <c r="E22">
        <f t="shared" si="0"/>
        <v>0</v>
      </c>
      <c r="G22" s="7" t="s">
        <v>54</v>
      </c>
      <c r="H22" s="40">
        <v>12</v>
      </c>
      <c r="I22">
        <f t="shared" si="2"/>
        <v>691</v>
      </c>
      <c r="J22" s="7" t="s">
        <v>54</v>
      </c>
      <c r="K22" s="7"/>
      <c r="L22">
        <f t="shared" si="5"/>
        <v>12</v>
      </c>
      <c r="M22">
        <f t="shared" si="6"/>
        <v>144</v>
      </c>
      <c r="N22" s="7" t="s">
        <v>54</v>
      </c>
      <c r="O22" s="40">
        <v>1</v>
      </c>
      <c r="T22" t="e">
        <f t="shared" si="3"/>
        <v>#REF!</v>
      </c>
      <c r="U22" s="7" t="s">
        <v>64</v>
      </c>
      <c r="V22" s="40">
        <v>14045</v>
      </c>
      <c r="Y22">
        <f t="shared" si="4"/>
        <v>20</v>
      </c>
      <c r="Z22" s="7" t="s">
        <v>244</v>
      </c>
      <c r="AA22" s="40">
        <v>301</v>
      </c>
      <c r="AD22" t="s">
        <v>1094</v>
      </c>
      <c r="AE22" t="s">
        <v>1100</v>
      </c>
      <c r="AI22" s="21">
        <v>36770</v>
      </c>
      <c r="AJ22" s="40">
        <v>6190</v>
      </c>
      <c r="AL22" s="7" t="s">
        <v>1077</v>
      </c>
      <c r="AM22" s="40">
        <v>5862</v>
      </c>
      <c r="AQ22" s="7" t="s">
        <v>392</v>
      </c>
      <c r="AR22" s="40">
        <v>35600</v>
      </c>
    </row>
    <row r="23" spans="1:45" x14ac:dyDescent="0.25">
      <c r="A23" s="7" t="s">
        <v>87</v>
      </c>
      <c r="B23" s="40">
        <v>54</v>
      </c>
      <c r="C23">
        <f t="shared" si="1"/>
        <v>640</v>
      </c>
      <c r="D23" s="7" t="s">
        <v>72</v>
      </c>
      <c r="E23">
        <f t="shared" si="0"/>
        <v>12</v>
      </c>
      <c r="G23" s="7" t="s">
        <v>59</v>
      </c>
      <c r="H23" s="40">
        <v>426</v>
      </c>
      <c r="I23">
        <f t="shared" si="2"/>
        <v>197</v>
      </c>
      <c r="J23" s="7" t="s">
        <v>59</v>
      </c>
      <c r="K23" s="7"/>
      <c r="L23">
        <f t="shared" si="5"/>
        <v>426</v>
      </c>
      <c r="M23">
        <f t="shared" si="6"/>
        <v>144</v>
      </c>
      <c r="N23" s="7" t="s">
        <v>59</v>
      </c>
      <c r="O23" s="40">
        <v>1</v>
      </c>
      <c r="T23" t="e">
        <f t="shared" si="3"/>
        <v>#REF!</v>
      </c>
      <c r="U23" s="7" t="s">
        <v>309</v>
      </c>
      <c r="V23" s="40">
        <v>13394</v>
      </c>
      <c r="Y23">
        <f t="shared" si="4"/>
        <v>10</v>
      </c>
      <c r="Z23" s="7" t="s">
        <v>96</v>
      </c>
      <c r="AA23" s="40">
        <v>3123</v>
      </c>
      <c r="AD23" t="s">
        <v>130</v>
      </c>
      <c r="AE23">
        <v>1399</v>
      </c>
      <c r="AI23" s="21">
        <v>36800</v>
      </c>
      <c r="AJ23" s="40">
        <v>12026</v>
      </c>
      <c r="AL23" s="7" t="s">
        <v>1131</v>
      </c>
      <c r="AM23" s="40">
        <v>1015</v>
      </c>
    </row>
    <row r="24" spans="1:45" x14ac:dyDescent="0.25">
      <c r="A24" s="7" t="s">
        <v>90</v>
      </c>
      <c r="B24" s="40">
        <v>0</v>
      </c>
      <c r="C24">
        <f t="shared" si="1"/>
        <v>454</v>
      </c>
      <c r="D24" s="7" t="s">
        <v>74</v>
      </c>
      <c r="E24">
        <f t="shared" si="0"/>
        <v>40</v>
      </c>
      <c r="G24" s="7" t="s">
        <v>62</v>
      </c>
      <c r="H24" s="40">
        <v>275</v>
      </c>
      <c r="I24">
        <f t="shared" si="2"/>
        <v>272</v>
      </c>
      <c r="J24" s="7" t="s">
        <v>62</v>
      </c>
      <c r="K24" s="7"/>
      <c r="L24">
        <f t="shared" si="5"/>
        <v>275</v>
      </c>
      <c r="M24">
        <f t="shared" si="6"/>
        <v>144</v>
      </c>
      <c r="N24" s="7" t="s">
        <v>62</v>
      </c>
      <c r="O24" s="40">
        <v>1</v>
      </c>
      <c r="T24" t="e">
        <f t="shared" si="3"/>
        <v>#REF!</v>
      </c>
      <c r="U24" s="7" t="s">
        <v>14</v>
      </c>
      <c r="V24" s="40">
        <v>8380</v>
      </c>
      <c r="Y24">
        <f t="shared" si="4"/>
        <v>19</v>
      </c>
      <c r="Z24" s="7" t="s">
        <v>155</v>
      </c>
      <c r="AA24" s="40">
        <v>330</v>
      </c>
      <c r="AD24" t="s">
        <v>28</v>
      </c>
      <c r="AE24">
        <v>69394</v>
      </c>
      <c r="AI24" s="21">
        <v>36831</v>
      </c>
      <c r="AJ24" s="40">
        <v>24318</v>
      </c>
      <c r="AL24" s="7" t="s">
        <v>1078</v>
      </c>
      <c r="AM24" s="40">
        <v>6154</v>
      </c>
    </row>
    <row r="25" spans="1:45" x14ac:dyDescent="0.25">
      <c r="A25" s="7" t="s">
        <v>92</v>
      </c>
      <c r="B25" s="40">
        <v>78</v>
      </c>
      <c r="C25">
        <f t="shared" si="1"/>
        <v>350</v>
      </c>
      <c r="D25" s="7" t="s">
        <v>76</v>
      </c>
      <c r="E25">
        <f t="shared" si="0"/>
        <v>70</v>
      </c>
      <c r="G25" s="7" t="s">
        <v>65</v>
      </c>
      <c r="H25" s="40">
        <v>506</v>
      </c>
      <c r="I25">
        <f t="shared" si="2"/>
        <v>174</v>
      </c>
      <c r="J25" s="7" t="s">
        <v>65</v>
      </c>
      <c r="K25" s="7"/>
      <c r="L25">
        <f t="shared" si="5"/>
        <v>506</v>
      </c>
      <c r="M25">
        <f t="shared" si="6"/>
        <v>28</v>
      </c>
      <c r="N25" s="7" t="s">
        <v>65</v>
      </c>
      <c r="O25" s="40">
        <v>2</v>
      </c>
      <c r="T25" t="e">
        <f t="shared" si="3"/>
        <v>#REF!</v>
      </c>
      <c r="U25" s="7" t="s">
        <v>190</v>
      </c>
      <c r="V25" s="40">
        <v>803</v>
      </c>
      <c r="Y25">
        <f t="shared" si="4"/>
        <v>712</v>
      </c>
      <c r="Z25" s="7" t="s">
        <v>296</v>
      </c>
      <c r="AA25" s="40">
        <v>0</v>
      </c>
      <c r="AD25" t="s">
        <v>114</v>
      </c>
      <c r="AE25">
        <v>7401</v>
      </c>
      <c r="AI25" s="21">
        <v>36861</v>
      </c>
      <c r="AJ25" s="40">
        <v>7237</v>
      </c>
      <c r="AL25" s="7" t="s">
        <v>1132</v>
      </c>
      <c r="AM25" s="40">
        <v>4824</v>
      </c>
      <c r="AR25" s="6" t="s">
        <v>1063</v>
      </c>
      <c r="AS25" t="s">
        <v>1066</v>
      </c>
    </row>
    <row r="26" spans="1:45" x14ac:dyDescent="0.25">
      <c r="A26" s="7" t="s">
        <v>93</v>
      </c>
      <c r="B26" s="40">
        <v>50</v>
      </c>
      <c r="C26">
        <f t="shared" si="1"/>
        <v>441</v>
      </c>
      <c r="D26" s="7" t="s">
        <v>80</v>
      </c>
      <c r="E26">
        <f t="shared" si="0"/>
        <v>45</v>
      </c>
      <c r="G26" s="7" t="s">
        <v>67</v>
      </c>
      <c r="H26" s="40">
        <v>247</v>
      </c>
      <c r="I26">
        <f t="shared" si="2"/>
        <v>289</v>
      </c>
      <c r="J26" s="7" t="s">
        <v>67</v>
      </c>
      <c r="K26" s="7"/>
      <c r="L26">
        <f t="shared" si="5"/>
        <v>247</v>
      </c>
      <c r="M26">
        <f t="shared" si="6"/>
        <v>144</v>
      </c>
      <c r="N26" s="7" t="s">
        <v>67</v>
      </c>
      <c r="O26" s="40">
        <v>1</v>
      </c>
      <c r="T26" t="e">
        <f t="shared" si="3"/>
        <v>#REF!</v>
      </c>
      <c r="U26" s="7" t="s">
        <v>134</v>
      </c>
      <c r="V26" s="40">
        <v>4637</v>
      </c>
      <c r="Y26">
        <f t="shared" si="4"/>
        <v>3</v>
      </c>
      <c r="Z26" s="7" t="s">
        <v>83</v>
      </c>
      <c r="AA26" s="40">
        <v>13292</v>
      </c>
      <c r="AD26" t="s">
        <v>16</v>
      </c>
      <c r="AE26">
        <v>86140</v>
      </c>
      <c r="AL26" s="7" t="s">
        <v>1079</v>
      </c>
      <c r="AM26" s="40">
        <v>4624</v>
      </c>
      <c r="AR26" s="7" t="s">
        <v>112</v>
      </c>
      <c r="AS26" s="40">
        <v>15315</v>
      </c>
    </row>
    <row r="27" spans="1:45" x14ac:dyDescent="0.25">
      <c r="A27" s="7" t="s">
        <v>97</v>
      </c>
      <c r="B27" s="40">
        <v>36</v>
      </c>
      <c r="C27">
        <f t="shared" si="1"/>
        <v>410</v>
      </c>
      <c r="D27" s="7" t="s">
        <v>84</v>
      </c>
      <c r="E27">
        <f t="shared" si="0"/>
        <v>50</v>
      </c>
      <c r="G27" s="7" t="s">
        <v>72</v>
      </c>
      <c r="H27" s="40">
        <v>106</v>
      </c>
      <c r="I27">
        <f t="shared" si="2"/>
        <v>440</v>
      </c>
      <c r="J27" s="7" t="s">
        <v>72</v>
      </c>
      <c r="K27" s="7"/>
      <c r="L27">
        <f t="shared" si="5"/>
        <v>106</v>
      </c>
      <c r="M27">
        <f t="shared" si="6"/>
        <v>144</v>
      </c>
      <c r="N27" s="7" t="s">
        <v>72</v>
      </c>
      <c r="O27" s="40">
        <v>1</v>
      </c>
      <c r="T27" t="e">
        <f t="shared" si="3"/>
        <v>#REF!</v>
      </c>
      <c r="U27" s="7" t="s">
        <v>535</v>
      </c>
      <c r="V27" s="40">
        <v>236</v>
      </c>
      <c r="Y27">
        <f t="shared" si="4"/>
        <v>12</v>
      </c>
      <c r="Z27" s="7" t="s">
        <v>131</v>
      </c>
      <c r="AA27" s="40">
        <v>2167</v>
      </c>
      <c r="AD27" t="s">
        <v>1096</v>
      </c>
      <c r="AE27">
        <v>29033</v>
      </c>
      <c r="AL27" s="7" t="s">
        <v>1080</v>
      </c>
      <c r="AM27" s="40">
        <v>6270</v>
      </c>
      <c r="AR27" s="7" t="s">
        <v>46</v>
      </c>
      <c r="AS27" s="40">
        <v>15684</v>
      </c>
    </row>
    <row r="28" spans="1:45" x14ac:dyDescent="0.25">
      <c r="A28" s="7" t="s">
        <v>98</v>
      </c>
      <c r="B28" s="40">
        <v>100</v>
      </c>
      <c r="C28">
        <f t="shared" si="1"/>
        <v>404</v>
      </c>
      <c r="D28" s="7" t="s">
        <v>87</v>
      </c>
      <c r="E28">
        <f t="shared" si="0"/>
        <v>54</v>
      </c>
      <c r="G28" s="7" t="s">
        <v>74</v>
      </c>
      <c r="H28" s="40">
        <v>237</v>
      </c>
      <c r="I28">
        <f t="shared" si="2"/>
        <v>302</v>
      </c>
      <c r="J28" s="7" t="s">
        <v>74</v>
      </c>
      <c r="K28" s="7"/>
      <c r="L28">
        <f t="shared" si="5"/>
        <v>237</v>
      </c>
      <c r="M28">
        <f t="shared" si="6"/>
        <v>144</v>
      </c>
      <c r="N28" s="7" t="s">
        <v>74</v>
      </c>
      <c r="O28" s="40">
        <v>1</v>
      </c>
      <c r="T28" t="e">
        <f t="shared" si="3"/>
        <v>#REF!</v>
      </c>
      <c r="U28" s="7" t="s">
        <v>120</v>
      </c>
      <c r="V28" s="40">
        <v>3094</v>
      </c>
      <c r="Y28">
        <f t="shared" si="4"/>
        <v>31</v>
      </c>
      <c r="Z28" s="7" t="s">
        <v>25</v>
      </c>
      <c r="AA28" s="40">
        <v>36</v>
      </c>
      <c r="AL28" s="7" t="s">
        <v>1133</v>
      </c>
      <c r="AM28" s="40">
        <v>5050</v>
      </c>
      <c r="AR28" s="7" t="s">
        <v>174</v>
      </c>
      <c r="AS28" s="40">
        <v>17590</v>
      </c>
    </row>
    <row r="29" spans="1:45" x14ac:dyDescent="0.25">
      <c r="A29" s="7" t="s">
        <v>99</v>
      </c>
      <c r="B29" s="40">
        <v>20</v>
      </c>
      <c r="C29">
        <f t="shared" si="1"/>
        <v>683</v>
      </c>
      <c r="D29" s="7" t="s">
        <v>90</v>
      </c>
      <c r="E29">
        <f t="shared" si="0"/>
        <v>0</v>
      </c>
      <c r="G29" s="7" t="s">
        <v>76</v>
      </c>
      <c r="H29" s="40">
        <v>126</v>
      </c>
      <c r="I29">
        <f t="shared" si="2"/>
        <v>413</v>
      </c>
      <c r="J29" s="7" t="s">
        <v>76</v>
      </c>
      <c r="K29" s="7"/>
      <c r="L29">
        <f t="shared" si="5"/>
        <v>126</v>
      </c>
      <c r="M29">
        <f t="shared" si="6"/>
        <v>144</v>
      </c>
      <c r="N29" s="7" t="s">
        <v>76</v>
      </c>
      <c r="O29" s="40">
        <v>1</v>
      </c>
      <c r="T29" t="e">
        <f t="shared" si="3"/>
        <v>#REF!</v>
      </c>
      <c r="U29" s="7" t="s">
        <v>221</v>
      </c>
      <c r="V29" s="40">
        <v>20</v>
      </c>
      <c r="Y29">
        <f t="shared" si="4"/>
        <v>13</v>
      </c>
      <c r="Z29" s="7" t="s">
        <v>172</v>
      </c>
      <c r="AA29" s="40">
        <v>1533</v>
      </c>
      <c r="AL29" s="7" t="s">
        <v>1134</v>
      </c>
      <c r="AM29" s="40">
        <v>3165</v>
      </c>
      <c r="AR29" s="7" t="s">
        <v>51</v>
      </c>
      <c r="AS29" s="40">
        <v>18029</v>
      </c>
    </row>
    <row r="30" spans="1:45" x14ac:dyDescent="0.25">
      <c r="A30" s="7" t="s">
        <v>101</v>
      </c>
      <c r="B30" s="40">
        <v>100</v>
      </c>
      <c r="C30">
        <f t="shared" si="1"/>
        <v>335</v>
      </c>
      <c r="D30" s="7" t="s">
        <v>92</v>
      </c>
      <c r="E30">
        <f t="shared" si="0"/>
        <v>78</v>
      </c>
      <c r="G30" s="7" t="s">
        <v>80</v>
      </c>
      <c r="H30" s="40">
        <v>143</v>
      </c>
      <c r="I30">
        <f t="shared" si="2"/>
        <v>394</v>
      </c>
      <c r="J30" s="7" t="s">
        <v>80</v>
      </c>
      <c r="K30" s="7"/>
      <c r="L30">
        <f t="shared" si="5"/>
        <v>143</v>
      </c>
      <c r="M30">
        <f t="shared" si="6"/>
        <v>144</v>
      </c>
      <c r="N30" s="7" t="s">
        <v>80</v>
      </c>
      <c r="O30" s="40">
        <v>1</v>
      </c>
      <c r="T30" t="e">
        <f t="shared" si="3"/>
        <v>#REF!</v>
      </c>
      <c r="U30" s="7" t="s">
        <v>22</v>
      </c>
      <c r="V30" s="40">
        <v>5056</v>
      </c>
      <c r="Y30">
        <f t="shared" si="4"/>
        <v>712</v>
      </c>
      <c r="Z30" s="7" t="s">
        <v>432</v>
      </c>
      <c r="AA30" s="40">
        <v>0</v>
      </c>
      <c r="AL30" s="7" t="s">
        <v>1135</v>
      </c>
      <c r="AM30" s="40">
        <v>16510</v>
      </c>
      <c r="AR30" s="7" t="s">
        <v>14</v>
      </c>
      <c r="AS30" s="40">
        <v>24504</v>
      </c>
    </row>
    <row r="31" spans="1:45" x14ac:dyDescent="0.25">
      <c r="A31" s="7" t="s">
        <v>102</v>
      </c>
      <c r="B31" s="40">
        <v>210</v>
      </c>
      <c r="C31">
        <f t="shared" si="1"/>
        <v>410</v>
      </c>
      <c r="D31" s="7" t="s">
        <v>93</v>
      </c>
      <c r="E31">
        <f t="shared" si="0"/>
        <v>50</v>
      </c>
      <c r="G31" s="7" t="s">
        <v>84</v>
      </c>
      <c r="H31" s="40">
        <v>207</v>
      </c>
      <c r="I31">
        <f t="shared" si="2"/>
        <v>325</v>
      </c>
      <c r="J31" s="7" t="s">
        <v>84</v>
      </c>
      <c r="K31" s="7"/>
      <c r="L31">
        <f t="shared" si="5"/>
        <v>207</v>
      </c>
      <c r="M31">
        <f t="shared" si="6"/>
        <v>144</v>
      </c>
      <c r="N31" s="7" t="s">
        <v>84</v>
      </c>
      <c r="O31" s="40">
        <v>1</v>
      </c>
      <c r="T31" t="e">
        <f t="shared" si="3"/>
        <v>#REF!</v>
      </c>
      <c r="U31" s="7" t="s">
        <v>78</v>
      </c>
      <c r="V31" s="40">
        <v>1574</v>
      </c>
      <c r="Y31">
        <f t="shared" si="4"/>
        <v>27</v>
      </c>
      <c r="Z31" s="7" t="s">
        <v>532</v>
      </c>
      <c r="AA31" s="40">
        <v>85</v>
      </c>
      <c r="AL31" s="7" t="s">
        <v>1136</v>
      </c>
      <c r="AM31" s="40">
        <v>2653</v>
      </c>
      <c r="AR31" s="7" t="s">
        <v>41</v>
      </c>
      <c r="AS31" s="40">
        <v>26510</v>
      </c>
    </row>
    <row r="32" spans="1:45" x14ac:dyDescent="0.25">
      <c r="A32" s="7" t="s">
        <v>104</v>
      </c>
      <c r="B32" s="40">
        <v>32</v>
      </c>
      <c r="C32">
        <f t="shared" si="1"/>
        <v>490</v>
      </c>
      <c r="D32" s="7" t="s">
        <v>97</v>
      </c>
      <c r="E32">
        <f t="shared" si="0"/>
        <v>36</v>
      </c>
      <c r="G32" s="7" t="s">
        <v>87</v>
      </c>
      <c r="H32" s="40">
        <v>352</v>
      </c>
      <c r="I32">
        <f t="shared" si="2"/>
        <v>226</v>
      </c>
      <c r="J32" s="7" t="s">
        <v>87</v>
      </c>
      <c r="K32" s="7"/>
      <c r="L32">
        <f t="shared" si="5"/>
        <v>352</v>
      </c>
      <c r="M32">
        <f t="shared" si="6"/>
        <v>144</v>
      </c>
      <c r="N32" s="7" t="s">
        <v>87</v>
      </c>
      <c r="O32" s="40">
        <v>1</v>
      </c>
      <c r="T32" t="e">
        <f t="shared" si="3"/>
        <v>#REF!</v>
      </c>
      <c r="U32" s="7" t="s">
        <v>15</v>
      </c>
      <c r="V32" s="40">
        <v>0</v>
      </c>
      <c r="Y32">
        <f t="shared" si="4"/>
        <v>712</v>
      </c>
      <c r="Z32" s="7" t="s">
        <v>482</v>
      </c>
      <c r="AA32" s="40">
        <v>0</v>
      </c>
      <c r="AL32" s="7" t="s">
        <v>1081</v>
      </c>
      <c r="AM32" s="40">
        <v>3964</v>
      </c>
      <c r="AR32" s="7" t="s">
        <v>34</v>
      </c>
      <c r="AS32" s="40">
        <v>46332</v>
      </c>
    </row>
    <row r="33" spans="1:45" x14ac:dyDescent="0.25">
      <c r="A33" s="7" t="s">
        <v>105</v>
      </c>
      <c r="B33" s="40">
        <v>40</v>
      </c>
      <c r="C33">
        <f t="shared" si="1"/>
        <v>254</v>
      </c>
      <c r="D33" s="7" t="s">
        <v>98</v>
      </c>
      <c r="E33">
        <f t="shared" si="0"/>
        <v>100</v>
      </c>
      <c r="G33" s="7" t="s">
        <v>90</v>
      </c>
      <c r="H33" s="40">
        <v>360</v>
      </c>
      <c r="I33">
        <f t="shared" si="2"/>
        <v>222</v>
      </c>
      <c r="J33" s="7" t="s">
        <v>90</v>
      </c>
      <c r="K33" s="7"/>
      <c r="L33">
        <f t="shared" si="5"/>
        <v>360</v>
      </c>
      <c r="M33">
        <f t="shared" si="6"/>
        <v>144</v>
      </c>
      <c r="N33" s="7" t="s">
        <v>90</v>
      </c>
      <c r="O33" s="40">
        <v>1</v>
      </c>
      <c r="T33" t="e">
        <f t="shared" si="3"/>
        <v>#REF!</v>
      </c>
      <c r="U33" s="7" t="s">
        <v>161</v>
      </c>
      <c r="V33" s="40">
        <v>13159</v>
      </c>
      <c r="Y33">
        <f t="shared" si="4"/>
        <v>25</v>
      </c>
      <c r="Z33" s="7" t="s">
        <v>426</v>
      </c>
      <c r="AA33" s="40">
        <v>100</v>
      </c>
      <c r="AL33" s="7" t="s">
        <v>1137</v>
      </c>
      <c r="AM33" s="40">
        <v>4637</v>
      </c>
      <c r="AR33" s="7" t="s">
        <v>82</v>
      </c>
      <c r="AS33" s="40">
        <v>46584</v>
      </c>
    </row>
    <row r="34" spans="1:45" x14ac:dyDescent="0.25">
      <c r="A34" s="7" t="s">
        <v>107</v>
      </c>
      <c r="B34" s="40">
        <v>500</v>
      </c>
      <c r="C34">
        <f t="shared" si="1"/>
        <v>588</v>
      </c>
      <c r="D34" s="7" t="s">
        <v>99</v>
      </c>
      <c r="E34">
        <f t="shared" si="0"/>
        <v>20</v>
      </c>
      <c r="G34" s="7" t="s">
        <v>92</v>
      </c>
      <c r="H34" s="40">
        <v>190</v>
      </c>
      <c r="I34">
        <f t="shared" si="2"/>
        <v>342</v>
      </c>
      <c r="J34" s="7" t="s">
        <v>92</v>
      </c>
      <c r="K34" s="7"/>
      <c r="L34">
        <f t="shared" si="5"/>
        <v>190</v>
      </c>
      <c r="M34">
        <f t="shared" si="6"/>
        <v>144</v>
      </c>
      <c r="N34" s="7" t="s">
        <v>92</v>
      </c>
      <c r="O34" s="40">
        <v>1</v>
      </c>
      <c r="T34" t="e">
        <f t="shared" si="3"/>
        <v>#REF!</v>
      </c>
      <c r="U34" s="7" t="s">
        <v>123</v>
      </c>
      <c r="V34" s="40">
        <v>671</v>
      </c>
      <c r="Y34">
        <f t="shared" si="4"/>
        <v>21</v>
      </c>
      <c r="Z34" s="7" t="s">
        <v>300</v>
      </c>
      <c r="AA34" s="40">
        <v>270</v>
      </c>
      <c r="AL34" s="7" t="s">
        <v>1138</v>
      </c>
      <c r="AM34" s="40">
        <v>16543</v>
      </c>
      <c r="AR34" s="7" t="s">
        <v>69</v>
      </c>
      <c r="AS34" s="40">
        <v>56085</v>
      </c>
    </row>
    <row r="35" spans="1:45" x14ac:dyDescent="0.25">
      <c r="A35" s="7" t="s">
        <v>108</v>
      </c>
      <c r="B35" s="40">
        <v>60</v>
      </c>
      <c r="C35">
        <f t="shared" si="1"/>
        <v>254</v>
      </c>
      <c r="D35" s="7" t="s">
        <v>101</v>
      </c>
      <c r="E35">
        <f t="shared" si="0"/>
        <v>100</v>
      </c>
      <c r="G35" s="7" t="s">
        <v>93</v>
      </c>
      <c r="H35" s="40">
        <v>189</v>
      </c>
      <c r="I35">
        <f t="shared" si="2"/>
        <v>346</v>
      </c>
      <c r="J35" s="7" t="s">
        <v>93</v>
      </c>
      <c r="K35" s="7"/>
      <c r="L35">
        <f t="shared" si="5"/>
        <v>189</v>
      </c>
      <c r="M35">
        <f t="shared" si="6"/>
        <v>144</v>
      </c>
      <c r="N35" s="7" t="s">
        <v>93</v>
      </c>
      <c r="O35" s="40">
        <v>1</v>
      </c>
      <c r="T35" t="e">
        <f t="shared" si="3"/>
        <v>#REF!</v>
      </c>
      <c r="U35" s="7" t="s">
        <v>174</v>
      </c>
      <c r="V35" s="40">
        <v>9053</v>
      </c>
      <c r="Y35">
        <f t="shared" si="4"/>
        <v>24</v>
      </c>
      <c r="Z35" s="7" t="s">
        <v>718</v>
      </c>
      <c r="AA35" s="40">
        <v>200</v>
      </c>
      <c r="AL35" s="7" t="s">
        <v>1082</v>
      </c>
      <c r="AM35" s="40">
        <v>6473</v>
      </c>
      <c r="AR35" s="7" t="s">
        <v>64</v>
      </c>
      <c r="AS35" s="40">
        <v>74090</v>
      </c>
    </row>
    <row r="36" spans="1:45" x14ac:dyDescent="0.25">
      <c r="A36" s="7" t="s">
        <v>110</v>
      </c>
      <c r="B36" s="40">
        <v>1500</v>
      </c>
      <c r="C36">
        <f t="shared" si="1"/>
        <v>144</v>
      </c>
      <c r="D36" s="7" t="s">
        <v>102</v>
      </c>
      <c r="E36">
        <f t="shared" si="0"/>
        <v>210</v>
      </c>
      <c r="G36" s="7" t="s">
        <v>97</v>
      </c>
      <c r="H36" s="40">
        <v>60</v>
      </c>
      <c r="I36">
        <f t="shared" si="2"/>
        <v>525</v>
      </c>
      <c r="J36" s="7" t="s">
        <v>97</v>
      </c>
      <c r="K36" s="7"/>
      <c r="L36">
        <f t="shared" si="5"/>
        <v>60</v>
      </c>
      <c r="M36">
        <f t="shared" si="6"/>
        <v>144</v>
      </c>
      <c r="N36" s="7" t="s">
        <v>97</v>
      </c>
      <c r="O36" s="40">
        <v>1</v>
      </c>
      <c r="T36" t="e">
        <f t="shared" si="3"/>
        <v>#REF!</v>
      </c>
      <c r="U36" s="7" t="s">
        <v>167</v>
      </c>
      <c r="V36" s="40">
        <v>2219</v>
      </c>
      <c r="Y36">
        <f t="shared" si="4"/>
        <v>7</v>
      </c>
      <c r="Z36" s="7" t="s">
        <v>335</v>
      </c>
      <c r="AA36" s="40">
        <v>4765</v>
      </c>
      <c r="AL36" s="7" t="s">
        <v>1083</v>
      </c>
      <c r="AM36" s="40">
        <v>1635</v>
      </c>
    </row>
    <row r="37" spans="1:45" x14ac:dyDescent="0.25">
      <c r="A37" s="7" t="s">
        <v>113</v>
      </c>
      <c r="B37" s="40">
        <v>44</v>
      </c>
      <c r="C37">
        <f t="shared" si="1"/>
        <v>505</v>
      </c>
      <c r="D37" s="7" t="s">
        <v>104</v>
      </c>
      <c r="E37">
        <f t="shared" si="0"/>
        <v>32</v>
      </c>
      <c r="G37" s="7" t="s">
        <v>98</v>
      </c>
      <c r="H37" s="40">
        <v>406</v>
      </c>
      <c r="I37">
        <f t="shared" si="2"/>
        <v>206</v>
      </c>
      <c r="J37" s="7" t="s">
        <v>98</v>
      </c>
      <c r="K37" s="7"/>
      <c r="L37">
        <f t="shared" si="5"/>
        <v>406</v>
      </c>
      <c r="M37">
        <f t="shared" si="6"/>
        <v>144</v>
      </c>
      <c r="N37" s="7" t="s">
        <v>98</v>
      </c>
      <c r="O37" s="40">
        <v>1</v>
      </c>
      <c r="T37" t="e">
        <f t="shared" si="3"/>
        <v>#REF!</v>
      </c>
      <c r="U37" s="7" t="s">
        <v>41</v>
      </c>
      <c r="V37" s="40">
        <v>30545</v>
      </c>
      <c r="Y37">
        <f t="shared" si="4"/>
        <v>30</v>
      </c>
      <c r="Z37" s="7" t="s">
        <v>1008</v>
      </c>
      <c r="AA37" s="40">
        <v>45</v>
      </c>
      <c r="AL37" s="7" t="s">
        <v>1139</v>
      </c>
      <c r="AM37" s="40">
        <v>2694</v>
      </c>
    </row>
    <row r="38" spans="1:45" x14ac:dyDescent="0.25">
      <c r="A38" s="7" t="s">
        <v>115</v>
      </c>
      <c r="B38" s="40">
        <v>0</v>
      </c>
      <c r="C38">
        <f t="shared" si="1"/>
        <v>454</v>
      </c>
      <c r="D38" s="7" t="s">
        <v>105</v>
      </c>
      <c r="E38">
        <f t="shared" si="0"/>
        <v>40</v>
      </c>
      <c r="G38" s="7" t="s">
        <v>99</v>
      </c>
      <c r="H38" s="40">
        <v>491</v>
      </c>
      <c r="I38">
        <f t="shared" si="2"/>
        <v>178</v>
      </c>
      <c r="J38" s="7" t="s">
        <v>99</v>
      </c>
      <c r="K38" s="7"/>
      <c r="L38">
        <f t="shared" si="5"/>
        <v>491</v>
      </c>
      <c r="M38">
        <f t="shared" si="6"/>
        <v>144</v>
      </c>
      <c r="N38" s="7" t="s">
        <v>99</v>
      </c>
      <c r="O38" s="40">
        <v>1</v>
      </c>
      <c r="T38" t="e">
        <f t="shared" si="3"/>
        <v>#REF!</v>
      </c>
      <c r="U38" s="7" t="s">
        <v>60</v>
      </c>
      <c r="V38" s="40">
        <v>2231</v>
      </c>
      <c r="Y38">
        <f t="shared" si="4"/>
        <v>14</v>
      </c>
      <c r="Z38" s="7" t="s">
        <v>146</v>
      </c>
      <c r="AA38" s="40">
        <v>1414</v>
      </c>
      <c r="AL38" s="7" t="s">
        <v>1084</v>
      </c>
      <c r="AM38" s="40">
        <v>10714</v>
      </c>
    </row>
    <row r="39" spans="1:45" x14ac:dyDescent="0.25">
      <c r="A39" s="7" t="s">
        <v>116</v>
      </c>
      <c r="B39" s="40">
        <v>1930</v>
      </c>
      <c r="C39">
        <f t="shared" si="1"/>
        <v>66</v>
      </c>
      <c r="D39" s="7" t="s">
        <v>107</v>
      </c>
      <c r="E39">
        <f t="shared" si="0"/>
        <v>500</v>
      </c>
      <c r="G39" s="7" t="s">
        <v>101</v>
      </c>
      <c r="H39" s="40">
        <v>2</v>
      </c>
      <c r="I39">
        <f t="shared" si="2"/>
        <v>737</v>
      </c>
      <c r="J39" s="7" t="s">
        <v>101</v>
      </c>
      <c r="K39" s="7"/>
      <c r="L39">
        <f t="shared" si="5"/>
        <v>2</v>
      </c>
      <c r="M39">
        <f t="shared" si="6"/>
        <v>144</v>
      </c>
      <c r="N39" s="7" t="s">
        <v>101</v>
      </c>
      <c r="O39" s="40">
        <v>1</v>
      </c>
      <c r="T39" t="e">
        <f t="shared" si="3"/>
        <v>#REF!</v>
      </c>
      <c r="U39" s="7" t="s">
        <v>181</v>
      </c>
      <c r="V39" s="40">
        <v>2591</v>
      </c>
      <c r="Y39">
        <f t="shared" si="4"/>
        <v>712</v>
      </c>
      <c r="Z39" s="7" t="s">
        <v>121</v>
      </c>
      <c r="AA39" s="40">
        <v>0</v>
      </c>
      <c r="AL39" s="7" t="s">
        <v>1140</v>
      </c>
      <c r="AM39" s="40">
        <v>6759</v>
      </c>
    </row>
    <row r="40" spans="1:45" x14ac:dyDescent="0.25">
      <c r="A40" s="7" t="s">
        <v>118</v>
      </c>
      <c r="B40" s="40">
        <v>0</v>
      </c>
      <c r="C40">
        <f t="shared" si="1"/>
        <v>378</v>
      </c>
      <c r="D40" s="7" t="s">
        <v>108</v>
      </c>
      <c r="E40">
        <f t="shared" si="0"/>
        <v>60</v>
      </c>
      <c r="G40" s="7" t="s">
        <v>102</v>
      </c>
      <c r="H40" s="40">
        <v>89</v>
      </c>
      <c r="I40">
        <f t="shared" si="2"/>
        <v>470</v>
      </c>
      <c r="J40" s="7" t="s">
        <v>102</v>
      </c>
      <c r="K40" s="7"/>
      <c r="L40">
        <f t="shared" si="5"/>
        <v>89</v>
      </c>
      <c r="M40">
        <f t="shared" si="6"/>
        <v>144</v>
      </c>
      <c r="N40" s="7" t="s">
        <v>102</v>
      </c>
      <c r="O40" s="40">
        <v>1</v>
      </c>
      <c r="T40" t="e">
        <f t="shared" si="3"/>
        <v>#REF!</v>
      </c>
      <c r="U40" s="7" t="s">
        <v>66</v>
      </c>
      <c r="V40" s="40">
        <v>1942</v>
      </c>
      <c r="Y40">
        <f t="shared" si="4"/>
        <v>34</v>
      </c>
      <c r="Z40" s="7" t="s">
        <v>349</v>
      </c>
      <c r="AA40" s="40">
        <v>25</v>
      </c>
      <c r="AL40" s="7" t="s">
        <v>1141</v>
      </c>
      <c r="AM40" s="40">
        <v>2210</v>
      </c>
    </row>
    <row r="41" spans="1:45" x14ac:dyDescent="0.25">
      <c r="A41" s="7" t="s">
        <v>122</v>
      </c>
      <c r="B41" s="40">
        <v>254</v>
      </c>
      <c r="C41">
        <f t="shared" si="1"/>
        <v>19</v>
      </c>
      <c r="D41" s="7" t="s">
        <v>110</v>
      </c>
      <c r="E41">
        <f t="shared" si="0"/>
        <v>1500</v>
      </c>
      <c r="G41" s="7" t="s">
        <v>104</v>
      </c>
      <c r="H41" s="40">
        <v>0</v>
      </c>
      <c r="I41">
        <f t="shared" si="2"/>
        <v>754</v>
      </c>
      <c r="J41" s="7" t="s">
        <v>104</v>
      </c>
      <c r="K41" s="7"/>
      <c r="L41">
        <f t="shared" si="5"/>
        <v>0</v>
      </c>
      <c r="M41">
        <f t="shared" si="6"/>
        <v>144</v>
      </c>
      <c r="N41" s="7" t="s">
        <v>104</v>
      </c>
      <c r="O41" s="40">
        <v>1</v>
      </c>
      <c r="T41" t="e">
        <f t="shared" si="3"/>
        <v>#REF!</v>
      </c>
      <c r="U41" s="7" t="s">
        <v>69</v>
      </c>
      <c r="V41" s="40">
        <v>13290</v>
      </c>
      <c r="Y41">
        <f t="shared" si="4"/>
        <v>28</v>
      </c>
      <c r="Z41" s="7" t="s">
        <v>725</v>
      </c>
      <c r="AA41" s="40">
        <v>80</v>
      </c>
      <c r="AL41" s="7" t="s">
        <v>1085</v>
      </c>
      <c r="AM41" s="40">
        <v>5346</v>
      </c>
    </row>
    <row r="42" spans="1:45" x14ac:dyDescent="0.25">
      <c r="A42" s="7" t="s">
        <v>124</v>
      </c>
      <c r="B42" s="40">
        <v>15</v>
      </c>
      <c r="C42">
        <f t="shared" si="1"/>
        <v>446</v>
      </c>
      <c r="D42" s="7" t="s">
        <v>113</v>
      </c>
      <c r="E42">
        <f t="shared" si="0"/>
        <v>44</v>
      </c>
      <c r="G42" s="7" t="s">
        <v>105</v>
      </c>
      <c r="H42" s="40">
        <v>20</v>
      </c>
      <c r="I42">
        <f t="shared" si="2"/>
        <v>652</v>
      </c>
      <c r="J42" s="7" t="s">
        <v>105</v>
      </c>
      <c r="K42" s="7"/>
      <c r="L42">
        <f t="shared" si="5"/>
        <v>20</v>
      </c>
      <c r="M42">
        <f t="shared" si="6"/>
        <v>144</v>
      </c>
      <c r="N42" s="7" t="s">
        <v>105</v>
      </c>
      <c r="O42" s="40">
        <v>1</v>
      </c>
      <c r="T42" t="e">
        <f t="shared" si="3"/>
        <v>#REF!</v>
      </c>
      <c r="U42" s="7" t="s">
        <v>112</v>
      </c>
      <c r="V42" s="40">
        <v>9638</v>
      </c>
      <c r="Y42">
        <f t="shared" si="4"/>
        <v>18</v>
      </c>
      <c r="Z42" s="7" t="s">
        <v>150</v>
      </c>
      <c r="AA42" s="40">
        <v>400</v>
      </c>
      <c r="AL42" s="7" t="s">
        <v>1142</v>
      </c>
      <c r="AM42" s="40">
        <v>3521</v>
      </c>
    </row>
    <row r="43" spans="1:45" x14ac:dyDescent="0.25">
      <c r="A43" s="7" t="s">
        <v>127</v>
      </c>
      <c r="B43" s="40">
        <v>30</v>
      </c>
      <c r="C43">
        <f t="shared" si="1"/>
        <v>683</v>
      </c>
      <c r="D43" s="7" t="s">
        <v>115</v>
      </c>
      <c r="E43">
        <f t="shared" si="0"/>
        <v>0</v>
      </c>
      <c r="G43" s="7" t="s">
        <v>107</v>
      </c>
      <c r="H43" s="40">
        <v>3000</v>
      </c>
      <c r="I43">
        <f t="shared" si="2"/>
        <v>33</v>
      </c>
      <c r="J43" s="7" t="s">
        <v>107</v>
      </c>
      <c r="K43" s="7"/>
      <c r="L43">
        <f t="shared" si="5"/>
        <v>3000</v>
      </c>
      <c r="M43">
        <f t="shared" si="6"/>
        <v>28</v>
      </c>
      <c r="N43" s="7" t="s">
        <v>107</v>
      </c>
      <c r="O43" s="40">
        <v>2</v>
      </c>
      <c r="Y43">
        <f t="shared" si="4"/>
        <v>29</v>
      </c>
      <c r="Z43" s="7" t="s">
        <v>289</v>
      </c>
      <c r="AA43" s="40">
        <v>75</v>
      </c>
      <c r="AL43" s="7" t="s">
        <v>1086</v>
      </c>
      <c r="AM43" s="40">
        <v>2300</v>
      </c>
    </row>
    <row r="44" spans="1:45" x14ac:dyDescent="0.25">
      <c r="A44" s="7" t="s">
        <v>128</v>
      </c>
      <c r="B44" s="40">
        <v>0</v>
      </c>
      <c r="C44">
        <f t="shared" si="1"/>
        <v>17</v>
      </c>
      <c r="D44" s="7" t="s">
        <v>116</v>
      </c>
      <c r="E44">
        <f t="shared" si="0"/>
        <v>1930</v>
      </c>
      <c r="G44" s="7" t="s">
        <v>108</v>
      </c>
      <c r="H44" s="40">
        <v>0</v>
      </c>
      <c r="I44">
        <f t="shared" si="2"/>
        <v>754</v>
      </c>
      <c r="J44" s="7" t="s">
        <v>108</v>
      </c>
      <c r="K44" s="7"/>
      <c r="L44">
        <f t="shared" si="5"/>
        <v>0</v>
      </c>
      <c r="M44">
        <f t="shared" si="6"/>
        <v>144</v>
      </c>
      <c r="N44" s="7" t="s">
        <v>108</v>
      </c>
      <c r="O44" s="40">
        <v>1</v>
      </c>
      <c r="Y44">
        <f t="shared" si="4"/>
        <v>6</v>
      </c>
      <c r="Z44" s="7" t="s">
        <v>111</v>
      </c>
      <c r="AA44" s="40">
        <v>5550</v>
      </c>
      <c r="AL44" s="7" t="s">
        <v>1143</v>
      </c>
      <c r="AM44" s="40">
        <v>10501</v>
      </c>
    </row>
    <row r="45" spans="1:45" x14ac:dyDescent="0.25">
      <c r="A45" s="7" t="s">
        <v>132</v>
      </c>
      <c r="B45" s="40">
        <v>0</v>
      </c>
      <c r="C45">
        <f t="shared" si="1"/>
        <v>683</v>
      </c>
      <c r="D45" s="7" t="s">
        <v>118</v>
      </c>
      <c r="E45">
        <f t="shared" si="0"/>
        <v>0</v>
      </c>
      <c r="G45" s="7" t="s">
        <v>110</v>
      </c>
      <c r="H45" s="40">
        <v>0</v>
      </c>
      <c r="I45">
        <f t="shared" si="2"/>
        <v>754</v>
      </c>
      <c r="J45" s="7" t="s">
        <v>110</v>
      </c>
      <c r="K45" s="7"/>
      <c r="L45">
        <f t="shared" si="5"/>
        <v>0</v>
      </c>
      <c r="M45">
        <f t="shared" si="6"/>
        <v>144</v>
      </c>
      <c r="N45" s="7" t="s">
        <v>110</v>
      </c>
      <c r="O45" s="40">
        <v>1</v>
      </c>
      <c r="U45" s="6" t="s">
        <v>2</v>
      </c>
      <c r="V45" t="s">
        <v>1064</v>
      </c>
      <c r="Y45">
        <f t="shared" si="4"/>
        <v>22</v>
      </c>
      <c r="Z45" s="7" t="s">
        <v>780</v>
      </c>
      <c r="AA45" s="40">
        <v>250</v>
      </c>
      <c r="AL45" s="7" t="s">
        <v>1144</v>
      </c>
      <c r="AM45" s="40">
        <v>1947</v>
      </c>
    </row>
    <row r="46" spans="1:45" x14ac:dyDescent="0.25">
      <c r="A46" s="7" t="s">
        <v>136</v>
      </c>
      <c r="B46" s="40">
        <v>67</v>
      </c>
      <c r="C46">
        <f t="shared" si="1"/>
        <v>120</v>
      </c>
      <c r="D46" s="7" t="s">
        <v>122</v>
      </c>
      <c r="E46">
        <f t="shared" si="0"/>
        <v>254</v>
      </c>
      <c r="G46" s="7" t="s">
        <v>113</v>
      </c>
      <c r="H46" s="40">
        <v>9</v>
      </c>
      <c r="I46">
        <f t="shared" si="2"/>
        <v>704</v>
      </c>
      <c r="J46" s="7" t="s">
        <v>113</v>
      </c>
      <c r="K46" s="7"/>
      <c r="L46">
        <f t="shared" si="5"/>
        <v>9</v>
      </c>
      <c r="M46">
        <f t="shared" si="6"/>
        <v>144</v>
      </c>
      <c r="N46" s="7" t="s">
        <v>113</v>
      </c>
      <c r="O46" s="40">
        <v>1</v>
      </c>
      <c r="U46" s="7" t="s">
        <v>41</v>
      </c>
      <c r="V46" s="40">
        <v>30545</v>
      </c>
      <c r="Y46">
        <f t="shared" si="4"/>
        <v>4</v>
      </c>
      <c r="Z46" s="7" t="s">
        <v>79</v>
      </c>
      <c r="AA46" s="40">
        <v>10124</v>
      </c>
    </row>
    <row r="47" spans="1:45" x14ac:dyDescent="0.25">
      <c r="A47" s="7" t="s">
        <v>137</v>
      </c>
      <c r="B47" s="40">
        <v>46</v>
      </c>
      <c r="C47">
        <f t="shared" si="1"/>
        <v>622</v>
      </c>
      <c r="D47" s="7" t="s">
        <v>124</v>
      </c>
      <c r="E47">
        <f t="shared" si="0"/>
        <v>15</v>
      </c>
      <c r="G47" s="7" t="s">
        <v>115</v>
      </c>
      <c r="H47" s="40">
        <v>18</v>
      </c>
      <c r="I47">
        <f t="shared" si="2"/>
        <v>661</v>
      </c>
      <c r="J47" s="7" t="s">
        <v>115</v>
      </c>
      <c r="K47" s="7"/>
      <c r="L47">
        <f t="shared" si="5"/>
        <v>18</v>
      </c>
      <c r="M47">
        <f t="shared" si="6"/>
        <v>144</v>
      </c>
      <c r="N47" s="7" t="s">
        <v>115</v>
      </c>
      <c r="O47" s="40">
        <v>1</v>
      </c>
      <c r="U47" s="7" t="s">
        <v>34</v>
      </c>
      <c r="V47" s="40">
        <v>20608</v>
      </c>
      <c r="Y47">
        <f t="shared" si="4"/>
        <v>712</v>
      </c>
      <c r="Z47" s="7" t="s">
        <v>765</v>
      </c>
      <c r="AA47" s="40">
        <v>0</v>
      </c>
    </row>
    <row r="48" spans="1:45" x14ac:dyDescent="0.25">
      <c r="A48" s="7" t="s">
        <v>140</v>
      </c>
      <c r="B48" s="40">
        <v>100</v>
      </c>
      <c r="C48">
        <f t="shared" si="1"/>
        <v>512</v>
      </c>
      <c r="D48" s="7" t="s">
        <v>127</v>
      </c>
      <c r="E48">
        <f t="shared" si="0"/>
        <v>30</v>
      </c>
      <c r="G48" s="7" t="s">
        <v>116</v>
      </c>
      <c r="H48" s="40">
        <v>11800</v>
      </c>
      <c r="I48">
        <f t="shared" si="2"/>
        <v>13</v>
      </c>
      <c r="J48" s="7" t="s">
        <v>116</v>
      </c>
      <c r="K48" s="7"/>
      <c r="L48">
        <f t="shared" si="5"/>
        <v>11800</v>
      </c>
      <c r="M48">
        <f t="shared" si="6"/>
        <v>28</v>
      </c>
      <c r="N48" s="7" t="s">
        <v>116</v>
      </c>
      <c r="O48" s="40">
        <v>2</v>
      </c>
      <c r="U48" s="7" t="s">
        <v>64</v>
      </c>
      <c r="V48" s="40">
        <v>14045</v>
      </c>
      <c r="Y48">
        <f t="shared" si="4"/>
        <v>17</v>
      </c>
      <c r="Z48" s="7" t="s">
        <v>238</v>
      </c>
      <c r="AA48" s="40">
        <v>545</v>
      </c>
    </row>
    <row r="49" spans="1:38" x14ac:dyDescent="0.25">
      <c r="A49" s="7" t="s">
        <v>141</v>
      </c>
      <c r="B49" s="40">
        <v>80</v>
      </c>
      <c r="C49">
        <f t="shared" si="1"/>
        <v>683</v>
      </c>
      <c r="D49" s="7" t="s">
        <v>128</v>
      </c>
      <c r="E49">
        <f t="shared" si="0"/>
        <v>0</v>
      </c>
      <c r="G49" s="7" t="s">
        <v>118</v>
      </c>
      <c r="H49" s="40">
        <v>218</v>
      </c>
      <c r="I49">
        <f t="shared" si="2"/>
        <v>318</v>
      </c>
      <c r="J49" s="7" t="s">
        <v>118</v>
      </c>
      <c r="K49" s="7"/>
      <c r="L49">
        <f t="shared" si="5"/>
        <v>218</v>
      </c>
      <c r="M49">
        <f t="shared" si="6"/>
        <v>28</v>
      </c>
      <c r="N49" s="7" t="s">
        <v>118</v>
      </c>
      <c r="O49" s="40">
        <v>2</v>
      </c>
      <c r="U49" s="7" t="s">
        <v>309</v>
      </c>
      <c r="V49" s="40">
        <v>13394</v>
      </c>
      <c r="Y49">
        <f t="shared" si="4"/>
        <v>8</v>
      </c>
      <c r="Z49" s="7" t="s">
        <v>200</v>
      </c>
      <c r="AA49" s="40">
        <v>3671</v>
      </c>
    </row>
    <row r="50" spans="1:38" x14ac:dyDescent="0.25">
      <c r="A50" s="7" t="s">
        <v>143</v>
      </c>
      <c r="B50" s="40">
        <v>20</v>
      </c>
      <c r="C50">
        <f t="shared" si="1"/>
        <v>683</v>
      </c>
      <c r="D50" s="7" t="s">
        <v>132</v>
      </c>
      <c r="E50">
        <f t="shared" si="0"/>
        <v>0</v>
      </c>
      <c r="G50" s="7" t="s">
        <v>122</v>
      </c>
      <c r="H50" s="40">
        <v>1400</v>
      </c>
      <c r="I50">
        <f t="shared" si="2"/>
        <v>73</v>
      </c>
      <c r="J50" s="7" t="s">
        <v>122</v>
      </c>
      <c r="K50" s="7"/>
      <c r="L50">
        <f t="shared" si="5"/>
        <v>1400</v>
      </c>
      <c r="M50">
        <f t="shared" si="6"/>
        <v>144</v>
      </c>
      <c r="N50" s="7" t="s">
        <v>122</v>
      </c>
      <c r="O50" s="40">
        <v>1</v>
      </c>
      <c r="U50" s="7" t="s">
        <v>69</v>
      </c>
      <c r="V50" s="40">
        <v>13290</v>
      </c>
      <c r="Y50">
        <f t="shared" si="4"/>
        <v>1</v>
      </c>
      <c r="Z50" s="7" t="s">
        <v>19</v>
      </c>
      <c r="AA50" s="40">
        <v>130761</v>
      </c>
    </row>
    <row r="51" spans="1:38" x14ac:dyDescent="0.25">
      <c r="A51" s="7" t="s">
        <v>144</v>
      </c>
      <c r="B51" s="40">
        <v>400</v>
      </c>
      <c r="C51">
        <f t="shared" si="1"/>
        <v>365</v>
      </c>
      <c r="D51" s="7" t="s">
        <v>136</v>
      </c>
      <c r="E51">
        <f t="shared" si="0"/>
        <v>67</v>
      </c>
      <c r="G51" s="7" t="s">
        <v>124</v>
      </c>
      <c r="H51" s="40">
        <v>7</v>
      </c>
      <c r="I51">
        <f t="shared" si="2"/>
        <v>713</v>
      </c>
      <c r="J51" s="7" t="s">
        <v>124</v>
      </c>
      <c r="K51" s="7"/>
      <c r="L51">
        <f t="shared" si="5"/>
        <v>7</v>
      </c>
      <c r="M51">
        <f t="shared" si="6"/>
        <v>144</v>
      </c>
      <c r="N51" s="7" t="s">
        <v>124</v>
      </c>
      <c r="O51" s="40">
        <v>1</v>
      </c>
      <c r="U51" s="7" t="s">
        <v>161</v>
      </c>
      <c r="V51" s="40">
        <v>13159</v>
      </c>
      <c r="Y51">
        <f t="shared" si="4"/>
        <v>712</v>
      </c>
    </row>
    <row r="52" spans="1:38" x14ac:dyDescent="0.25">
      <c r="A52" s="7" t="s">
        <v>147</v>
      </c>
      <c r="B52" s="40">
        <v>176</v>
      </c>
      <c r="C52">
        <f t="shared" si="1"/>
        <v>440</v>
      </c>
      <c r="D52" s="7" t="s">
        <v>137</v>
      </c>
      <c r="E52">
        <f t="shared" si="0"/>
        <v>46</v>
      </c>
      <c r="G52" s="7" t="s">
        <v>127</v>
      </c>
      <c r="H52" s="40">
        <v>33</v>
      </c>
      <c r="I52">
        <f t="shared" si="2"/>
        <v>605</v>
      </c>
      <c r="J52" s="7" t="s">
        <v>127</v>
      </c>
      <c r="K52" s="7"/>
      <c r="L52">
        <f t="shared" si="5"/>
        <v>33</v>
      </c>
      <c r="M52">
        <f t="shared" si="6"/>
        <v>144</v>
      </c>
      <c r="N52" s="7" t="s">
        <v>127</v>
      </c>
      <c r="O52" s="40">
        <v>1</v>
      </c>
      <c r="U52" s="7" t="s">
        <v>82</v>
      </c>
      <c r="V52" s="40">
        <v>12045</v>
      </c>
      <c r="Y52">
        <f t="shared" si="4"/>
        <v>712</v>
      </c>
    </row>
    <row r="53" spans="1:38" x14ac:dyDescent="0.25">
      <c r="A53" s="7" t="s">
        <v>148</v>
      </c>
      <c r="B53" s="40">
        <v>400</v>
      </c>
      <c r="C53">
        <f t="shared" si="1"/>
        <v>254</v>
      </c>
      <c r="D53" s="7" t="s">
        <v>140</v>
      </c>
      <c r="E53">
        <f t="shared" si="0"/>
        <v>100</v>
      </c>
      <c r="G53" s="7" t="s">
        <v>128</v>
      </c>
      <c r="H53" s="40">
        <v>0</v>
      </c>
      <c r="I53">
        <f t="shared" si="2"/>
        <v>754</v>
      </c>
      <c r="J53" s="7" t="s">
        <v>128</v>
      </c>
      <c r="K53" s="7"/>
      <c r="L53">
        <f t="shared" si="5"/>
        <v>0</v>
      </c>
      <c r="M53">
        <f t="shared" si="6"/>
        <v>28</v>
      </c>
      <c r="N53" s="7" t="s">
        <v>128</v>
      </c>
      <c r="O53" s="40">
        <v>2</v>
      </c>
      <c r="U53" s="7" t="s">
        <v>112</v>
      </c>
      <c r="V53" s="40">
        <v>9638</v>
      </c>
      <c r="Y53">
        <f t="shared" si="4"/>
        <v>712</v>
      </c>
      <c r="AC53" s="6" t="s">
        <v>10</v>
      </c>
      <c r="AD53" t="s">
        <v>1064</v>
      </c>
    </row>
    <row r="54" spans="1:38" x14ac:dyDescent="0.25">
      <c r="A54" s="7" t="s">
        <v>151</v>
      </c>
      <c r="B54" s="40">
        <v>23</v>
      </c>
      <c r="C54">
        <f t="shared" si="1"/>
        <v>322</v>
      </c>
      <c r="D54" s="7" t="s">
        <v>141</v>
      </c>
      <c r="E54">
        <f t="shared" si="0"/>
        <v>80</v>
      </c>
      <c r="G54" s="7" t="s">
        <v>132</v>
      </c>
      <c r="H54" s="40">
        <v>420</v>
      </c>
      <c r="I54">
        <f t="shared" si="2"/>
        <v>200</v>
      </c>
      <c r="J54" s="7" t="s">
        <v>132</v>
      </c>
      <c r="K54" s="7"/>
      <c r="L54">
        <f t="shared" si="5"/>
        <v>420</v>
      </c>
      <c r="M54">
        <f t="shared" si="6"/>
        <v>144</v>
      </c>
      <c r="N54" s="7" t="s">
        <v>132</v>
      </c>
      <c r="O54" s="40">
        <v>1</v>
      </c>
      <c r="U54" s="7" t="s">
        <v>46</v>
      </c>
      <c r="V54" s="40">
        <v>9397</v>
      </c>
      <c r="Y54">
        <f t="shared" si="4"/>
        <v>712</v>
      </c>
      <c r="AC54" s="7" t="s">
        <v>48</v>
      </c>
      <c r="AD54" s="40">
        <v>5647</v>
      </c>
    </row>
    <row r="55" spans="1:38" x14ac:dyDescent="0.25">
      <c r="A55" s="7" t="s">
        <v>152</v>
      </c>
      <c r="B55" s="40">
        <v>47</v>
      </c>
      <c r="C55">
        <f t="shared" si="1"/>
        <v>588</v>
      </c>
      <c r="D55" s="7" t="s">
        <v>143</v>
      </c>
      <c r="E55">
        <f t="shared" si="0"/>
        <v>20</v>
      </c>
      <c r="G55" s="7" t="s">
        <v>136</v>
      </c>
      <c r="H55" s="40">
        <v>245</v>
      </c>
      <c r="I55">
        <f t="shared" si="2"/>
        <v>292</v>
      </c>
      <c r="J55" s="7" t="s">
        <v>136</v>
      </c>
      <c r="K55" s="7"/>
      <c r="L55">
        <f t="shared" si="5"/>
        <v>245</v>
      </c>
      <c r="M55">
        <f t="shared" si="6"/>
        <v>144</v>
      </c>
      <c r="N55" s="7" t="s">
        <v>136</v>
      </c>
      <c r="O55" s="40">
        <v>1</v>
      </c>
      <c r="U55" s="7" t="s">
        <v>174</v>
      </c>
      <c r="V55" s="40">
        <v>9053</v>
      </c>
      <c r="Y55">
        <f t="shared" si="4"/>
        <v>712</v>
      </c>
      <c r="AC55" s="7" t="s">
        <v>83</v>
      </c>
      <c r="AD55" s="40">
        <v>13292</v>
      </c>
    </row>
    <row r="56" spans="1:38" x14ac:dyDescent="0.25">
      <c r="A56" s="7" t="s">
        <v>153</v>
      </c>
      <c r="B56" s="40">
        <v>18150</v>
      </c>
      <c r="C56">
        <f t="shared" si="1"/>
        <v>83</v>
      </c>
      <c r="D56" s="7" t="s">
        <v>144</v>
      </c>
      <c r="E56">
        <f t="shared" si="0"/>
        <v>400</v>
      </c>
      <c r="G56" s="7" t="s">
        <v>137</v>
      </c>
      <c r="H56" s="40">
        <v>0</v>
      </c>
      <c r="I56">
        <f t="shared" si="2"/>
        <v>754</v>
      </c>
      <c r="J56" s="7" t="s">
        <v>137</v>
      </c>
      <c r="K56" s="7"/>
      <c r="L56">
        <f t="shared" si="5"/>
        <v>0</v>
      </c>
      <c r="M56">
        <f t="shared" si="6"/>
        <v>144</v>
      </c>
      <c r="N56" s="7" t="s">
        <v>137</v>
      </c>
      <c r="O56" s="40">
        <v>1</v>
      </c>
      <c r="Y56">
        <f t="shared" si="4"/>
        <v>712</v>
      </c>
      <c r="AC56" s="7" t="s">
        <v>335</v>
      </c>
      <c r="AD56" s="40">
        <v>4765</v>
      </c>
    </row>
    <row r="57" spans="1:38" x14ac:dyDescent="0.25">
      <c r="A57" s="7" t="s">
        <v>154</v>
      </c>
      <c r="B57" s="40">
        <v>0</v>
      </c>
      <c r="C57">
        <f t="shared" si="1"/>
        <v>175</v>
      </c>
      <c r="D57" s="7" t="s">
        <v>147</v>
      </c>
      <c r="E57">
        <f t="shared" si="0"/>
        <v>176</v>
      </c>
      <c r="G57" s="7" t="s">
        <v>140</v>
      </c>
      <c r="H57" s="40">
        <v>160</v>
      </c>
      <c r="I57">
        <f t="shared" si="2"/>
        <v>375</v>
      </c>
      <c r="J57" s="7" t="s">
        <v>140</v>
      </c>
      <c r="K57" s="7"/>
      <c r="L57">
        <f t="shared" si="5"/>
        <v>160</v>
      </c>
      <c r="M57">
        <f t="shared" si="6"/>
        <v>144</v>
      </c>
      <c r="N57" s="7" t="s">
        <v>140</v>
      </c>
      <c r="O57" s="40">
        <v>1</v>
      </c>
      <c r="Y57">
        <f t="shared" si="4"/>
        <v>712</v>
      </c>
      <c r="AC57" s="7" t="s">
        <v>111</v>
      </c>
      <c r="AD57" s="40">
        <v>5550</v>
      </c>
    </row>
    <row r="58" spans="1:38" x14ac:dyDescent="0.25">
      <c r="A58" s="7" t="s">
        <v>156</v>
      </c>
      <c r="B58" s="40">
        <v>50</v>
      </c>
      <c r="C58">
        <f t="shared" si="1"/>
        <v>83</v>
      </c>
      <c r="D58" s="7" t="s">
        <v>148</v>
      </c>
      <c r="E58">
        <f t="shared" si="0"/>
        <v>400</v>
      </c>
      <c r="G58" s="7" t="s">
        <v>141</v>
      </c>
      <c r="H58" s="40">
        <v>293</v>
      </c>
      <c r="I58">
        <f t="shared" si="2"/>
        <v>261</v>
      </c>
      <c r="J58" s="7" t="s">
        <v>141</v>
      </c>
      <c r="K58" s="7"/>
      <c r="L58">
        <f t="shared" si="5"/>
        <v>293</v>
      </c>
      <c r="M58">
        <f t="shared" si="6"/>
        <v>144</v>
      </c>
      <c r="N58" s="7" t="s">
        <v>141</v>
      </c>
      <c r="O58" s="40">
        <v>1</v>
      </c>
      <c r="Y58">
        <f t="shared" si="4"/>
        <v>712</v>
      </c>
      <c r="AC58" s="7" t="s">
        <v>79</v>
      </c>
      <c r="AD58" s="40">
        <v>10124</v>
      </c>
    </row>
    <row r="59" spans="1:38" x14ac:dyDescent="0.25">
      <c r="A59" s="7" t="s">
        <v>158</v>
      </c>
      <c r="B59" s="40">
        <v>700</v>
      </c>
      <c r="C59">
        <f t="shared" si="1"/>
        <v>570</v>
      </c>
      <c r="D59" s="7" t="s">
        <v>151</v>
      </c>
      <c r="E59">
        <f t="shared" si="0"/>
        <v>23</v>
      </c>
      <c r="G59" s="7" t="s">
        <v>143</v>
      </c>
      <c r="H59" s="40">
        <v>175</v>
      </c>
      <c r="I59">
        <f t="shared" si="2"/>
        <v>360</v>
      </c>
      <c r="J59" s="7" t="s">
        <v>143</v>
      </c>
      <c r="K59" s="7"/>
      <c r="L59">
        <f t="shared" si="5"/>
        <v>175</v>
      </c>
      <c r="M59">
        <f t="shared" si="6"/>
        <v>144</v>
      </c>
      <c r="N59" s="7" t="s">
        <v>143</v>
      </c>
      <c r="O59" s="40">
        <v>1</v>
      </c>
      <c r="Y59">
        <f t="shared" si="4"/>
        <v>712</v>
      </c>
      <c r="AC59" s="7" t="s">
        <v>19</v>
      </c>
      <c r="AD59" s="40">
        <v>130761</v>
      </c>
      <c r="AK59" s="6" t="s">
        <v>10</v>
      </c>
      <c r="AL59" t="s">
        <v>1064</v>
      </c>
    </row>
    <row r="60" spans="1:38" x14ac:dyDescent="0.25">
      <c r="A60" s="7" t="s">
        <v>160</v>
      </c>
      <c r="B60" s="40">
        <v>50</v>
      </c>
      <c r="C60">
        <f t="shared" si="1"/>
        <v>435</v>
      </c>
      <c r="D60" s="7" t="s">
        <v>152</v>
      </c>
      <c r="E60">
        <f t="shared" si="0"/>
        <v>47</v>
      </c>
      <c r="G60" s="7" t="s">
        <v>144</v>
      </c>
      <c r="H60" s="40">
        <v>16</v>
      </c>
      <c r="I60">
        <f t="shared" si="2"/>
        <v>671</v>
      </c>
      <c r="J60" s="7" t="s">
        <v>144</v>
      </c>
      <c r="K60" s="7"/>
      <c r="L60">
        <f t="shared" si="5"/>
        <v>16</v>
      </c>
      <c r="M60">
        <f t="shared" si="6"/>
        <v>144</v>
      </c>
      <c r="N60" s="7" t="s">
        <v>144</v>
      </c>
      <c r="O60" s="40">
        <v>1</v>
      </c>
      <c r="Y60">
        <f t="shared" si="4"/>
        <v>712</v>
      </c>
      <c r="AK60" s="7" t="s">
        <v>48</v>
      </c>
      <c r="AL60" s="40">
        <v>5647</v>
      </c>
    </row>
    <row r="61" spans="1:38" x14ac:dyDescent="0.25">
      <c r="A61" s="7" t="s">
        <v>162</v>
      </c>
      <c r="B61" s="40">
        <v>130</v>
      </c>
      <c r="C61">
        <f t="shared" si="1"/>
        <v>1</v>
      </c>
      <c r="D61" s="7" t="s">
        <v>153</v>
      </c>
      <c r="E61">
        <f t="shared" si="0"/>
        <v>18150</v>
      </c>
      <c r="G61" s="7" t="s">
        <v>147</v>
      </c>
      <c r="H61" s="40">
        <v>348</v>
      </c>
      <c r="I61">
        <f t="shared" si="2"/>
        <v>232</v>
      </c>
      <c r="J61" s="7" t="s">
        <v>147</v>
      </c>
      <c r="K61" s="7"/>
      <c r="L61">
        <f t="shared" si="5"/>
        <v>348</v>
      </c>
      <c r="M61">
        <f t="shared" si="6"/>
        <v>28</v>
      </c>
      <c r="N61" s="7" t="s">
        <v>147</v>
      </c>
      <c r="O61" s="40">
        <v>2</v>
      </c>
      <c r="Y61">
        <f t="shared" si="4"/>
        <v>712</v>
      </c>
      <c r="AK61" s="7" t="s">
        <v>83</v>
      </c>
      <c r="AL61" s="40">
        <v>13292</v>
      </c>
    </row>
    <row r="62" spans="1:38" x14ac:dyDescent="0.25">
      <c r="A62" s="7" t="s">
        <v>163</v>
      </c>
      <c r="B62" s="40">
        <v>13</v>
      </c>
      <c r="C62">
        <f t="shared" si="1"/>
        <v>683</v>
      </c>
      <c r="D62" s="7" t="s">
        <v>154</v>
      </c>
      <c r="E62">
        <f t="shared" si="0"/>
        <v>0</v>
      </c>
      <c r="G62" s="7" t="s">
        <v>148</v>
      </c>
      <c r="H62" s="40">
        <v>60</v>
      </c>
      <c r="I62">
        <f t="shared" si="2"/>
        <v>525</v>
      </c>
      <c r="J62" s="7" t="s">
        <v>148</v>
      </c>
      <c r="K62" s="7"/>
      <c r="L62">
        <f t="shared" si="5"/>
        <v>60</v>
      </c>
      <c r="M62">
        <f t="shared" si="6"/>
        <v>144</v>
      </c>
      <c r="N62" s="7" t="s">
        <v>148</v>
      </c>
      <c r="O62" s="40">
        <v>1</v>
      </c>
      <c r="Y62">
        <f t="shared" si="4"/>
        <v>712</v>
      </c>
      <c r="AK62" s="7" t="s">
        <v>335</v>
      </c>
      <c r="AL62" s="40">
        <v>4765</v>
      </c>
    </row>
    <row r="63" spans="1:38" x14ac:dyDescent="0.25">
      <c r="A63" s="7" t="s">
        <v>164</v>
      </c>
      <c r="B63" s="40">
        <v>17</v>
      </c>
      <c r="C63">
        <f t="shared" si="1"/>
        <v>410</v>
      </c>
      <c r="D63" s="7" t="s">
        <v>156</v>
      </c>
      <c r="E63">
        <f t="shared" si="0"/>
        <v>50</v>
      </c>
      <c r="G63" s="7" t="s">
        <v>151</v>
      </c>
      <c r="H63" s="40">
        <v>202</v>
      </c>
      <c r="I63">
        <f t="shared" si="2"/>
        <v>330</v>
      </c>
      <c r="J63" s="7" t="s">
        <v>151</v>
      </c>
      <c r="K63" s="7"/>
      <c r="L63">
        <f t="shared" si="5"/>
        <v>202</v>
      </c>
      <c r="M63">
        <f t="shared" si="6"/>
        <v>144</v>
      </c>
      <c r="N63" s="7" t="s">
        <v>151</v>
      </c>
      <c r="O63" s="40">
        <v>1</v>
      </c>
      <c r="Y63">
        <f t="shared" si="4"/>
        <v>712</v>
      </c>
      <c r="AK63" s="7" t="s">
        <v>111</v>
      </c>
      <c r="AL63" s="40">
        <v>5550</v>
      </c>
    </row>
    <row r="64" spans="1:38" x14ac:dyDescent="0.25">
      <c r="A64" s="7" t="s">
        <v>165</v>
      </c>
      <c r="B64" s="40">
        <v>17</v>
      </c>
      <c r="C64">
        <f t="shared" si="1"/>
        <v>47</v>
      </c>
      <c r="D64" s="7" t="s">
        <v>158</v>
      </c>
      <c r="E64">
        <f t="shared" si="0"/>
        <v>700</v>
      </c>
      <c r="G64" s="7" t="s">
        <v>152</v>
      </c>
      <c r="H64" s="40">
        <v>356</v>
      </c>
      <c r="I64">
        <f t="shared" si="2"/>
        <v>224</v>
      </c>
      <c r="J64" s="7" t="s">
        <v>152</v>
      </c>
      <c r="K64" s="7"/>
      <c r="L64">
        <f t="shared" si="5"/>
        <v>356</v>
      </c>
      <c r="M64">
        <f t="shared" si="6"/>
        <v>144</v>
      </c>
      <c r="N64" s="7" t="s">
        <v>152</v>
      </c>
      <c r="O64" s="40">
        <v>1</v>
      </c>
      <c r="Y64">
        <f t="shared" si="4"/>
        <v>712</v>
      </c>
      <c r="AC64" s="7" t="s">
        <v>1087</v>
      </c>
      <c r="AD64">
        <v>13929</v>
      </c>
      <c r="AK64" s="7" t="s">
        <v>79</v>
      </c>
      <c r="AL64" s="40">
        <v>10124</v>
      </c>
    </row>
    <row r="65" spans="1:38" x14ac:dyDescent="0.25">
      <c r="A65" s="7" t="s">
        <v>166</v>
      </c>
      <c r="B65" s="40">
        <v>135</v>
      </c>
      <c r="C65">
        <f t="shared" si="1"/>
        <v>410</v>
      </c>
      <c r="D65" s="7" t="s">
        <v>160</v>
      </c>
      <c r="E65">
        <f t="shared" si="0"/>
        <v>50</v>
      </c>
      <c r="G65" s="7" t="s">
        <v>153</v>
      </c>
      <c r="H65" s="40">
        <v>324</v>
      </c>
      <c r="I65">
        <f t="shared" si="2"/>
        <v>244</v>
      </c>
      <c r="J65" s="7" t="s">
        <v>153</v>
      </c>
      <c r="K65" s="7"/>
      <c r="L65">
        <f t="shared" si="5"/>
        <v>324</v>
      </c>
      <c r="M65">
        <f t="shared" si="6"/>
        <v>9</v>
      </c>
      <c r="N65" s="7" t="s">
        <v>153</v>
      </c>
      <c r="O65" s="40">
        <v>3</v>
      </c>
      <c r="Y65">
        <f t="shared" si="4"/>
        <v>712</v>
      </c>
      <c r="AC65" s="7" t="s">
        <v>1088</v>
      </c>
      <c r="AD65">
        <v>4765</v>
      </c>
      <c r="AK65" s="7" t="s">
        <v>19</v>
      </c>
      <c r="AL65" s="40">
        <v>130761</v>
      </c>
    </row>
    <row r="66" spans="1:38" x14ac:dyDescent="0.25">
      <c r="A66" s="7" t="s">
        <v>168</v>
      </c>
      <c r="B66" s="40">
        <v>20</v>
      </c>
      <c r="C66">
        <f t="shared" si="1"/>
        <v>226</v>
      </c>
      <c r="D66" s="7" t="s">
        <v>162</v>
      </c>
      <c r="E66">
        <f t="shared" si="0"/>
        <v>130</v>
      </c>
      <c r="G66" s="7" t="s">
        <v>154</v>
      </c>
      <c r="H66" s="40">
        <v>328</v>
      </c>
      <c r="I66">
        <f t="shared" si="2"/>
        <v>241</v>
      </c>
      <c r="J66" s="7" t="s">
        <v>154</v>
      </c>
      <c r="K66" s="7"/>
      <c r="L66">
        <f t="shared" si="5"/>
        <v>328</v>
      </c>
      <c r="M66">
        <f t="shared" si="6"/>
        <v>144</v>
      </c>
      <c r="N66" s="7" t="s">
        <v>154</v>
      </c>
      <c r="O66" s="40">
        <v>1</v>
      </c>
      <c r="Y66">
        <f t="shared" si="4"/>
        <v>712</v>
      </c>
      <c r="AC66" s="7" t="s">
        <v>1089</v>
      </c>
      <c r="AD66">
        <v>5550</v>
      </c>
    </row>
    <row r="67" spans="1:38" x14ac:dyDescent="0.25">
      <c r="A67" s="7" t="s">
        <v>169</v>
      </c>
      <c r="B67" s="40">
        <v>35</v>
      </c>
      <c r="C67">
        <f t="shared" si="1"/>
        <v>634</v>
      </c>
      <c r="D67" s="7" t="s">
        <v>163</v>
      </c>
      <c r="E67">
        <f t="shared" si="0"/>
        <v>13</v>
      </c>
      <c r="G67" s="7" t="s">
        <v>156</v>
      </c>
      <c r="H67" s="40">
        <v>0</v>
      </c>
      <c r="I67">
        <f t="shared" si="2"/>
        <v>754</v>
      </c>
      <c r="J67" s="7" t="s">
        <v>156</v>
      </c>
      <c r="K67" s="7"/>
      <c r="L67">
        <f t="shared" si="5"/>
        <v>0</v>
      </c>
      <c r="M67">
        <f t="shared" si="6"/>
        <v>144</v>
      </c>
      <c r="N67" s="7" t="s">
        <v>156</v>
      </c>
      <c r="O67" s="40">
        <v>1</v>
      </c>
      <c r="Y67">
        <f t="shared" si="4"/>
        <v>712</v>
      </c>
      <c r="AC67" s="7" t="s">
        <v>1090</v>
      </c>
      <c r="AD67">
        <v>10124</v>
      </c>
    </row>
    <row r="68" spans="1:38" x14ac:dyDescent="0.25">
      <c r="A68" s="7" t="s">
        <v>171</v>
      </c>
      <c r="B68" s="40">
        <v>23</v>
      </c>
      <c r="C68">
        <f t="shared" si="1"/>
        <v>612</v>
      </c>
      <c r="D68" s="7" t="s">
        <v>164</v>
      </c>
      <c r="E68">
        <f t="shared" si="0"/>
        <v>17</v>
      </c>
      <c r="G68" s="7" t="s">
        <v>158</v>
      </c>
      <c r="H68" s="40">
        <v>0</v>
      </c>
      <c r="I68">
        <f t="shared" si="2"/>
        <v>754</v>
      </c>
      <c r="J68" s="7" t="s">
        <v>158</v>
      </c>
      <c r="K68" s="7"/>
      <c r="L68">
        <f t="shared" si="5"/>
        <v>0</v>
      </c>
      <c r="M68">
        <f t="shared" si="6"/>
        <v>144</v>
      </c>
      <c r="N68" s="7" t="s">
        <v>158</v>
      </c>
      <c r="O68" s="40">
        <v>1</v>
      </c>
      <c r="Y68">
        <f t="shared" si="4"/>
        <v>712</v>
      </c>
      <c r="AC68" s="7" t="s">
        <v>1091</v>
      </c>
      <c r="AD68">
        <v>130761</v>
      </c>
    </row>
    <row r="69" spans="1:38" x14ac:dyDescent="0.25">
      <c r="A69" s="7" t="s">
        <v>173</v>
      </c>
      <c r="B69" s="40">
        <v>11</v>
      </c>
      <c r="C69">
        <f t="shared" si="1"/>
        <v>612</v>
      </c>
      <c r="D69" s="7" t="s">
        <v>165</v>
      </c>
      <c r="E69">
        <f t="shared" si="0"/>
        <v>17</v>
      </c>
      <c r="G69" s="7" t="s">
        <v>160</v>
      </c>
      <c r="H69" s="40">
        <v>92</v>
      </c>
      <c r="I69">
        <f t="shared" si="2"/>
        <v>465</v>
      </c>
      <c r="J69" s="7" t="s">
        <v>160</v>
      </c>
      <c r="K69" s="7"/>
      <c r="L69">
        <f t="shared" si="5"/>
        <v>92</v>
      </c>
      <c r="M69">
        <f t="shared" si="6"/>
        <v>144</v>
      </c>
      <c r="N69" s="7" t="s">
        <v>160</v>
      </c>
      <c r="O69" s="40">
        <v>1</v>
      </c>
      <c r="Y69">
        <f t="shared" si="4"/>
        <v>712</v>
      </c>
    </row>
    <row r="70" spans="1:38" x14ac:dyDescent="0.25">
      <c r="A70" s="7" t="s">
        <v>175</v>
      </c>
      <c r="B70" s="40">
        <v>29</v>
      </c>
      <c r="C70">
        <f t="shared" si="1"/>
        <v>224</v>
      </c>
      <c r="D70" s="7" t="s">
        <v>166</v>
      </c>
      <c r="E70">
        <f t="shared" si="0"/>
        <v>135</v>
      </c>
      <c r="G70" s="7" t="s">
        <v>162</v>
      </c>
      <c r="H70" s="40">
        <v>566</v>
      </c>
      <c r="I70">
        <f t="shared" si="2"/>
        <v>158</v>
      </c>
      <c r="J70" s="7" t="s">
        <v>162</v>
      </c>
      <c r="K70" s="7"/>
      <c r="L70">
        <f t="shared" si="5"/>
        <v>566</v>
      </c>
      <c r="M70">
        <f t="shared" si="6"/>
        <v>28</v>
      </c>
      <c r="N70" s="7" t="s">
        <v>162</v>
      </c>
      <c r="O70" s="40">
        <v>2</v>
      </c>
      <c r="Y70">
        <f t="shared" si="4"/>
        <v>712</v>
      </c>
    </row>
    <row r="71" spans="1:38" x14ac:dyDescent="0.25">
      <c r="A71" s="7" t="s">
        <v>176</v>
      </c>
      <c r="B71" s="40">
        <v>0</v>
      </c>
      <c r="C71">
        <f t="shared" si="1"/>
        <v>588</v>
      </c>
      <c r="D71" s="7" t="s">
        <v>168</v>
      </c>
      <c r="E71">
        <f t="shared" si="0"/>
        <v>20</v>
      </c>
      <c r="G71" s="7" t="s">
        <v>163</v>
      </c>
      <c r="H71" s="40">
        <v>187</v>
      </c>
      <c r="I71">
        <f t="shared" si="2"/>
        <v>349</v>
      </c>
      <c r="J71" s="7" t="s">
        <v>163</v>
      </c>
      <c r="K71" s="7"/>
      <c r="L71">
        <f t="shared" si="5"/>
        <v>187</v>
      </c>
      <c r="M71">
        <f t="shared" si="6"/>
        <v>144</v>
      </c>
      <c r="N71" s="7" t="s">
        <v>163</v>
      </c>
      <c r="O71" s="40">
        <v>1</v>
      </c>
      <c r="Y71">
        <f t="shared" si="4"/>
        <v>712</v>
      </c>
    </row>
    <row r="72" spans="1:38" x14ac:dyDescent="0.25">
      <c r="A72" s="7" t="s">
        <v>177</v>
      </c>
      <c r="B72" s="40">
        <v>0</v>
      </c>
      <c r="C72">
        <f t="shared" si="1"/>
        <v>494</v>
      </c>
      <c r="D72" s="7" t="s">
        <v>169</v>
      </c>
      <c r="E72">
        <f t="shared" si="0"/>
        <v>35</v>
      </c>
      <c r="G72" s="7" t="s">
        <v>164</v>
      </c>
      <c r="H72" s="40">
        <v>25</v>
      </c>
      <c r="I72">
        <f t="shared" si="2"/>
        <v>631</v>
      </c>
      <c r="J72" s="7" t="s">
        <v>164</v>
      </c>
      <c r="K72" s="7"/>
      <c r="L72">
        <f t="shared" si="5"/>
        <v>25</v>
      </c>
      <c r="M72">
        <f t="shared" si="6"/>
        <v>144</v>
      </c>
      <c r="N72" s="7" t="s">
        <v>164</v>
      </c>
      <c r="O72" s="40">
        <v>1</v>
      </c>
      <c r="Y72">
        <f t="shared" si="4"/>
        <v>712</v>
      </c>
    </row>
    <row r="73" spans="1:38" x14ac:dyDescent="0.25">
      <c r="A73" s="7" t="s">
        <v>178</v>
      </c>
      <c r="B73" s="40">
        <v>80</v>
      </c>
      <c r="C73">
        <f t="shared" si="1"/>
        <v>570</v>
      </c>
      <c r="D73" s="7" t="s">
        <v>171</v>
      </c>
      <c r="E73">
        <f t="shared" ref="E73:E136" si="7">VLOOKUP(D:D,A68:B892,2,0)</f>
        <v>23</v>
      </c>
      <c r="G73" s="7" t="s">
        <v>165</v>
      </c>
      <c r="H73" s="40">
        <v>14</v>
      </c>
      <c r="I73">
        <f t="shared" si="2"/>
        <v>683</v>
      </c>
      <c r="J73" s="7" t="s">
        <v>165</v>
      </c>
      <c r="K73" s="7"/>
      <c r="L73">
        <f t="shared" si="5"/>
        <v>14</v>
      </c>
      <c r="M73">
        <f t="shared" si="6"/>
        <v>144</v>
      </c>
      <c r="N73" s="7" t="s">
        <v>165</v>
      </c>
      <c r="O73" s="40">
        <v>1</v>
      </c>
      <c r="Y73">
        <f t="shared" si="4"/>
        <v>712</v>
      </c>
    </row>
    <row r="74" spans="1:38" x14ac:dyDescent="0.25">
      <c r="A74" s="7" t="s">
        <v>179</v>
      </c>
      <c r="B74" s="40">
        <v>164</v>
      </c>
      <c r="C74">
        <f t="shared" ref="C74:C137" si="8">RANK(E:E,E:E)</f>
        <v>650</v>
      </c>
      <c r="D74" s="7" t="s">
        <v>173</v>
      </c>
      <c r="E74">
        <f t="shared" si="7"/>
        <v>11</v>
      </c>
      <c r="G74" s="7" t="s">
        <v>166</v>
      </c>
      <c r="H74" s="40">
        <v>181</v>
      </c>
      <c r="I74">
        <f t="shared" si="2"/>
        <v>354</v>
      </c>
      <c r="J74" s="7" t="s">
        <v>166</v>
      </c>
      <c r="K74" s="7"/>
      <c r="L74">
        <f t="shared" si="5"/>
        <v>181</v>
      </c>
      <c r="M74">
        <f t="shared" si="6"/>
        <v>144</v>
      </c>
      <c r="N74" s="7" t="s">
        <v>166</v>
      </c>
      <c r="O74" s="40">
        <v>1</v>
      </c>
      <c r="Y74">
        <f t="shared" si="4"/>
        <v>712</v>
      </c>
    </row>
    <row r="75" spans="1:38" x14ac:dyDescent="0.25">
      <c r="A75" s="7" t="s">
        <v>183</v>
      </c>
      <c r="B75" s="40">
        <v>300</v>
      </c>
      <c r="C75">
        <f t="shared" si="8"/>
        <v>541</v>
      </c>
      <c r="D75" s="7" t="s">
        <v>175</v>
      </c>
      <c r="E75">
        <f t="shared" si="7"/>
        <v>29</v>
      </c>
      <c r="G75" s="7" t="s">
        <v>168</v>
      </c>
      <c r="H75" s="40">
        <v>26</v>
      </c>
      <c r="I75">
        <f t="shared" si="2"/>
        <v>624</v>
      </c>
      <c r="J75" s="7" t="s">
        <v>168</v>
      </c>
      <c r="K75" s="7"/>
      <c r="L75">
        <f t="shared" si="5"/>
        <v>26</v>
      </c>
      <c r="M75">
        <f t="shared" si="6"/>
        <v>144</v>
      </c>
      <c r="N75" s="7" t="s">
        <v>168</v>
      </c>
      <c r="O75" s="40">
        <v>1</v>
      </c>
      <c r="Y75">
        <f t="shared" si="4"/>
        <v>712</v>
      </c>
    </row>
    <row r="76" spans="1:38" x14ac:dyDescent="0.25">
      <c r="A76" s="7" t="s">
        <v>184</v>
      </c>
      <c r="B76" s="40">
        <v>90</v>
      </c>
      <c r="C76">
        <f t="shared" si="8"/>
        <v>683</v>
      </c>
      <c r="D76" s="7" t="s">
        <v>176</v>
      </c>
      <c r="E76">
        <f t="shared" si="7"/>
        <v>0</v>
      </c>
      <c r="G76" s="7" t="s">
        <v>169</v>
      </c>
      <c r="H76" s="40">
        <v>64</v>
      </c>
      <c r="I76">
        <f t="shared" si="2"/>
        <v>516</v>
      </c>
      <c r="J76" s="7" t="s">
        <v>169</v>
      </c>
      <c r="K76" s="7"/>
      <c r="L76">
        <f t="shared" si="5"/>
        <v>64</v>
      </c>
      <c r="M76">
        <f t="shared" si="6"/>
        <v>144</v>
      </c>
      <c r="N76" s="7" t="s">
        <v>169</v>
      </c>
      <c r="O76" s="40">
        <v>1</v>
      </c>
      <c r="Y76">
        <f t="shared" si="4"/>
        <v>712</v>
      </c>
    </row>
    <row r="77" spans="1:38" x14ac:dyDescent="0.25">
      <c r="A77" s="7" t="s">
        <v>186</v>
      </c>
      <c r="B77" s="40">
        <v>80</v>
      </c>
      <c r="C77">
        <f t="shared" si="8"/>
        <v>683</v>
      </c>
      <c r="D77" s="7" t="s">
        <v>177</v>
      </c>
      <c r="E77">
        <f t="shared" si="7"/>
        <v>0</v>
      </c>
      <c r="G77" s="7" t="s">
        <v>171</v>
      </c>
      <c r="H77" s="40">
        <v>36</v>
      </c>
      <c r="I77">
        <f t="shared" ref="I77:I140" si="9">RANK(L:L,L:L)</f>
        <v>598</v>
      </c>
      <c r="J77" s="7" t="s">
        <v>171</v>
      </c>
      <c r="K77" s="7"/>
      <c r="L77">
        <f t="shared" si="5"/>
        <v>36</v>
      </c>
      <c r="M77">
        <f t="shared" si="6"/>
        <v>144</v>
      </c>
      <c r="N77" s="7" t="s">
        <v>171</v>
      </c>
      <c r="O77" s="40">
        <v>1</v>
      </c>
      <c r="Y77">
        <f t="shared" ref="Y77:Y140" si="10">RANK(AA:AA,AA:AA)</f>
        <v>712</v>
      </c>
    </row>
    <row r="78" spans="1:38" x14ac:dyDescent="0.25">
      <c r="A78" s="7" t="s">
        <v>188</v>
      </c>
      <c r="B78" s="40">
        <v>89</v>
      </c>
      <c r="C78">
        <f t="shared" si="8"/>
        <v>322</v>
      </c>
      <c r="D78" s="7" t="s">
        <v>178</v>
      </c>
      <c r="E78">
        <f t="shared" si="7"/>
        <v>80</v>
      </c>
      <c r="G78" s="7" t="s">
        <v>173</v>
      </c>
      <c r="H78" s="40">
        <v>15</v>
      </c>
      <c r="I78">
        <f t="shared" si="9"/>
        <v>679</v>
      </c>
      <c r="J78" s="7" t="s">
        <v>173</v>
      </c>
      <c r="K78" s="7"/>
      <c r="L78">
        <f t="shared" ref="L78:L141" si="11">VLOOKUP(G78,G77:H900,2,0)</f>
        <v>15</v>
      </c>
      <c r="M78">
        <f t="shared" ref="M78:M141" si="12">RANK(O:O,O:O)</f>
        <v>144</v>
      </c>
      <c r="N78" s="7" t="s">
        <v>173</v>
      </c>
      <c r="O78" s="40">
        <v>1</v>
      </c>
      <c r="Y78">
        <f t="shared" si="10"/>
        <v>712</v>
      </c>
    </row>
    <row r="79" spans="1:38" x14ac:dyDescent="0.25">
      <c r="A79" s="7" t="s">
        <v>189</v>
      </c>
      <c r="B79" s="40">
        <v>13</v>
      </c>
      <c r="C79">
        <f t="shared" si="8"/>
        <v>181</v>
      </c>
      <c r="D79" s="7" t="s">
        <v>179</v>
      </c>
      <c r="E79">
        <f t="shared" si="7"/>
        <v>164</v>
      </c>
      <c r="G79" s="7" t="s">
        <v>175</v>
      </c>
      <c r="H79" s="40">
        <v>169</v>
      </c>
      <c r="I79">
        <f t="shared" si="9"/>
        <v>364</v>
      </c>
      <c r="J79" s="7" t="s">
        <v>175</v>
      </c>
      <c r="K79" s="7"/>
      <c r="L79">
        <f t="shared" si="11"/>
        <v>169</v>
      </c>
      <c r="M79">
        <f t="shared" si="12"/>
        <v>144</v>
      </c>
      <c r="N79" s="7" t="s">
        <v>175</v>
      </c>
      <c r="O79" s="40">
        <v>1</v>
      </c>
      <c r="Y79">
        <f t="shared" si="10"/>
        <v>712</v>
      </c>
    </row>
    <row r="80" spans="1:38" x14ac:dyDescent="0.25">
      <c r="A80" s="7" t="s">
        <v>191</v>
      </c>
      <c r="B80" s="40">
        <v>0</v>
      </c>
      <c r="C80">
        <f t="shared" si="8"/>
        <v>103</v>
      </c>
      <c r="D80" s="7" t="s">
        <v>183</v>
      </c>
      <c r="E80">
        <f t="shared" si="7"/>
        <v>300</v>
      </c>
      <c r="G80" s="7" t="s">
        <v>176</v>
      </c>
      <c r="H80" s="40">
        <v>183</v>
      </c>
      <c r="I80">
        <f t="shared" si="9"/>
        <v>351</v>
      </c>
      <c r="J80" s="7" t="s">
        <v>176</v>
      </c>
      <c r="K80" s="7"/>
      <c r="L80">
        <f t="shared" si="11"/>
        <v>183</v>
      </c>
      <c r="M80">
        <f t="shared" si="12"/>
        <v>144</v>
      </c>
      <c r="N80" s="7" t="s">
        <v>176</v>
      </c>
      <c r="O80" s="40">
        <v>1</v>
      </c>
      <c r="Y80">
        <f t="shared" si="10"/>
        <v>712</v>
      </c>
    </row>
    <row r="81" spans="1:25" x14ac:dyDescent="0.25">
      <c r="A81" s="7" t="s">
        <v>193</v>
      </c>
      <c r="B81" s="40">
        <v>682</v>
      </c>
      <c r="C81">
        <f t="shared" si="8"/>
        <v>298</v>
      </c>
      <c r="D81" s="7" t="s">
        <v>184</v>
      </c>
      <c r="E81">
        <f t="shared" si="7"/>
        <v>90</v>
      </c>
      <c r="G81" s="7" t="s">
        <v>177</v>
      </c>
      <c r="H81" s="40">
        <v>11</v>
      </c>
      <c r="I81">
        <f t="shared" si="9"/>
        <v>695</v>
      </c>
      <c r="J81" s="7" t="s">
        <v>177</v>
      </c>
      <c r="K81" s="7"/>
      <c r="L81">
        <f t="shared" si="11"/>
        <v>11</v>
      </c>
      <c r="M81">
        <f t="shared" si="12"/>
        <v>144</v>
      </c>
      <c r="N81" s="7" t="s">
        <v>177</v>
      </c>
      <c r="O81" s="40">
        <v>1</v>
      </c>
      <c r="Y81">
        <f t="shared" si="10"/>
        <v>712</v>
      </c>
    </row>
    <row r="82" spans="1:25" x14ac:dyDescent="0.25">
      <c r="A82" s="7" t="s">
        <v>196</v>
      </c>
      <c r="B82" s="40">
        <v>20</v>
      </c>
      <c r="C82">
        <f t="shared" si="8"/>
        <v>322</v>
      </c>
      <c r="D82" s="7" t="s">
        <v>186</v>
      </c>
      <c r="E82">
        <f t="shared" si="7"/>
        <v>80</v>
      </c>
      <c r="G82" s="7" t="s">
        <v>178</v>
      </c>
      <c r="H82" s="40">
        <v>156</v>
      </c>
      <c r="I82">
        <f t="shared" si="9"/>
        <v>381</v>
      </c>
      <c r="J82" s="7" t="s">
        <v>178</v>
      </c>
      <c r="K82" s="7"/>
      <c r="L82">
        <f t="shared" si="11"/>
        <v>156</v>
      </c>
      <c r="M82">
        <f t="shared" si="12"/>
        <v>144</v>
      </c>
      <c r="N82" s="7" t="s">
        <v>178</v>
      </c>
      <c r="O82" s="40">
        <v>1</v>
      </c>
      <c r="Y82">
        <f t="shared" si="10"/>
        <v>712</v>
      </c>
    </row>
    <row r="83" spans="1:25" x14ac:dyDescent="0.25">
      <c r="A83" s="7" t="s">
        <v>197</v>
      </c>
      <c r="B83" s="40">
        <v>25</v>
      </c>
      <c r="C83">
        <f t="shared" si="8"/>
        <v>307</v>
      </c>
      <c r="D83" s="7" t="s">
        <v>188</v>
      </c>
      <c r="E83">
        <f t="shared" si="7"/>
        <v>89</v>
      </c>
      <c r="G83" s="7" t="s">
        <v>179</v>
      </c>
      <c r="H83" s="40">
        <v>0</v>
      </c>
      <c r="I83">
        <f t="shared" si="9"/>
        <v>754</v>
      </c>
      <c r="J83" s="7" t="s">
        <v>179</v>
      </c>
      <c r="K83" s="7"/>
      <c r="L83">
        <f t="shared" si="11"/>
        <v>0</v>
      </c>
      <c r="M83">
        <f t="shared" si="12"/>
        <v>28</v>
      </c>
      <c r="N83" s="7" t="s">
        <v>179</v>
      </c>
      <c r="O83" s="40">
        <v>2</v>
      </c>
      <c r="Y83">
        <f t="shared" si="10"/>
        <v>712</v>
      </c>
    </row>
    <row r="84" spans="1:25" x14ac:dyDescent="0.25">
      <c r="A84" s="7" t="s">
        <v>198</v>
      </c>
      <c r="B84" s="40">
        <v>800</v>
      </c>
      <c r="C84">
        <f t="shared" si="8"/>
        <v>634</v>
      </c>
      <c r="D84" s="7" t="s">
        <v>189</v>
      </c>
      <c r="E84">
        <f t="shared" si="7"/>
        <v>13</v>
      </c>
      <c r="G84" s="7" t="s">
        <v>183</v>
      </c>
      <c r="H84" s="40">
        <v>1600</v>
      </c>
      <c r="I84">
        <f t="shared" si="9"/>
        <v>65</v>
      </c>
      <c r="J84" s="7" t="s">
        <v>183</v>
      </c>
      <c r="K84" s="7"/>
      <c r="L84">
        <f t="shared" si="11"/>
        <v>1600</v>
      </c>
      <c r="M84">
        <f t="shared" si="12"/>
        <v>144</v>
      </c>
      <c r="N84" s="7" t="s">
        <v>183</v>
      </c>
      <c r="O84" s="40">
        <v>1</v>
      </c>
      <c r="Y84">
        <f t="shared" si="10"/>
        <v>712</v>
      </c>
    </row>
    <row r="85" spans="1:25" x14ac:dyDescent="0.25">
      <c r="A85" s="7" t="s">
        <v>201</v>
      </c>
      <c r="B85" s="40">
        <v>75</v>
      </c>
      <c r="C85">
        <f t="shared" si="8"/>
        <v>683</v>
      </c>
      <c r="D85" s="7" t="s">
        <v>191</v>
      </c>
      <c r="E85">
        <f t="shared" si="7"/>
        <v>0</v>
      </c>
      <c r="G85" s="7" t="s">
        <v>184</v>
      </c>
      <c r="H85" s="40">
        <v>483</v>
      </c>
      <c r="I85">
        <f t="shared" si="9"/>
        <v>182</v>
      </c>
      <c r="J85" s="7" t="s">
        <v>184</v>
      </c>
      <c r="K85" s="7"/>
      <c r="L85">
        <f t="shared" si="11"/>
        <v>483</v>
      </c>
      <c r="M85">
        <f t="shared" si="12"/>
        <v>144</v>
      </c>
      <c r="N85" s="7" t="s">
        <v>184</v>
      </c>
      <c r="O85" s="40">
        <v>1</v>
      </c>
      <c r="Y85">
        <f t="shared" si="10"/>
        <v>712</v>
      </c>
    </row>
    <row r="86" spans="1:25" x14ac:dyDescent="0.25">
      <c r="A86" s="7" t="s">
        <v>203</v>
      </c>
      <c r="B86" s="40">
        <v>216</v>
      </c>
      <c r="C86">
        <f t="shared" si="8"/>
        <v>50</v>
      </c>
      <c r="D86" s="7" t="s">
        <v>193</v>
      </c>
      <c r="E86">
        <f t="shared" si="7"/>
        <v>682</v>
      </c>
      <c r="G86" s="7" t="s">
        <v>186</v>
      </c>
      <c r="H86" s="40">
        <v>12</v>
      </c>
      <c r="I86">
        <f t="shared" si="9"/>
        <v>691</v>
      </c>
      <c r="J86" s="7" t="s">
        <v>186</v>
      </c>
      <c r="K86" s="7"/>
      <c r="L86">
        <f t="shared" si="11"/>
        <v>12</v>
      </c>
      <c r="M86">
        <f t="shared" si="12"/>
        <v>144</v>
      </c>
      <c r="N86" s="7" t="s">
        <v>186</v>
      </c>
      <c r="O86" s="40">
        <v>1</v>
      </c>
      <c r="Y86">
        <f t="shared" si="10"/>
        <v>712</v>
      </c>
    </row>
    <row r="87" spans="1:25" x14ac:dyDescent="0.25">
      <c r="A87" s="7" t="s">
        <v>204</v>
      </c>
      <c r="B87" s="40">
        <v>38</v>
      </c>
      <c r="C87">
        <f t="shared" si="8"/>
        <v>588</v>
      </c>
      <c r="D87" s="7" t="s">
        <v>196</v>
      </c>
      <c r="E87">
        <f t="shared" si="7"/>
        <v>20</v>
      </c>
      <c r="G87" s="7" t="s">
        <v>188</v>
      </c>
      <c r="H87" s="40">
        <v>365</v>
      </c>
      <c r="I87">
        <f t="shared" si="9"/>
        <v>220</v>
      </c>
      <c r="J87" s="7" t="s">
        <v>188</v>
      </c>
      <c r="K87" s="7"/>
      <c r="L87">
        <f t="shared" si="11"/>
        <v>365</v>
      </c>
      <c r="M87">
        <f t="shared" si="12"/>
        <v>28</v>
      </c>
      <c r="N87" s="7" t="s">
        <v>188</v>
      </c>
      <c r="O87" s="40">
        <v>2</v>
      </c>
      <c r="Y87">
        <f t="shared" si="10"/>
        <v>712</v>
      </c>
    </row>
    <row r="88" spans="1:25" x14ac:dyDescent="0.25">
      <c r="A88" s="7" t="s">
        <v>205</v>
      </c>
      <c r="B88" s="40">
        <v>26</v>
      </c>
      <c r="C88">
        <f t="shared" si="8"/>
        <v>554</v>
      </c>
      <c r="D88" s="7" t="s">
        <v>197</v>
      </c>
      <c r="E88">
        <f t="shared" si="7"/>
        <v>25</v>
      </c>
      <c r="G88" s="7" t="s">
        <v>189</v>
      </c>
      <c r="H88" s="40">
        <v>1</v>
      </c>
      <c r="I88">
        <f t="shared" si="9"/>
        <v>747</v>
      </c>
      <c r="J88" s="7" t="s">
        <v>189</v>
      </c>
      <c r="K88" s="7"/>
      <c r="L88">
        <f t="shared" si="11"/>
        <v>1</v>
      </c>
      <c r="M88">
        <f t="shared" si="12"/>
        <v>144</v>
      </c>
      <c r="N88" s="7" t="s">
        <v>189</v>
      </c>
      <c r="O88" s="40">
        <v>1</v>
      </c>
      <c r="Y88">
        <f t="shared" si="10"/>
        <v>712</v>
      </c>
    </row>
    <row r="89" spans="1:25" x14ac:dyDescent="0.25">
      <c r="A89" s="7" t="s">
        <v>206</v>
      </c>
      <c r="B89" s="40">
        <v>180</v>
      </c>
      <c r="C89">
        <f t="shared" si="8"/>
        <v>39</v>
      </c>
      <c r="D89" s="7" t="s">
        <v>198</v>
      </c>
      <c r="E89">
        <f t="shared" si="7"/>
        <v>800</v>
      </c>
      <c r="G89" s="7" t="s">
        <v>191</v>
      </c>
      <c r="H89" s="40">
        <v>155</v>
      </c>
      <c r="I89">
        <f t="shared" si="9"/>
        <v>384</v>
      </c>
      <c r="J89" s="7" t="s">
        <v>191</v>
      </c>
      <c r="K89" s="7"/>
      <c r="L89">
        <f t="shared" si="11"/>
        <v>155</v>
      </c>
      <c r="M89">
        <f t="shared" si="12"/>
        <v>144</v>
      </c>
      <c r="N89" s="7" t="s">
        <v>191</v>
      </c>
      <c r="O89" s="40">
        <v>1</v>
      </c>
      <c r="Y89">
        <f t="shared" si="10"/>
        <v>712</v>
      </c>
    </row>
    <row r="90" spans="1:25" x14ac:dyDescent="0.25">
      <c r="A90" s="7" t="s">
        <v>207</v>
      </c>
      <c r="B90" s="40">
        <v>23</v>
      </c>
      <c r="C90">
        <f t="shared" si="8"/>
        <v>341</v>
      </c>
      <c r="D90" s="7" t="s">
        <v>201</v>
      </c>
      <c r="E90">
        <f t="shared" si="7"/>
        <v>75</v>
      </c>
      <c r="G90" s="7" t="s">
        <v>193</v>
      </c>
      <c r="H90" s="40">
        <v>14400</v>
      </c>
      <c r="I90">
        <f t="shared" si="9"/>
        <v>9</v>
      </c>
      <c r="J90" s="7" t="s">
        <v>193</v>
      </c>
      <c r="K90" s="7"/>
      <c r="L90">
        <f t="shared" si="11"/>
        <v>14400</v>
      </c>
      <c r="M90">
        <f t="shared" si="12"/>
        <v>3</v>
      </c>
      <c r="N90" s="7" t="s">
        <v>193</v>
      </c>
      <c r="O90" s="40">
        <v>4</v>
      </c>
      <c r="Y90">
        <f t="shared" si="10"/>
        <v>712</v>
      </c>
    </row>
    <row r="91" spans="1:25" x14ac:dyDescent="0.25">
      <c r="A91" s="7" t="s">
        <v>208</v>
      </c>
      <c r="B91" s="40">
        <v>0</v>
      </c>
      <c r="C91">
        <f t="shared" si="8"/>
        <v>142</v>
      </c>
      <c r="D91" s="7" t="s">
        <v>203</v>
      </c>
      <c r="E91">
        <f t="shared" si="7"/>
        <v>216</v>
      </c>
      <c r="G91" s="7" t="s">
        <v>196</v>
      </c>
      <c r="H91" s="40">
        <v>78</v>
      </c>
      <c r="I91">
        <f t="shared" si="9"/>
        <v>489</v>
      </c>
      <c r="J91" s="7" t="s">
        <v>196</v>
      </c>
      <c r="K91" s="7"/>
      <c r="L91">
        <f t="shared" si="11"/>
        <v>78</v>
      </c>
      <c r="M91">
        <f t="shared" si="12"/>
        <v>144</v>
      </c>
      <c r="N91" s="7" t="s">
        <v>196</v>
      </c>
      <c r="O91" s="40">
        <v>1</v>
      </c>
      <c r="Y91">
        <f t="shared" si="10"/>
        <v>712</v>
      </c>
    </row>
    <row r="92" spans="1:25" x14ac:dyDescent="0.25">
      <c r="A92" s="7" t="s">
        <v>209</v>
      </c>
      <c r="B92" s="40">
        <v>40</v>
      </c>
      <c r="C92">
        <f t="shared" si="8"/>
        <v>485</v>
      </c>
      <c r="D92" s="7" t="s">
        <v>204</v>
      </c>
      <c r="E92">
        <f t="shared" si="7"/>
        <v>38</v>
      </c>
      <c r="G92" s="7" t="s">
        <v>197</v>
      </c>
      <c r="H92" s="40">
        <v>537</v>
      </c>
      <c r="I92">
        <f t="shared" si="9"/>
        <v>169</v>
      </c>
      <c r="J92" s="7" t="s">
        <v>197</v>
      </c>
      <c r="K92" s="7"/>
      <c r="L92">
        <f t="shared" si="11"/>
        <v>537</v>
      </c>
      <c r="M92">
        <f t="shared" si="12"/>
        <v>144</v>
      </c>
      <c r="N92" s="7" t="s">
        <v>197</v>
      </c>
      <c r="O92" s="40">
        <v>1</v>
      </c>
      <c r="Y92">
        <f t="shared" si="10"/>
        <v>712</v>
      </c>
    </row>
    <row r="93" spans="1:25" x14ac:dyDescent="0.25">
      <c r="A93" s="7" t="s">
        <v>211</v>
      </c>
      <c r="B93" s="40">
        <v>76</v>
      </c>
      <c r="C93">
        <f t="shared" si="8"/>
        <v>549</v>
      </c>
      <c r="D93" s="7" t="s">
        <v>205</v>
      </c>
      <c r="E93">
        <f t="shared" si="7"/>
        <v>26</v>
      </c>
      <c r="G93" s="7" t="s">
        <v>198</v>
      </c>
      <c r="H93" s="40">
        <v>1258</v>
      </c>
      <c r="I93">
        <f t="shared" si="9"/>
        <v>80</v>
      </c>
      <c r="J93" s="7" t="s">
        <v>198</v>
      </c>
      <c r="K93" s="7"/>
      <c r="L93">
        <f t="shared" si="11"/>
        <v>1258</v>
      </c>
      <c r="M93">
        <f t="shared" si="12"/>
        <v>28</v>
      </c>
      <c r="N93" s="7" t="s">
        <v>198</v>
      </c>
      <c r="O93" s="40">
        <v>2</v>
      </c>
      <c r="Y93">
        <f t="shared" si="10"/>
        <v>712</v>
      </c>
    </row>
    <row r="94" spans="1:25" x14ac:dyDescent="0.25">
      <c r="A94" s="7" t="s">
        <v>212</v>
      </c>
      <c r="B94" s="40">
        <v>0</v>
      </c>
      <c r="C94">
        <f t="shared" si="8"/>
        <v>169</v>
      </c>
      <c r="D94" s="7" t="s">
        <v>206</v>
      </c>
      <c r="E94">
        <f t="shared" si="7"/>
        <v>180</v>
      </c>
      <c r="G94" s="7" t="s">
        <v>201</v>
      </c>
      <c r="H94" s="40">
        <v>35</v>
      </c>
      <c r="I94">
        <f t="shared" si="9"/>
        <v>600</v>
      </c>
      <c r="J94" s="7" t="s">
        <v>201</v>
      </c>
      <c r="K94" s="7"/>
      <c r="L94">
        <f t="shared" si="11"/>
        <v>35</v>
      </c>
      <c r="M94">
        <f t="shared" si="12"/>
        <v>144</v>
      </c>
      <c r="N94" s="7" t="s">
        <v>201</v>
      </c>
      <c r="O94" s="40">
        <v>1</v>
      </c>
      <c r="Y94">
        <f t="shared" si="10"/>
        <v>712</v>
      </c>
    </row>
    <row r="95" spans="1:25" x14ac:dyDescent="0.25">
      <c r="A95" s="7" t="s">
        <v>214</v>
      </c>
      <c r="B95" s="40">
        <v>15</v>
      </c>
      <c r="C95">
        <f t="shared" si="8"/>
        <v>570</v>
      </c>
      <c r="D95" s="7" t="s">
        <v>207</v>
      </c>
      <c r="E95">
        <f t="shared" si="7"/>
        <v>23</v>
      </c>
      <c r="G95" s="7" t="s">
        <v>203</v>
      </c>
      <c r="H95" s="40">
        <v>0</v>
      </c>
      <c r="I95">
        <f t="shared" si="9"/>
        <v>754</v>
      </c>
      <c r="J95" s="7" t="s">
        <v>203</v>
      </c>
      <c r="K95" s="7"/>
      <c r="L95">
        <f t="shared" si="11"/>
        <v>0</v>
      </c>
      <c r="M95">
        <f t="shared" si="12"/>
        <v>144</v>
      </c>
      <c r="N95" s="7" t="s">
        <v>203</v>
      </c>
      <c r="O95" s="40">
        <v>1</v>
      </c>
      <c r="Y95">
        <f t="shared" si="10"/>
        <v>712</v>
      </c>
    </row>
    <row r="96" spans="1:25" x14ac:dyDescent="0.25">
      <c r="A96" s="7" t="s">
        <v>215</v>
      </c>
      <c r="B96" s="40">
        <v>500</v>
      </c>
      <c r="C96">
        <f t="shared" si="8"/>
        <v>683</v>
      </c>
      <c r="D96" s="7" t="s">
        <v>208</v>
      </c>
      <c r="E96">
        <f t="shared" si="7"/>
        <v>0</v>
      </c>
      <c r="G96" s="7" t="s">
        <v>204</v>
      </c>
      <c r="H96" s="40">
        <v>1500</v>
      </c>
      <c r="I96">
        <f t="shared" si="9"/>
        <v>68</v>
      </c>
      <c r="J96" s="7" t="s">
        <v>204</v>
      </c>
      <c r="K96" s="7"/>
      <c r="L96">
        <f t="shared" si="11"/>
        <v>1500</v>
      </c>
      <c r="M96">
        <f t="shared" si="12"/>
        <v>144</v>
      </c>
      <c r="N96" s="7" t="s">
        <v>204</v>
      </c>
      <c r="O96" s="40">
        <v>1</v>
      </c>
      <c r="Y96">
        <f t="shared" si="10"/>
        <v>712</v>
      </c>
    </row>
    <row r="97" spans="1:25" x14ac:dyDescent="0.25">
      <c r="A97" s="7" t="s">
        <v>216</v>
      </c>
      <c r="B97" s="40">
        <v>32</v>
      </c>
      <c r="C97">
        <f t="shared" si="8"/>
        <v>454</v>
      </c>
      <c r="D97" s="7" t="s">
        <v>209</v>
      </c>
      <c r="E97">
        <f t="shared" si="7"/>
        <v>40</v>
      </c>
      <c r="G97" s="7" t="s">
        <v>205</v>
      </c>
      <c r="H97" s="40">
        <v>0</v>
      </c>
      <c r="I97">
        <f t="shared" si="9"/>
        <v>754</v>
      </c>
      <c r="J97" s="7" t="s">
        <v>205</v>
      </c>
      <c r="K97" s="7"/>
      <c r="L97">
        <f t="shared" si="11"/>
        <v>0</v>
      </c>
      <c r="M97">
        <f t="shared" si="12"/>
        <v>144</v>
      </c>
      <c r="N97" s="7" t="s">
        <v>205</v>
      </c>
      <c r="O97" s="40">
        <v>1</v>
      </c>
      <c r="Y97">
        <f t="shared" si="10"/>
        <v>712</v>
      </c>
    </row>
    <row r="98" spans="1:25" x14ac:dyDescent="0.25">
      <c r="A98" s="7" t="s">
        <v>217</v>
      </c>
      <c r="B98" s="40">
        <v>6</v>
      </c>
      <c r="C98">
        <f t="shared" si="8"/>
        <v>339</v>
      </c>
      <c r="D98" s="7" t="s">
        <v>211</v>
      </c>
      <c r="E98">
        <f t="shared" si="7"/>
        <v>76</v>
      </c>
      <c r="G98" s="7" t="s">
        <v>206</v>
      </c>
      <c r="H98" s="40">
        <v>453</v>
      </c>
      <c r="I98">
        <f t="shared" si="9"/>
        <v>194</v>
      </c>
      <c r="J98" s="7" t="s">
        <v>206</v>
      </c>
      <c r="K98" s="7"/>
      <c r="L98">
        <f t="shared" si="11"/>
        <v>453</v>
      </c>
      <c r="M98">
        <f t="shared" si="12"/>
        <v>144</v>
      </c>
      <c r="N98" s="7" t="s">
        <v>206</v>
      </c>
      <c r="O98" s="40">
        <v>1</v>
      </c>
      <c r="Y98">
        <f t="shared" si="10"/>
        <v>712</v>
      </c>
    </row>
    <row r="99" spans="1:25" x14ac:dyDescent="0.25">
      <c r="A99" s="7" t="s">
        <v>218</v>
      </c>
      <c r="B99" s="40">
        <v>0</v>
      </c>
      <c r="C99">
        <f t="shared" si="8"/>
        <v>683</v>
      </c>
      <c r="D99" s="7" t="s">
        <v>212</v>
      </c>
      <c r="E99">
        <f t="shared" si="7"/>
        <v>0</v>
      </c>
      <c r="G99" s="7" t="s">
        <v>207</v>
      </c>
      <c r="H99" s="40">
        <v>27</v>
      </c>
      <c r="I99">
        <f t="shared" si="9"/>
        <v>623</v>
      </c>
      <c r="J99" s="7" t="s">
        <v>207</v>
      </c>
      <c r="K99" s="7"/>
      <c r="L99">
        <f t="shared" si="11"/>
        <v>27</v>
      </c>
      <c r="M99">
        <f t="shared" si="12"/>
        <v>144</v>
      </c>
      <c r="N99" s="7" t="s">
        <v>207</v>
      </c>
      <c r="O99" s="40">
        <v>1</v>
      </c>
      <c r="Y99">
        <f t="shared" si="10"/>
        <v>712</v>
      </c>
    </row>
    <row r="100" spans="1:25" x14ac:dyDescent="0.25">
      <c r="A100" s="7" t="s">
        <v>219</v>
      </c>
      <c r="B100" s="40">
        <v>19</v>
      </c>
      <c r="C100">
        <f t="shared" si="8"/>
        <v>622</v>
      </c>
      <c r="D100" s="7" t="s">
        <v>214</v>
      </c>
      <c r="E100">
        <f t="shared" si="7"/>
        <v>15</v>
      </c>
      <c r="G100" s="7" t="s">
        <v>208</v>
      </c>
      <c r="H100" s="40">
        <v>2</v>
      </c>
      <c r="I100">
        <f t="shared" si="9"/>
        <v>737</v>
      </c>
      <c r="J100" s="7" t="s">
        <v>208</v>
      </c>
      <c r="K100" s="7"/>
      <c r="L100">
        <f t="shared" si="11"/>
        <v>2</v>
      </c>
      <c r="M100">
        <f t="shared" si="12"/>
        <v>144</v>
      </c>
      <c r="N100" s="7" t="s">
        <v>208</v>
      </c>
      <c r="O100" s="40">
        <v>1</v>
      </c>
      <c r="Y100">
        <f t="shared" si="10"/>
        <v>712</v>
      </c>
    </row>
    <row r="101" spans="1:25" x14ac:dyDescent="0.25">
      <c r="A101" s="7" t="s">
        <v>220</v>
      </c>
      <c r="B101" s="40">
        <v>20</v>
      </c>
      <c r="C101">
        <f t="shared" si="8"/>
        <v>66</v>
      </c>
      <c r="D101" s="7" t="s">
        <v>215</v>
      </c>
      <c r="E101">
        <f t="shared" si="7"/>
        <v>500</v>
      </c>
      <c r="G101" s="7" t="s">
        <v>209</v>
      </c>
      <c r="H101" s="40">
        <v>400</v>
      </c>
      <c r="I101">
        <f t="shared" si="9"/>
        <v>209</v>
      </c>
      <c r="J101" s="7" t="s">
        <v>209</v>
      </c>
      <c r="K101" s="7"/>
      <c r="L101">
        <f t="shared" si="11"/>
        <v>400</v>
      </c>
      <c r="M101">
        <f t="shared" si="12"/>
        <v>28</v>
      </c>
      <c r="N101" s="7" t="s">
        <v>209</v>
      </c>
      <c r="O101" s="40">
        <v>2</v>
      </c>
      <c r="Y101">
        <f t="shared" si="10"/>
        <v>712</v>
      </c>
    </row>
    <row r="102" spans="1:25" x14ac:dyDescent="0.25">
      <c r="A102" s="7" t="s">
        <v>222</v>
      </c>
      <c r="B102" s="40">
        <v>70</v>
      </c>
      <c r="C102">
        <f t="shared" si="8"/>
        <v>505</v>
      </c>
      <c r="D102" s="7" t="s">
        <v>216</v>
      </c>
      <c r="E102">
        <f t="shared" si="7"/>
        <v>32</v>
      </c>
      <c r="G102" s="7" t="s">
        <v>211</v>
      </c>
      <c r="H102" s="40">
        <v>282</v>
      </c>
      <c r="I102">
        <f t="shared" si="9"/>
        <v>267</v>
      </c>
      <c r="J102" s="7" t="s">
        <v>211</v>
      </c>
      <c r="K102" s="7"/>
      <c r="L102">
        <f t="shared" si="11"/>
        <v>282</v>
      </c>
      <c r="M102">
        <f t="shared" si="12"/>
        <v>144</v>
      </c>
      <c r="N102" s="7" t="s">
        <v>211</v>
      </c>
      <c r="O102" s="40">
        <v>1</v>
      </c>
      <c r="Y102">
        <f t="shared" si="10"/>
        <v>712</v>
      </c>
    </row>
    <row r="103" spans="1:25" x14ac:dyDescent="0.25">
      <c r="A103" s="7" t="s">
        <v>223</v>
      </c>
      <c r="B103" s="40">
        <v>0</v>
      </c>
      <c r="C103">
        <f t="shared" si="8"/>
        <v>672</v>
      </c>
      <c r="D103" s="7" t="s">
        <v>217</v>
      </c>
      <c r="E103">
        <f t="shared" si="7"/>
        <v>6</v>
      </c>
      <c r="G103" s="7" t="s">
        <v>212</v>
      </c>
      <c r="H103" s="40">
        <v>0</v>
      </c>
      <c r="I103">
        <f t="shared" si="9"/>
        <v>754</v>
      </c>
      <c r="J103" s="7" t="s">
        <v>212</v>
      </c>
      <c r="K103" s="7"/>
      <c r="L103">
        <f t="shared" si="11"/>
        <v>0</v>
      </c>
      <c r="M103">
        <f t="shared" si="12"/>
        <v>144</v>
      </c>
      <c r="N103" s="7" t="s">
        <v>212</v>
      </c>
      <c r="O103" s="40">
        <v>1</v>
      </c>
      <c r="Y103">
        <f t="shared" si="10"/>
        <v>712</v>
      </c>
    </row>
    <row r="104" spans="1:25" x14ac:dyDescent="0.25">
      <c r="A104" s="7" t="s">
        <v>224</v>
      </c>
      <c r="B104" s="40">
        <v>250</v>
      </c>
      <c r="C104">
        <f t="shared" si="8"/>
        <v>683</v>
      </c>
      <c r="D104" s="7" t="s">
        <v>218</v>
      </c>
      <c r="E104">
        <f t="shared" si="7"/>
        <v>0</v>
      </c>
      <c r="G104" s="7" t="s">
        <v>214</v>
      </c>
      <c r="H104" s="40">
        <v>32</v>
      </c>
      <c r="I104">
        <f t="shared" si="9"/>
        <v>607</v>
      </c>
      <c r="J104" s="7" t="s">
        <v>214</v>
      </c>
      <c r="K104" s="7"/>
      <c r="L104">
        <f t="shared" si="11"/>
        <v>32</v>
      </c>
      <c r="M104">
        <f t="shared" si="12"/>
        <v>144</v>
      </c>
      <c r="N104" s="7" t="s">
        <v>214</v>
      </c>
      <c r="O104" s="40">
        <v>1</v>
      </c>
      <c r="Y104">
        <f t="shared" si="10"/>
        <v>712</v>
      </c>
    </row>
    <row r="105" spans="1:25" x14ac:dyDescent="0.25">
      <c r="A105" s="7" t="s">
        <v>225</v>
      </c>
      <c r="B105" s="40">
        <v>0</v>
      </c>
      <c r="C105">
        <f t="shared" si="8"/>
        <v>603</v>
      </c>
      <c r="D105" s="7" t="s">
        <v>219</v>
      </c>
      <c r="E105">
        <f t="shared" si="7"/>
        <v>19</v>
      </c>
      <c r="G105" s="7" t="s">
        <v>215</v>
      </c>
      <c r="H105" s="40">
        <v>210</v>
      </c>
      <c r="I105">
        <f t="shared" si="9"/>
        <v>324</v>
      </c>
      <c r="J105" s="7" t="s">
        <v>215</v>
      </c>
      <c r="K105" s="7"/>
      <c r="L105">
        <f t="shared" si="11"/>
        <v>210</v>
      </c>
      <c r="M105">
        <f t="shared" si="12"/>
        <v>144</v>
      </c>
      <c r="N105" s="7" t="s">
        <v>215</v>
      </c>
      <c r="O105" s="40">
        <v>1</v>
      </c>
      <c r="Y105">
        <f t="shared" si="10"/>
        <v>712</v>
      </c>
    </row>
    <row r="106" spans="1:25" x14ac:dyDescent="0.25">
      <c r="A106" s="7" t="s">
        <v>226</v>
      </c>
      <c r="B106" s="40">
        <v>260</v>
      </c>
      <c r="C106">
        <f t="shared" si="8"/>
        <v>588</v>
      </c>
      <c r="D106" s="7" t="s">
        <v>220</v>
      </c>
      <c r="E106">
        <f t="shared" si="7"/>
        <v>20</v>
      </c>
      <c r="G106" s="7" t="s">
        <v>216</v>
      </c>
      <c r="H106" s="40">
        <v>177</v>
      </c>
      <c r="I106">
        <f t="shared" si="9"/>
        <v>359</v>
      </c>
      <c r="J106" s="7" t="s">
        <v>216</v>
      </c>
      <c r="K106" s="7"/>
      <c r="L106">
        <f t="shared" si="11"/>
        <v>177</v>
      </c>
      <c r="M106">
        <f t="shared" si="12"/>
        <v>144</v>
      </c>
      <c r="N106" s="7" t="s">
        <v>216</v>
      </c>
      <c r="O106" s="40">
        <v>1</v>
      </c>
      <c r="Y106">
        <f t="shared" si="10"/>
        <v>712</v>
      </c>
    </row>
    <row r="107" spans="1:25" x14ac:dyDescent="0.25">
      <c r="A107" s="7" t="s">
        <v>227</v>
      </c>
      <c r="B107" s="40">
        <v>0</v>
      </c>
      <c r="C107">
        <f t="shared" si="8"/>
        <v>350</v>
      </c>
      <c r="D107" s="7" t="s">
        <v>222</v>
      </c>
      <c r="E107">
        <f t="shared" si="7"/>
        <v>70</v>
      </c>
      <c r="G107" s="7" t="s">
        <v>217</v>
      </c>
      <c r="H107" s="40">
        <v>1</v>
      </c>
      <c r="I107">
        <f t="shared" si="9"/>
        <v>747</v>
      </c>
      <c r="J107" s="7" t="s">
        <v>217</v>
      </c>
      <c r="K107" s="7"/>
      <c r="L107">
        <f t="shared" si="11"/>
        <v>1</v>
      </c>
      <c r="M107">
        <f t="shared" si="12"/>
        <v>144</v>
      </c>
      <c r="N107" s="7" t="s">
        <v>217</v>
      </c>
      <c r="O107" s="40">
        <v>1</v>
      </c>
      <c r="Y107">
        <f t="shared" si="10"/>
        <v>712</v>
      </c>
    </row>
    <row r="108" spans="1:25" x14ac:dyDescent="0.25">
      <c r="A108" s="7" t="s">
        <v>229</v>
      </c>
      <c r="B108" s="40">
        <v>5</v>
      </c>
      <c r="C108">
        <f t="shared" si="8"/>
        <v>683</v>
      </c>
      <c r="D108" s="7" t="s">
        <v>223</v>
      </c>
      <c r="E108">
        <f t="shared" si="7"/>
        <v>0</v>
      </c>
      <c r="G108" s="7" t="s">
        <v>218</v>
      </c>
      <c r="H108" s="40">
        <v>863</v>
      </c>
      <c r="I108">
        <f t="shared" si="9"/>
        <v>114</v>
      </c>
      <c r="J108" s="7" t="s">
        <v>218</v>
      </c>
      <c r="K108" s="7"/>
      <c r="L108">
        <f t="shared" si="11"/>
        <v>863</v>
      </c>
      <c r="M108">
        <f t="shared" si="12"/>
        <v>144</v>
      </c>
      <c r="N108" s="7" t="s">
        <v>218</v>
      </c>
      <c r="O108" s="40">
        <v>1</v>
      </c>
      <c r="Y108">
        <f t="shared" si="10"/>
        <v>712</v>
      </c>
    </row>
    <row r="109" spans="1:25" x14ac:dyDescent="0.25">
      <c r="A109" s="7" t="s">
        <v>231</v>
      </c>
      <c r="B109" s="40">
        <v>224</v>
      </c>
      <c r="C109">
        <f t="shared" si="8"/>
        <v>121</v>
      </c>
      <c r="D109" s="7" t="s">
        <v>224</v>
      </c>
      <c r="E109">
        <f t="shared" si="7"/>
        <v>250</v>
      </c>
      <c r="G109" s="7" t="s">
        <v>219</v>
      </c>
      <c r="H109" s="40">
        <v>80</v>
      </c>
      <c r="I109">
        <f t="shared" si="9"/>
        <v>486</v>
      </c>
      <c r="J109" s="7" t="s">
        <v>219</v>
      </c>
      <c r="K109" s="7"/>
      <c r="L109">
        <f t="shared" si="11"/>
        <v>80</v>
      </c>
      <c r="M109">
        <f t="shared" si="12"/>
        <v>144</v>
      </c>
      <c r="N109" s="7" t="s">
        <v>219</v>
      </c>
      <c r="O109" s="40">
        <v>1</v>
      </c>
      <c r="Y109">
        <f t="shared" si="10"/>
        <v>712</v>
      </c>
    </row>
    <row r="110" spans="1:25" x14ac:dyDescent="0.25">
      <c r="A110" s="7" t="s">
        <v>232</v>
      </c>
      <c r="B110" s="40">
        <v>0</v>
      </c>
      <c r="C110">
        <f t="shared" si="8"/>
        <v>683</v>
      </c>
      <c r="D110" s="7" t="s">
        <v>225</v>
      </c>
      <c r="E110">
        <f t="shared" si="7"/>
        <v>0</v>
      </c>
      <c r="G110" s="7" t="s">
        <v>220</v>
      </c>
      <c r="H110" s="40">
        <v>274</v>
      </c>
      <c r="I110">
        <f t="shared" si="9"/>
        <v>275</v>
      </c>
      <c r="J110" s="7" t="s">
        <v>220</v>
      </c>
      <c r="K110" s="7"/>
      <c r="L110">
        <f t="shared" si="11"/>
        <v>274</v>
      </c>
      <c r="M110">
        <f t="shared" si="12"/>
        <v>144</v>
      </c>
      <c r="N110" s="7" t="s">
        <v>220</v>
      </c>
      <c r="O110" s="40">
        <v>1</v>
      </c>
      <c r="Y110">
        <f t="shared" si="10"/>
        <v>712</v>
      </c>
    </row>
    <row r="111" spans="1:25" x14ac:dyDescent="0.25">
      <c r="A111" s="7" t="s">
        <v>234</v>
      </c>
      <c r="B111" s="40">
        <v>500</v>
      </c>
      <c r="C111">
        <f t="shared" si="8"/>
        <v>116</v>
      </c>
      <c r="D111" s="7" t="s">
        <v>226</v>
      </c>
      <c r="E111">
        <f t="shared" si="7"/>
        <v>260</v>
      </c>
      <c r="G111" s="7" t="s">
        <v>222</v>
      </c>
      <c r="H111" s="40">
        <v>500</v>
      </c>
      <c r="I111">
        <f t="shared" si="9"/>
        <v>176</v>
      </c>
      <c r="J111" s="7" t="s">
        <v>222</v>
      </c>
      <c r="K111" s="7"/>
      <c r="L111">
        <f t="shared" si="11"/>
        <v>500</v>
      </c>
      <c r="M111">
        <f t="shared" si="12"/>
        <v>144</v>
      </c>
      <c r="N111" s="7" t="s">
        <v>222</v>
      </c>
      <c r="O111" s="40">
        <v>1</v>
      </c>
      <c r="Y111">
        <f t="shared" si="10"/>
        <v>712</v>
      </c>
    </row>
    <row r="112" spans="1:25" x14ac:dyDescent="0.25">
      <c r="A112" s="7" t="s">
        <v>235</v>
      </c>
      <c r="B112" s="40">
        <v>60</v>
      </c>
      <c r="C112">
        <f t="shared" si="8"/>
        <v>683</v>
      </c>
      <c r="D112" s="7" t="s">
        <v>227</v>
      </c>
      <c r="E112">
        <f t="shared" si="7"/>
        <v>0</v>
      </c>
      <c r="G112" s="7" t="s">
        <v>223</v>
      </c>
      <c r="H112" s="40">
        <v>584</v>
      </c>
      <c r="I112">
        <f t="shared" si="9"/>
        <v>155</v>
      </c>
      <c r="J112" s="7" t="s">
        <v>223</v>
      </c>
      <c r="K112" s="7"/>
      <c r="L112">
        <f t="shared" si="11"/>
        <v>584</v>
      </c>
      <c r="M112">
        <f t="shared" si="12"/>
        <v>144</v>
      </c>
      <c r="N112" s="7" t="s">
        <v>223</v>
      </c>
      <c r="O112" s="40">
        <v>1</v>
      </c>
      <c r="Y112">
        <f t="shared" si="10"/>
        <v>712</v>
      </c>
    </row>
    <row r="113" spans="1:25" x14ac:dyDescent="0.25">
      <c r="A113" s="7" t="s">
        <v>236</v>
      </c>
      <c r="B113" s="40">
        <v>0</v>
      </c>
      <c r="C113">
        <f t="shared" si="8"/>
        <v>676</v>
      </c>
      <c r="D113" s="7" t="s">
        <v>229</v>
      </c>
      <c r="E113">
        <f t="shared" si="7"/>
        <v>5</v>
      </c>
      <c r="G113" s="7" t="s">
        <v>224</v>
      </c>
      <c r="H113" s="40">
        <v>0</v>
      </c>
      <c r="I113">
        <f t="shared" si="9"/>
        <v>754</v>
      </c>
      <c r="J113" s="7" t="s">
        <v>224</v>
      </c>
      <c r="K113" s="7"/>
      <c r="L113">
        <f t="shared" si="11"/>
        <v>0</v>
      </c>
      <c r="M113">
        <f t="shared" si="12"/>
        <v>144</v>
      </c>
      <c r="N113" s="7" t="s">
        <v>224</v>
      </c>
      <c r="O113" s="40">
        <v>1</v>
      </c>
      <c r="Y113">
        <f t="shared" si="10"/>
        <v>712</v>
      </c>
    </row>
    <row r="114" spans="1:25" x14ac:dyDescent="0.25">
      <c r="A114" s="7" t="s">
        <v>239</v>
      </c>
      <c r="B114" s="40">
        <v>5</v>
      </c>
      <c r="C114">
        <f t="shared" si="8"/>
        <v>136</v>
      </c>
      <c r="D114" s="7" t="s">
        <v>231</v>
      </c>
      <c r="E114">
        <f t="shared" si="7"/>
        <v>224</v>
      </c>
      <c r="G114" s="7" t="s">
        <v>225</v>
      </c>
      <c r="H114" s="40">
        <v>24</v>
      </c>
      <c r="I114">
        <f t="shared" si="9"/>
        <v>633</v>
      </c>
      <c r="J114" s="7" t="s">
        <v>225</v>
      </c>
      <c r="K114" s="7"/>
      <c r="L114">
        <f t="shared" si="11"/>
        <v>24</v>
      </c>
      <c r="M114">
        <f t="shared" si="12"/>
        <v>144</v>
      </c>
      <c r="N114" s="7" t="s">
        <v>225</v>
      </c>
      <c r="O114" s="40">
        <v>1</v>
      </c>
      <c r="Y114">
        <f t="shared" si="10"/>
        <v>712</v>
      </c>
    </row>
    <row r="115" spans="1:25" x14ac:dyDescent="0.25">
      <c r="A115" s="7" t="s">
        <v>240</v>
      </c>
      <c r="B115" s="40">
        <v>250</v>
      </c>
      <c r="C115">
        <f t="shared" si="8"/>
        <v>683</v>
      </c>
      <c r="D115" s="7" t="s">
        <v>232</v>
      </c>
      <c r="E115">
        <f t="shared" si="7"/>
        <v>0</v>
      </c>
      <c r="G115" s="7" t="s">
        <v>226</v>
      </c>
      <c r="H115" s="40">
        <v>840</v>
      </c>
      <c r="I115">
        <f t="shared" si="9"/>
        <v>116</v>
      </c>
      <c r="J115" s="7" t="s">
        <v>226</v>
      </c>
      <c r="K115" s="7"/>
      <c r="L115">
        <f t="shared" si="11"/>
        <v>840</v>
      </c>
      <c r="M115">
        <f t="shared" si="12"/>
        <v>144</v>
      </c>
      <c r="N115" s="7" t="s">
        <v>226</v>
      </c>
      <c r="O115" s="40">
        <v>1</v>
      </c>
      <c r="Y115">
        <f t="shared" si="10"/>
        <v>712</v>
      </c>
    </row>
    <row r="116" spans="1:25" x14ac:dyDescent="0.25">
      <c r="A116" s="7" t="s">
        <v>241</v>
      </c>
      <c r="B116" s="40">
        <v>100</v>
      </c>
      <c r="C116">
        <f t="shared" si="8"/>
        <v>66</v>
      </c>
      <c r="D116" s="7" t="s">
        <v>234</v>
      </c>
      <c r="E116">
        <f t="shared" si="7"/>
        <v>500</v>
      </c>
      <c r="G116" s="7" t="s">
        <v>227</v>
      </c>
      <c r="H116" s="40">
        <v>152</v>
      </c>
      <c r="I116">
        <f t="shared" si="9"/>
        <v>387</v>
      </c>
      <c r="J116" s="7" t="s">
        <v>227</v>
      </c>
      <c r="K116" s="7"/>
      <c r="L116">
        <f t="shared" si="11"/>
        <v>152</v>
      </c>
      <c r="M116">
        <f t="shared" si="12"/>
        <v>144</v>
      </c>
      <c r="N116" s="7" t="s">
        <v>227</v>
      </c>
      <c r="O116" s="40">
        <v>1</v>
      </c>
      <c r="Y116">
        <f t="shared" si="10"/>
        <v>712</v>
      </c>
    </row>
    <row r="117" spans="1:25" x14ac:dyDescent="0.25">
      <c r="A117" s="7" t="s">
        <v>242</v>
      </c>
      <c r="B117" s="40">
        <v>93</v>
      </c>
      <c r="C117">
        <f t="shared" si="8"/>
        <v>378</v>
      </c>
      <c r="D117" s="7" t="s">
        <v>235</v>
      </c>
      <c r="E117">
        <f t="shared" si="7"/>
        <v>60</v>
      </c>
      <c r="G117" s="7" t="s">
        <v>229</v>
      </c>
      <c r="H117" s="40">
        <v>0</v>
      </c>
      <c r="I117">
        <f t="shared" si="9"/>
        <v>754</v>
      </c>
      <c r="J117" s="7" t="s">
        <v>229</v>
      </c>
      <c r="K117" s="7"/>
      <c r="L117">
        <f t="shared" si="11"/>
        <v>0</v>
      </c>
      <c r="M117">
        <f t="shared" si="12"/>
        <v>144</v>
      </c>
      <c r="N117" s="7" t="s">
        <v>229</v>
      </c>
      <c r="O117" s="40">
        <v>1</v>
      </c>
      <c r="Y117">
        <f t="shared" si="10"/>
        <v>712</v>
      </c>
    </row>
    <row r="118" spans="1:25" x14ac:dyDescent="0.25">
      <c r="A118" s="7" t="s">
        <v>245</v>
      </c>
      <c r="B118" s="40">
        <v>0</v>
      </c>
      <c r="C118">
        <f t="shared" si="8"/>
        <v>683</v>
      </c>
      <c r="D118" s="7" t="s">
        <v>236</v>
      </c>
      <c r="E118">
        <f t="shared" si="7"/>
        <v>0</v>
      </c>
      <c r="G118" s="7" t="s">
        <v>231</v>
      </c>
      <c r="H118" s="40">
        <v>1497</v>
      </c>
      <c r="I118">
        <f t="shared" si="9"/>
        <v>71</v>
      </c>
      <c r="J118" s="7" t="s">
        <v>231</v>
      </c>
      <c r="K118" s="7"/>
      <c r="L118">
        <f t="shared" si="11"/>
        <v>1497</v>
      </c>
      <c r="M118">
        <f t="shared" si="12"/>
        <v>28</v>
      </c>
      <c r="N118" s="7" t="s">
        <v>231</v>
      </c>
      <c r="O118" s="40">
        <v>2</v>
      </c>
      <c r="Y118">
        <f t="shared" si="10"/>
        <v>712</v>
      </c>
    </row>
    <row r="119" spans="1:25" x14ac:dyDescent="0.25">
      <c r="A119" s="7" t="s">
        <v>246</v>
      </c>
      <c r="B119" s="40">
        <v>0</v>
      </c>
      <c r="C119">
        <f t="shared" si="8"/>
        <v>676</v>
      </c>
      <c r="D119" s="7" t="s">
        <v>239</v>
      </c>
      <c r="E119">
        <f t="shared" si="7"/>
        <v>5</v>
      </c>
      <c r="G119" s="7" t="s">
        <v>232</v>
      </c>
      <c r="H119" s="40">
        <v>0</v>
      </c>
      <c r="I119">
        <f t="shared" si="9"/>
        <v>754</v>
      </c>
      <c r="J119" s="7" t="s">
        <v>232</v>
      </c>
      <c r="K119" s="7"/>
      <c r="L119">
        <f t="shared" si="11"/>
        <v>0</v>
      </c>
      <c r="M119">
        <f t="shared" si="12"/>
        <v>144</v>
      </c>
      <c r="N119" s="7" t="s">
        <v>232</v>
      </c>
      <c r="O119" s="40">
        <v>1</v>
      </c>
      <c r="Y119">
        <f t="shared" si="10"/>
        <v>712</v>
      </c>
    </row>
    <row r="120" spans="1:25" x14ac:dyDescent="0.25">
      <c r="A120" s="7" t="s">
        <v>248</v>
      </c>
      <c r="B120" s="40">
        <v>65</v>
      </c>
      <c r="C120">
        <f t="shared" si="8"/>
        <v>121</v>
      </c>
      <c r="D120" s="7" t="s">
        <v>240</v>
      </c>
      <c r="E120">
        <f t="shared" si="7"/>
        <v>250</v>
      </c>
      <c r="G120" s="7" t="s">
        <v>234</v>
      </c>
      <c r="H120" s="40">
        <v>45</v>
      </c>
      <c r="I120">
        <f t="shared" si="9"/>
        <v>568</v>
      </c>
      <c r="J120" s="7" t="s">
        <v>234</v>
      </c>
      <c r="K120" s="7"/>
      <c r="L120">
        <f t="shared" si="11"/>
        <v>45</v>
      </c>
      <c r="M120">
        <f t="shared" si="12"/>
        <v>144</v>
      </c>
      <c r="N120" s="7" t="s">
        <v>234</v>
      </c>
      <c r="O120" s="40">
        <v>1</v>
      </c>
      <c r="Y120">
        <f t="shared" si="10"/>
        <v>712</v>
      </c>
    </row>
    <row r="121" spans="1:25" x14ac:dyDescent="0.25">
      <c r="A121" s="7" t="s">
        <v>249</v>
      </c>
      <c r="B121" s="40">
        <v>52</v>
      </c>
      <c r="C121">
        <f t="shared" si="8"/>
        <v>254</v>
      </c>
      <c r="D121" s="7" t="s">
        <v>241</v>
      </c>
      <c r="E121">
        <f t="shared" si="7"/>
        <v>100</v>
      </c>
      <c r="G121" s="7" t="s">
        <v>235</v>
      </c>
      <c r="H121" s="40">
        <v>181</v>
      </c>
      <c r="I121">
        <f t="shared" si="9"/>
        <v>354</v>
      </c>
      <c r="J121" s="7" t="s">
        <v>235</v>
      </c>
      <c r="K121" s="7"/>
      <c r="L121">
        <f t="shared" si="11"/>
        <v>181</v>
      </c>
      <c r="M121">
        <f t="shared" si="12"/>
        <v>144</v>
      </c>
      <c r="N121" s="7" t="s">
        <v>235</v>
      </c>
      <c r="O121" s="40">
        <v>1</v>
      </c>
      <c r="Y121">
        <f t="shared" si="10"/>
        <v>712</v>
      </c>
    </row>
    <row r="122" spans="1:25" x14ac:dyDescent="0.25">
      <c r="A122" s="7" t="s">
        <v>251</v>
      </c>
      <c r="B122" s="40">
        <v>70</v>
      </c>
      <c r="C122">
        <f t="shared" si="8"/>
        <v>296</v>
      </c>
      <c r="D122" s="7" t="s">
        <v>242</v>
      </c>
      <c r="E122">
        <f t="shared" si="7"/>
        <v>93</v>
      </c>
      <c r="G122" s="7" t="s">
        <v>236</v>
      </c>
      <c r="H122" s="40">
        <v>30</v>
      </c>
      <c r="I122">
        <f t="shared" si="9"/>
        <v>613</v>
      </c>
      <c r="J122" s="7" t="s">
        <v>236</v>
      </c>
      <c r="K122" s="7"/>
      <c r="L122">
        <f t="shared" si="11"/>
        <v>30</v>
      </c>
      <c r="M122">
        <f t="shared" si="12"/>
        <v>144</v>
      </c>
      <c r="N122" s="7" t="s">
        <v>236</v>
      </c>
      <c r="O122" s="40">
        <v>1</v>
      </c>
      <c r="Y122">
        <f t="shared" si="10"/>
        <v>712</v>
      </c>
    </row>
    <row r="123" spans="1:25" x14ac:dyDescent="0.25">
      <c r="A123" s="7" t="s">
        <v>253</v>
      </c>
      <c r="B123" s="40">
        <v>0</v>
      </c>
      <c r="C123">
        <f t="shared" si="8"/>
        <v>683</v>
      </c>
      <c r="D123" s="7" t="s">
        <v>245</v>
      </c>
      <c r="E123">
        <f t="shared" si="7"/>
        <v>0</v>
      </c>
      <c r="G123" s="7" t="s">
        <v>239</v>
      </c>
      <c r="H123" s="40">
        <v>3</v>
      </c>
      <c r="I123">
        <f t="shared" si="9"/>
        <v>731</v>
      </c>
      <c r="J123" s="7" t="s">
        <v>239</v>
      </c>
      <c r="K123" s="7"/>
      <c r="L123">
        <f t="shared" si="11"/>
        <v>3</v>
      </c>
      <c r="M123">
        <f t="shared" si="12"/>
        <v>144</v>
      </c>
      <c r="N123" s="7" t="s">
        <v>239</v>
      </c>
      <c r="O123" s="40">
        <v>1</v>
      </c>
      <c r="Y123">
        <f t="shared" si="10"/>
        <v>712</v>
      </c>
    </row>
    <row r="124" spans="1:25" x14ac:dyDescent="0.25">
      <c r="A124" s="7" t="s">
        <v>254</v>
      </c>
      <c r="B124" s="40">
        <v>126</v>
      </c>
      <c r="C124">
        <f t="shared" si="8"/>
        <v>683</v>
      </c>
      <c r="D124" s="7" t="s">
        <v>246</v>
      </c>
      <c r="E124">
        <f t="shared" si="7"/>
        <v>0</v>
      </c>
      <c r="G124" s="7" t="s">
        <v>240</v>
      </c>
      <c r="H124" s="40">
        <v>88</v>
      </c>
      <c r="I124">
        <f t="shared" si="9"/>
        <v>473</v>
      </c>
      <c r="J124" s="7" t="s">
        <v>240</v>
      </c>
      <c r="K124" s="7"/>
      <c r="L124">
        <f t="shared" si="11"/>
        <v>88</v>
      </c>
      <c r="M124">
        <f t="shared" si="12"/>
        <v>144</v>
      </c>
      <c r="N124" s="7" t="s">
        <v>240</v>
      </c>
      <c r="O124" s="40">
        <v>1</v>
      </c>
      <c r="Y124">
        <f t="shared" si="10"/>
        <v>712</v>
      </c>
    </row>
    <row r="125" spans="1:25" x14ac:dyDescent="0.25">
      <c r="A125" s="7" t="s">
        <v>255</v>
      </c>
      <c r="B125" s="40">
        <v>16</v>
      </c>
      <c r="C125">
        <f t="shared" si="8"/>
        <v>366</v>
      </c>
      <c r="D125" s="7" t="s">
        <v>248</v>
      </c>
      <c r="E125">
        <f t="shared" si="7"/>
        <v>65</v>
      </c>
      <c r="G125" s="7" t="s">
        <v>241</v>
      </c>
      <c r="H125" s="40">
        <v>1100</v>
      </c>
      <c r="I125">
        <f t="shared" si="9"/>
        <v>94</v>
      </c>
      <c r="J125" s="7" t="s">
        <v>241</v>
      </c>
      <c r="K125" s="7"/>
      <c r="L125">
        <f t="shared" si="11"/>
        <v>1100</v>
      </c>
      <c r="M125">
        <f t="shared" si="12"/>
        <v>144</v>
      </c>
      <c r="N125" s="7" t="s">
        <v>241</v>
      </c>
      <c r="O125" s="40">
        <v>1</v>
      </c>
      <c r="Y125">
        <f t="shared" si="10"/>
        <v>712</v>
      </c>
    </row>
    <row r="126" spans="1:25" x14ac:dyDescent="0.25">
      <c r="A126" s="7" t="s">
        <v>256</v>
      </c>
      <c r="B126" s="40">
        <v>31</v>
      </c>
      <c r="C126">
        <f t="shared" si="8"/>
        <v>406</v>
      </c>
      <c r="D126" s="7" t="s">
        <v>249</v>
      </c>
      <c r="E126">
        <f t="shared" si="7"/>
        <v>52</v>
      </c>
      <c r="G126" s="7" t="s">
        <v>242</v>
      </c>
      <c r="H126" s="40">
        <v>1000</v>
      </c>
      <c r="I126">
        <f t="shared" si="9"/>
        <v>100</v>
      </c>
      <c r="J126" s="7" t="s">
        <v>242</v>
      </c>
      <c r="K126" s="7"/>
      <c r="L126">
        <f t="shared" si="11"/>
        <v>1000</v>
      </c>
      <c r="M126">
        <f t="shared" si="12"/>
        <v>144</v>
      </c>
      <c r="N126" s="7" t="s">
        <v>242</v>
      </c>
      <c r="O126" s="40">
        <v>1</v>
      </c>
      <c r="Y126">
        <f t="shared" si="10"/>
        <v>712</v>
      </c>
    </row>
    <row r="127" spans="1:25" x14ac:dyDescent="0.25">
      <c r="A127" s="7" t="s">
        <v>258</v>
      </c>
      <c r="B127" s="40">
        <v>0</v>
      </c>
      <c r="C127">
        <f t="shared" si="8"/>
        <v>350</v>
      </c>
      <c r="D127" s="7" t="s">
        <v>251</v>
      </c>
      <c r="E127">
        <f t="shared" si="7"/>
        <v>70</v>
      </c>
      <c r="G127" s="7" t="s">
        <v>245</v>
      </c>
      <c r="H127" s="40">
        <v>932</v>
      </c>
      <c r="I127">
        <f t="shared" si="9"/>
        <v>106</v>
      </c>
      <c r="J127" s="7" t="s">
        <v>245</v>
      </c>
      <c r="K127" s="7"/>
      <c r="L127">
        <f t="shared" si="11"/>
        <v>932</v>
      </c>
      <c r="M127">
        <f t="shared" si="12"/>
        <v>144</v>
      </c>
      <c r="N127" s="7" t="s">
        <v>245</v>
      </c>
      <c r="O127" s="40">
        <v>1</v>
      </c>
      <c r="Y127">
        <f t="shared" si="10"/>
        <v>712</v>
      </c>
    </row>
    <row r="128" spans="1:25" x14ac:dyDescent="0.25">
      <c r="A128" s="7" t="s">
        <v>259</v>
      </c>
      <c r="B128" s="40">
        <v>30</v>
      </c>
      <c r="C128">
        <f t="shared" si="8"/>
        <v>683</v>
      </c>
      <c r="D128" s="7" t="s">
        <v>253</v>
      </c>
      <c r="E128">
        <f t="shared" si="7"/>
        <v>0</v>
      </c>
      <c r="G128" s="7" t="s">
        <v>246</v>
      </c>
      <c r="H128" s="40">
        <v>946</v>
      </c>
      <c r="I128">
        <f t="shared" si="9"/>
        <v>105</v>
      </c>
      <c r="J128" s="7" t="s">
        <v>246</v>
      </c>
      <c r="K128" s="7"/>
      <c r="L128">
        <f t="shared" si="11"/>
        <v>946</v>
      </c>
      <c r="M128">
        <f t="shared" si="12"/>
        <v>144</v>
      </c>
      <c r="N128" s="7" t="s">
        <v>246</v>
      </c>
      <c r="O128" s="40">
        <v>1</v>
      </c>
      <c r="Y128">
        <f t="shared" si="10"/>
        <v>712</v>
      </c>
    </row>
    <row r="129" spans="1:25" x14ac:dyDescent="0.25">
      <c r="A129" s="7" t="s">
        <v>260</v>
      </c>
      <c r="B129" s="40">
        <v>47</v>
      </c>
      <c r="C129">
        <f t="shared" si="8"/>
        <v>234</v>
      </c>
      <c r="D129" s="7" t="s">
        <v>254</v>
      </c>
      <c r="E129">
        <f t="shared" si="7"/>
        <v>126</v>
      </c>
      <c r="G129" s="7" t="s">
        <v>248</v>
      </c>
      <c r="H129" s="40">
        <v>102</v>
      </c>
      <c r="I129">
        <f t="shared" si="9"/>
        <v>444</v>
      </c>
      <c r="J129" s="7" t="s">
        <v>248</v>
      </c>
      <c r="K129" s="7"/>
      <c r="L129">
        <f t="shared" si="11"/>
        <v>102</v>
      </c>
      <c r="M129">
        <f t="shared" si="12"/>
        <v>28</v>
      </c>
      <c r="N129" s="7" t="s">
        <v>248</v>
      </c>
      <c r="O129" s="40">
        <v>2</v>
      </c>
      <c r="Y129">
        <f t="shared" si="10"/>
        <v>712</v>
      </c>
    </row>
    <row r="130" spans="1:25" x14ac:dyDescent="0.25">
      <c r="A130" s="7" t="s">
        <v>261</v>
      </c>
      <c r="B130" s="40">
        <v>137</v>
      </c>
      <c r="C130">
        <f t="shared" si="8"/>
        <v>617</v>
      </c>
      <c r="D130" s="7" t="s">
        <v>255</v>
      </c>
      <c r="E130">
        <f t="shared" si="7"/>
        <v>16</v>
      </c>
      <c r="G130" s="7" t="s">
        <v>249</v>
      </c>
      <c r="H130" s="40">
        <v>0</v>
      </c>
      <c r="I130">
        <f t="shared" si="9"/>
        <v>754</v>
      </c>
      <c r="J130" s="7" t="s">
        <v>249</v>
      </c>
      <c r="K130" s="7"/>
      <c r="L130">
        <f t="shared" si="11"/>
        <v>0</v>
      </c>
      <c r="M130">
        <f t="shared" si="12"/>
        <v>144</v>
      </c>
      <c r="N130" s="7" t="s">
        <v>249</v>
      </c>
      <c r="O130" s="40">
        <v>1</v>
      </c>
      <c r="Y130">
        <f t="shared" si="10"/>
        <v>712</v>
      </c>
    </row>
    <row r="131" spans="1:25" x14ac:dyDescent="0.25">
      <c r="A131" s="7" t="s">
        <v>263</v>
      </c>
      <c r="B131" s="40">
        <v>0</v>
      </c>
      <c r="C131">
        <f t="shared" si="8"/>
        <v>508</v>
      </c>
      <c r="D131" s="7" t="s">
        <v>256</v>
      </c>
      <c r="E131">
        <f t="shared" si="7"/>
        <v>31</v>
      </c>
      <c r="G131" s="7" t="s">
        <v>251</v>
      </c>
      <c r="H131" s="40">
        <v>13</v>
      </c>
      <c r="I131">
        <f t="shared" si="9"/>
        <v>687</v>
      </c>
      <c r="J131" s="7" t="s">
        <v>251</v>
      </c>
      <c r="K131" s="7"/>
      <c r="L131">
        <f t="shared" si="11"/>
        <v>13</v>
      </c>
      <c r="M131">
        <f t="shared" si="12"/>
        <v>144</v>
      </c>
      <c r="N131" s="7" t="s">
        <v>251</v>
      </c>
      <c r="O131" s="40">
        <v>1</v>
      </c>
      <c r="Y131">
        <f t="shared" si="10"/>
        <v>712</v>
      </c>
    </row>
    <row r="132" spans="1:25" x14ac:dyDescent="0.25">
      <c r="A132" s="7" t="s">
        <v>264</v>
      </c>
      <c r="B132" s="40">
        <v>0</v>
      </c>
      <c r="C132">
        <f t="shared" si="8"/>
        <v>683</v>
      </c>
      <c r="D132" s="7" t="s">
        <v>258</v>
      </c>
      <c r="E132">
        <f t="shared" si="7"/>
        <v>0</v>
      </c>
      <c r="G132" s="7" t="s">
        <v>253</v>
      </c>
      <c r="H132" s="40">
        <v>63</v>
      </c>
      <c r="I132">
        <f t="shared" si="9"/>
        <v>519</v>
      </c>
      <c r="J132" s="7" t="s">
        <v>253</v>
      </c>
      <c r="K132" s="7"/>
      <c r="L132">
        <f t="shared" si="11"/>
        <v>63</v>
      </c>
      <c r="M132">
        <f t="shared" si="12"/>
        <v>144</v>
      </c>
      <c r="N132" s="7" t="s">
        <v>253</v>
      </c>
      <c r="O132" s="40">
        <v>1</v>
      </c>
      <c r="Y132">
        <f t="shared" si="10"/>
        <v>712</v>
      </c>
    </row>
    <row r="133" spans="1:25" x14ac:dyDescent="0.25">
      <c r="A133" s="7" t="s">
        <v>265</v>
      </c>
      <c r="B133" s="40">
        <v>100</v>
      </c>
      <c r="C133">
        <f t="shared" si="8"/>
        <v>512</v>
      </c>
      <c r="D133" s="7" t="s">
        <v>259</v>
      </c>
      <c r="E133">
        <f t="shared" si="7"/>
        <v>30</v>
      </c>
      <c r="G133" s="7" t="s">
        <v>254</v>
      </c>
      <c r="H133" s="40">
        <v>0</v>
      </c>
      <c r="I133">
        <f t="shared" si="9"/>
        <v>754</v>
      </c>
      <c r="J133" s="7" t="s">
        <v>254</v>
      </c>
      <c r="K133" s="7"/>
      <c r="L133">
        <f t="shared" si="11"/>
        <v>0</v>
      </c>
      <c r="M133">
        <f t="shared" si="12"/>
        <v>144</v>
      </c>
      <c r="N133" s="7" t="s">
        <v>254</v>
      </c>
      <c r="O133" s="40">
        <v>1</v>
      </c>
      <c r="Y133">
        <f t="shared" si="10"/>
        <v>712</v>
      </c>
    </row>
    <row r="134" spans="1:25" x14ac:dyDescent="0.25">
      <c r="A134" s="7" t="s">
        <v>266</v>
      </c>
      <c r="B134" s="40">
        <v>41</v>
      </c>
      <c r="C134">
        <f t="shared" si="8"/>
        <v>435</v>
      </c>
      <c r="D134" s="7" t="s">
        <v>260</v>
      </c>
      <c r="E134">
        <f t="shared" si="7"/>
        <v>47</v>
      </c>
      <c r="G134" s="7" t="s">
        <v>255</v>
      </c>
      <c r="H134" s="40">
        <v>13</v>
      </c>
      <c r="I134">
        <f t="shared" si="9"/>
        <v>687</v>
      </c>
      <c r="J134" s="7" t="s">
        <v>255</v>
      </c>
      <c r="K134" s="7"/>
      <c r="L134">
        <f t="shared" si="11"/>
        <v>13</v>
      </c>
      <c r="M134">
        <f t="shared" si="12"/>
        <v>144</v>
      </c>
      <c r="N134" s="7" t="s">
        <v>255</v>
      </c>
      <c r="O134" s="40">
        <v>1</v>
      </c>
      <c r="Y134">
        <f t="shared" si="10"/>
        <v>712</v>
      </c>
    </row>
    <row r="135" spans="1:25" x14ac:dyDescent="0.25">
      <c r="A135" s="7" t="s">
        <v>268</v>
      </c>
      <c r="B135" s="40">
        <v>3900</v>
      </c>
      <c r="C135">
        <f t="shared" si="8"/>
        <v>222</v>
      </c>
      <c r="D135" s="7" t="s">
        <v>261</v>
      </c>
      <c r="E135">
        <f t="shared" si="7"/>
        <v>137</v>
      </c>
      <c r="G135" s="7" t="s">
        <v>256</v>
      </c>
      <c r="H135" s="40">
        <v>168</v>
      </c>
      <c r="I135">
        <f t="shared" si="9"/>
        <v>367</v>
      </c>
      <c r="J135" s="7" t="s">
        <v>256</v>
      </c>
      <c r="K135" s="7"/>
      <c r="L135">
        <f t="shared" si="11"/>
        <v>168</v>
      </c>
      <c r="M135">
        <f t="shared" si="12"/>
        <v>144</v>
      </c>
      <c r="N135" s="7" t="s">
        <v>256</v>
      </c>
      <c r="O135" s="40">
        <v>1</v>
      </c>
      <c r="Y135">
        <f t="shared" si="10"/>
        <v>712</v>
      </c>
    </row>
    <row r="136" spans="1:25" x14ac:dyDescent="0.25">
      <c r="A136" s="7" t="s">
        <v>269</v>
      </c>
      <c r="B136" s="40">
        <v>30</v>
      </c>
      <c r="C136">
        <f t="shared" si="8"/>
        <v>683</v>
      </c>
      <c r="D136" s="7" t="s">
        <v>263</v>
      </c>
      <c r="E136">
        <f t="shared" si="7"/>
        <v>0</v>
      </c>
      <c r="G136" s="7" t="s">
        <v>258</v>
      </c>
      <c r="H136" s="40">
        <v>223</v>
      </c>
      <c r="I136">
        <f t="shared" si="9"/>
        <v>314</v>
      </c>
      <c r="J136" s="7" t="s">
        <v>258</v>
      </c>
      <c r="K136" s="7"/>
      <c r="L136">
        <f t="shared" si="11"/>
        <v>223</v>
      </c>
      <c r="M136">
        <f t="shared" si="12"/>
        <v>144</v>
      </c>
      <c r="N136" s="7" t="s">
        <v>258</v>
      </c>
      <c r="O136" s="40">
        <v>1</v>
      </c>
      <c r="Y136">
        <f t="shared" si="10"/>
        <v>712</v>
      </c>
    </row>
    <row r="137" spans="1:25" x14ac:dyDescent="0.25">
      <c r="A137" s="7" t="s">
        <v>272</v>
      </c>
      <c r="B137" s="40">
        <v>28</v>
      </c>
      <c r="C137">
        <f t="shared" si="8"/>
        <v>683</v>
      </c>
      <c r="D137" s="7" t="s">
        <v>264</v>
      </c>
      <c r="E137">
        <f t="shared" ref="E137:E200" si="13">VLOOKUP(D:D,A132:B956,2,0)</f>
        <v>0</v>
      </c>
      <c r="G137" s="7" t="s">
        <v>259</v>
      </c>
      <c r="H137" s="40">
        <v>14</v>
      </c>
      <c r="I137">
        <f t="shared" si="9"/>
        <v>683</v>
      </c>
      <c r="J137" s="7" t="s">
        <v>259</v>
      </c>
      <c r="K137" s="7"/>
      <c r="L137">
        <f t="shared" si="11"/>
        <v>14</v>
      </c>
      <c r="M137">
        <f t="shared" si="12"/>
        <v>144</v>
      </c>
      <c r="N137" s="7" t="s">
        <v>259</v>
      </c>
      <c r="O137" s="40">
        <v>1</v>
      </c>
      <c r="Y137">
        <f t="shared" si="10"/>
        <v>712</v>
      </c>
    </row>
    <row r="138" spans="1:25" x14ac:dyDescent="0.25">
      <c r="A138" s="7" t="s">
        <v>273</v>
      </c>
      <c r="B138" s="40">
        <v>30</v>
      </c>
      <c r="C138">
        <f t="shared" ref="C138:C201" si="14">RANK(E:E,E:E)</f>
        <v>254</v>
      </c>
      <c r="D138" s="7" t="s">
        <v>265</v>
      </c>
      <c r="E138">
        <f t="shared" si="13"/>
        <v>100</v>
      </c>
      <c r="G138" s="7" t="s">
        <v>260</v>
      </c>
      <c r="H138" s="40">
        <v>49</v>
      </c>
      <c r="I138">
        <f t="shared" si="9"/>
        <v>558</v>
      </c>
      <c r="J138" s="7" t="s">
        <v>260</v>
      </c>
      <c r="K138" s="7"/>
      <c r="L138">
        <f t="shared" si="11"/>
        <v>49</v>
      </c>
      <c r="M138">
        <f t="shared" si="12"/>
        <v>144</v>
      </c>
      <c r="N138" s="7" t="s">
        <v>260</v>
      </c>
      <c r="O138" s="40">
        <v>1</v>
      </c>
      <c r="Y138">
        <f t="shared" si="10"/>
        <v>712</v>
      </c>
    </row>
    <row r="139" spans="1:25" x14ac:dyDescent="0.25">
      <c r="A139" s="7" t="s">
        <v>274</v>
      </c>
      <c r="B139" s="40">
        <v>240</v>
      </c>
      <c r="C139">
        <f t="shared" si="14"/>
        <v>451</v>
      </c>
      <c r="D139" s="7" t="s">
        <v>266</v>
      </c>
      <c r="E139">
        <f t="shared" si="13"/>
        <v>41</v>
      </c>
      <c r="G139" s="7" t="s">
        <v>261</v>
      </c>
      <c r="H139" s="40">
        <v>69</v>
      </c>
      <c r="I139">
        <f t="shared" si="9"/>
        <v>510</v>
      </c>
      <c r="J139" s="7" t="s">
        <v>261</v>
      </c>
      <c r="K139" s="7"/>
      <c r="L139">
        <f t="shared" si="11"/>
        <v>69</v>
      </c>
      <c r="M139">
        <f t="shared" si="12"/>
        <v>144</v>
      </c>
      <c r="N139" s="7" t="s">
        <v>261</v>
      </c>
      <c r="O139" s="40">
        <v>1</v>
      </c>
      <c r="Y139">
        <f t="shared" si="10"/>
        <v>712</v>
      </c>
    </row>
    <row r="140" spans="1:25" x14ac:dyDescent="0.25">
      <c r="A140" s="7" t="s">
        <v>275</v>
      </c>
      <c r="B140" s="40">
        <v>65</v>
      </c>
      <c r="C140">
        <f t="shared" si="14"/>
        <v>9</v>
      </c>
      <c r="D140" s="7" t="s">
        <v>268</v>
      </c>
      <c r="E140">
        <f t="shared" si="13"/>
        <v>3900</v>
      </c>
      <c r="G140" s="7" t="s">
        <v>263</v>
      </c>
      <c r="H140" s="40">
        <v>380</v>
      </c>
      <c r="I140">
        <f t="shared" si="9"/>
        <v>214</v>
      </c>
      <c r="J140" s="7" t="s">
        <v>263</v>
      </c>
      <c r="K140" s="7"/>
      <c r="L140">
        <f t="shared" si="11"/>
        <v>380</v>
      </c>
      <c r="M140">
        <f t="shared" si="12"/>
        <v>144</v>
      </c>
      <c r="N140" s="7" t="s">
        <v>263</v>
      </c>
      <c r="O140" s="40">
        <v>1</v>
      </c>
      <c r="Y140">
        <f t="shared" si="10"/>
        <v>712</v>
      </c>
    </row>
    <row r="141" spans="1:25" x14ac:dyDescent="0.25">
      <c r="A141" s="7" t="s">
        <v>276</v>
      </c>
      <c r="B141" s="40">
        <v>40</v>
      </c>
      <c r="C141">
        <f t="shared" si="14"/>
        <v>512</v>
      </c>
      <c r="D141" s="7" t="s">
        <v>269</v>
      </c>
      <c r="E141">
        <f t="shared" si="13"/>
        <v>30</v>
      </c>
      <c r="G141" s="7" t="s">
        <v>264</v>
      </c>
      <c r="H141" s="40">
        <v>272</v>
      </c>
      <c r="I141">
        <f t="shared" ref="I141:I204" si="15">RANK(L:L,L:L)</f>
        <v>276</v>
      </c>
      <c r="J141" s="7" t="s">
        <v>264</v>
      </c>
      <c r="K141" s="7"/>
      <c r="L141">
        <f t="shared" si="11"/>
        <v>272</v>
      </c>
      <c r="M141">
        <f t="shared" si="12"/>
        <v>144</v>
      </c>
      <c r="N141" s="7" t="s">
        <v>264</v>
      </c>
      <c r="O141" s="40">
        <v>1</v>
      </c>
      <c r="Y141">
        <f t="shared" ref="Y141:Y204" si="16">RANK(AA:AA,AA:AA)</f>
        <v>712</v>
      </c>
    </row>
    <row r="142" spans="1:25" x14ac:dyDescent="0.25">
      <c r="A142" s="7" t="s">
        <v>277</v>
      </c>
      <c r="B142" s="40">
        <v>250</v>
      </c>
      <c r="C142">
        <f t="shared" si="14"/>
        <v>544</v>
      </c>
      <c r="D142" s="7" t="s">
        <v>272</v>
      </c>
      <c r="E142">
        <f t="shared" si="13"/>
        <v>28</v>
      </c>
      <c r="G142" s="7" t="s">
        <v>265</v>
      </c>
      <c r="H142" s="40">
        <v>1000</v>
      </c>
      <c r="I142">
        <f t="shared" si="15"/>
        <v>100</v>
      </c>
      <c r="J142" s="7" t="s">
        <v>265</v>
      </c>
      <c r="K142" s="7"/>
      <c r="L142">
        <f t="shared" ref="L142:L205" si="17">VLOOKUP(G142,G141:H964,2,0)</f>
        <v>1000</v>
      </c>
      <c r="M142">
        <f t="shared" ref="M142:M205" si="18">RANK(O:O,O:O)</f>
        <v>144</v>
      </c>
      <c r="N142" s="7" t="s">
        <v>265</v>
      </c>
      <c r="O142" s="40">
        <v>1</v>
      </c>
      <c r="Y142">
        <f t="shared" si="16"/>
        <v>712</v>
      </c>
    </row>
    <row r="143" spans="1:25" x14ac:dyDescent="0.25">
      <c r="A143" s="7" t="s">
        <v>278</v>
      </c>
      <c r="B143" s="40">
        <v>0</v>
      </c>
      <c r="C143">
        <f t="shared" si="14"/>
        <v>512</v>
      </c>
      <c r="D143" s="7" t="s">
        <v>273</v>
      </c>
      <c r="E143">
        <f t="shared" si="13"/>
        <v>30</v>
      </c>
      <c r="G143" s="7" t="s">
        <v>266</v>
      </c>
      <c r="H143" s="40">
        <v>137</v>
      </c>
      <c r="I143">
        <f t="shared" si="15"/>
        <v>400</v>
      </c>
      <c r="J143" s="7" t="s">
        <v>266</v>
      </c>
      <c r="K143" s="7"/>
      <c r="L143">
        <f t="shared" si="17"/>
        <v>137</v>
      </c>
      <c r="M143">
        <f t="shared" si="18"/>
        <v>144</v>
      </c>
      <c r="N143" s="7" t="s">
        <v>266</v>
      </c>
      <c r="O143" s="40">
        <v>1</v>
      </c>
      <c r="Y143">
        <f t="shared" si="16"/>
        <v>712</v>
      </c>
    </row>
    <row r="144" spans="1:25" x14ac:dyDescent="0.25">
      <c r="A144" s="7" t="s">
        <v>279</v>
      </c>
      <c r="B144" s="40">
        <v>180</v>
      </c>
      <c r="C144">
        <f t="shared" si="14"/>
        <v>129</v>
      </c>
      <c r="D144" s="7" t="s">
        <v>274</v>
      </c>
      <c r="E144">
        <f t="shared" si="13"/>
        <v>240</v>
      </c>
      <c r="G144" s="7" t="s">
        <v>268</v>
      </c>
      <c r="H144" s="40">
        <v>1810</v>
      </c>
      <c r="I144">
        <f t="shared" si="15"/>
        <v>58</v>
      </c>
      <c r="J144" s="7" t="s">
        <v>268</v>
      </c>
      <c r="K144" s="7"/>
      <c r="L144">
        <f t="shared" si="17"/>
        <v>1810</v>
      </c>
      <c r="M144">
        <f t="shared" si="18"/>
        <v>28</v>
      </c>
      <c r="N144" s="7" t="s">
        <v>268</v>
      </c>
      <c r="O144" s="40">
        <v>2</v>
      </c>
      <c r="Y144">
        <f t="shared" si="16"/>
        <v>712</v>
      </c>
    </row>
    <row r="145" spans="1:25" x14ac:dyDescent="0.25">
      <c r="A145" s="7" t="s">
        <v>280</v>
      </c>
      <c r="B145" s="40">
        <v>0</v>
      </c>
      <c r="C145">
        <f t="shared" si="14"/>
        <v>366</v>
      </c>
      <c r="D145" s="7" t="s">
        <v>275</v>
      </c>
      <c r="E145">
        <f t="shared" si="13"/>
        <v>65</v>
      </c>
      <c r="G145" s="7" t="s">
        <v>269</v>
      </c>
      <c r="H145" s="40">
        <v>408</v>
      </c>
      <c r="I145">
        <f t="shared" si="15"/>
        <v>205</v>
      </c>
      <c r="J145" s="7" t="s">
        <v>269</v>
      </c>
      <c r="K145" s="7"/>
      <c r="L145">
        <f t="shared" si="17"/>
        <v>408</v>
      </c>
      <c r="M145">
        <f t="shared" si="18"/>
        <v>28</v>
      </c>
      <c r="N145" s="7" t="s">
        <v>269</v>
      </c>
      <c r="O145" s="40">
        <v>2</v>
      </c>
      <c r="Y145">
        <f t="shared" si="16"/>
        <v>712</v>
      </c>
    </row>
    <row r="146" spans="1:25" x14ac:dyDescent="0.25">
      <c r="A146" s="7" t="s">
        <v>283</v>
      </c>
      <c r="B146" s="40">
        <v>120</v>
      </c>
      <c r="C146">
        <f t="shared" si="14"/>
        <v>454</v>
      </c>
      <c r="D146" s="7" t="s">
        <v>276</v>
      </c>
      <c r="E146">
        <f t="shared" si="13"/>
        <v>40</v>
      </c>
      <c r="G146" s="7" t="s">
        <v>272</v>
      </c>
      <c r="H146" s="40">
        <v>435</v>
      </c>
      <c r="I146">
        <f t="shared" si="15"/>
        <v>195</v>
      </c>
      <c r="J146" s="7" t="s">
        <v>272</v>
      </c>
      <c r="K146" s="7"/>
      <c r="L146">
        <f t="shared" si="17"/>
        <v>435</v>
      </c>
      <c r="M146">
        <f t="shared" si="18"/>
        <v>144</v>
      </c>
      <c r="N146" s="7" t="s">
        <v>272</v>
      </c>
      <c r="O146" s="40">
        <v>1</v>
      </c>
      <c r="Y146">
        <f t="shared" si="16"/>
        <v>712</v>
      </c>
    </row>
    <row r="147" spans="1:25" x14ac:dyDescent="0.25">
      <c r="A147" s="7" t="s">
        <v>284</v>
      </c>
      <c r="B147" s="40">
        <v>544</v>
      </c>
      <c r="C147">
        <f t="shared" si="14"/>
        <v>121</v>
      </c>
      <c r="D147" s="7" t="s">
        <v>277</v>
      </c>
      <c r="E147">
        <f t="shared" si="13"/>
        <v>250</v>
      </c>
      <c r="G147" s="7" t="s">
        <v>273</v>
      </c>
      <c r="H147" s="40">
        <v>60</v>
      </c>
      <c r="I147">
        <f t="shared" si="15"/>
        <v>525</v>
      </c>
      <c r="J147" s="7" t="s">
        <v>273</v>
      </c>
      <c r="K147" s="7"/>
      <c r="L147">
        <f t="shared" si="17"/>
        <v>60</v>
      </c>
      <c r="M147">
        <f t="shared" si="18"/>
        <v>144</v>
      </c>
      <c r="N147" s="7" t="s">
        <v>273</v>
      </c>
      <c r="O147" s="40">
        <v>1</v>
      </c>
      <c r="Y147">
        <f t="shared" si="16"/>
        <v>712</v>
      </c>
    </row>
    <row r="148" spans="1:25" x14ac:dyDescent="0.25">
      <c r="A148" s="7" t="s">
        <v>285</v>
      </c>
      <c r="B148" s="40">
        <v>0</v>
      </c>
      <c r="C148">
        <f t="shared" si="14"/>
        <v>683</v>
      </c>
      <c r="D148" s="7" t="s">
        <v>278</v>
      </c>
      <c r="E148">
        <f t="shared" si="13"/>
        <v>0</v>
      </c>
      <c r="G148" s="7" t="s">
        <v>274</v>
      </c>
      <c r="H148" s="40">
        <v>244</v>
      </c>
      <c r="I148">
        <f t="shared" si="15"/>
        <v>293</v>
      </c>
      <c r="J148" s="7" t="s">
        <v>274</v>
      </c>
      <c r="K148" s="7"/>
      <c r="L148">
        <f t="shared" si="17"/>
        <v>244</v>
      </c>
      <c r="M148">
        <f t="shared" si="18"/>
        <v>28</v>
      </c>
      <c r="N148" s="7" t="s">
        <v>274</v>
      </c>
      <c r="O148" s="40">
        <v>2</v>
      </c>
      <c r="Y148">
        <f t="shared" si="16"/>
        <v>712</v>
      </c>
    </row>
    <row r="149" spans="1:25" x14ac:dyDescent="0.25">
      <c r="A149" s="7" t="s">
        <v>286</v>
      </c>
      <c r="B149" s="40">
        <v>0</v>
      </c>
      <c r="C149">
        <f t="shared" si="14"/>
        <v>169</v>
      </c>
      <c r="D149" s="7" t="s">
        <v>279</v>
      </c>
      <c r="E149">
        <f t="shared" si="13"/>
        <v>180</v>
      </c>
      <c r="G149" s="7" t="s">
        <v>275</v>
      </c>
      <c r="H149" s="40">
        <v>16</v>
      </c>
      <c r="I149">
        <f t="shared" si="15"/>
        <v>671</v>
      </c>
      <c r="J149" s="7" t="s">
        <v>275</v>
      </c>
      <c r="K149" s="7"/>
      <c r="L149">
        <f t="shared" si="17"/>
        <v>16</v>
      </c>
      <c r="M149">
        <f t="shared" si="18"/>
        <v>144</v>
      </c>
      <c r="N149" s="7" t="s">
        <v>275</v>
      </c>
      <c r="O149" s="40">
        <v>1</v>
      </c>
      <c r="Y149">
        <f t="shared" si="16"/>
        <v>712</v>
      </c>
    </row>
    <row r="150" spans="1:25" x14ac:dyDescent="0.25">
      <c r="A150" s="7" t="s">
        <v>287</v>
      </c>
      <c r="B150" s="40">
        <v>75</v>
      </c>
      <c r="C150">
        <f t="shared" si="14"/>
        <v>683</v>
      </c>
      <c r="D150" s="7" t="s">
        <v>280</v>
      </c>
      <c r="E150">
        <f t="shared" si="13"/>
        <v>0</v>
      </c>
      <c r="G150" s="7" t="s">
        <v>276</v>
      </c>
      <c r="H150" s="40">
        <v>21</v>
      </c>
      <c r="I150">
        <f t="shared" si="15"/>
        <v>648</v>
      </c>
      <c r="J150" s="7" t="s">
        <v>276</v>
      </c>
      <c r="K150" s="7"/>
      <c r="L150">
        <f t="shared" si="17"/>
        <v>21</v>
      </c>
      <c r="M150">
        <f t="shared" si="18"/>
        <v>144</v>
      </c>
      <c r="N150" s="7" t="s">
        <v>276</v>
      </c>
      <c r="O150" s="40">
        <v>1</v>
      </c>
      <c r="Y150">
        <f t="shared" si="16"/>
        <v>712</v>
      </c>
    </row>
    <row r="151" spans="1:25" x14ac:dyDescent="0.25">
      <c r="A151" s="7" t="s">
        <v>290</v>
      </c>
      <c r="B151" s="40">
        <v>9</v>
      </c>
      <c r="C151">
        <f t="shared" si="14"/>
        <v>238</v>
      </c>
      <c r="D151" s="7" t="s">
        <v>283</v>
      </c>
      <c r="E151">
        <f t="shared" si="13"/>
        <v>120</v>
      </c>
      <c r="G151" s="7" t="s">
        <v>277</v>
      </c>
      <c r="H151" s="40">
        <v>95</v>
      </c>
      <c r="I151">
        <f t="shared" si="15"/>
        <v>461</v>
      </c>
      <c r="J151" s="7" t="s">
        <v>277</v>
      </c>
      <c r="K151" s="7"/>
      <c r="L151">
        <f t="shared" si="17"/>
        <v>95</v>
      </c>
      <c r="M151">
        <f t="shared" si="18"/>
        <v>144</v>
      </c>
      <c r="N151" s="7" t="s">
        <v>277</v>
      </c>
      <c r="O151" s="40">
        <v>1</v>
      </c>
      <c r="Y151">
        <f t="shared" si="16"/>
        <v>712</v>
      </c>
    </row>
    <row r="152" spans="1:25" x14ac:dyDescent="0.25">
      <c r="A152" s="7" t="s">
        <v>291</v>
      </c>
      <c r="B152" s="40">
        <v>270</v>
      </c>
      <c r="C152">
        <f t="shared" si="14"/>
        <v>62</v>
      </c>
      <c r="D152" s="7" t="s">
        <v>284</v>
      </c>
      <c r="E152">
        <f t="shared" si="13"/>
        <v>544</v>
      </c>
      <c r="G152" s="7" t="s">
        <v>278</v>
      </c>
      <c r="H152" s="40">
        <v>200</v>
      </c>
      <c r="I152">
        <f t="shared" si="15"/>
        <v>334</v>
      </c>
      <c r="J152" s="7" t="s">
        <v>278</v>
      </c>
      <c r="K152" s="7"/>
      <c r="L152">
        <f t="shared" si="17"/>
        <v>200</v>
      </c>
      <c r="M152">
        <f t="shared" si="18"/>
        <v>144</v>
      </c>
      <c r="N152" s="7" t="s">
        <v>278</v>
      </c>
      <c r="O152" s="40">
        <v>1</v>
      </c>
      <c r="Y152">
        <f t="shared" si="16"/>
        <v>712</v>
      </c>
    </row>
    <row r="153" spans="1:25" x14ac:dyDescent="0.25">
      <c r="A153" s="7" t="s">
        <v>294</v>
      </c>
      <c r="B153" s="40">
        <v>0</v>
      </c>
      <c r="C153">
        <f t="shared" si="14"/>
        <v>683</v>
      </c>
      <c r="D153" s="7" t="s">
        <v>285</v>
      </c>
      <c r="E153">
        <f t="shared" si="13"/>
        <v>0</v>
      </c>
      <c r="G153" s="7" t="s">
        <v>279</v>
      </c>
      <c r="H153" s="40">
        <v>224</v>
      </c>
      <c r="I153">
        <f t="shared" si="15"/>
        <v>312</v>
      </c>
      <c r="J153" s="7" t="s">
        <v>279</v>
      </c>
      <c r="K153" s="7"/>
      <c r="L153">
        <f t="shared" si="17"/>
        <v>224</v>
      </c>
      <c r="M153">
        <f t="shared" si="18"/>
        <v>144</v>
      </c>
      <c r="N153" s="7" t="s">
        <v>279</v>
      </c>
      <c r="O153" s="40">
        <v>1</v>
      </c>
      <c r="Y153">
        <f t="shared" si="16"/>
        <v>712</v>
      </c>
    </row>
    <row r="154" spans="1:25" x14ac:dyDescent="0.25">
      <c r="A154" s="7" t="s">
        <v>297</v>
      </c>
      <c r="B154" s="40">
        <v>40</v>
      </c>
      <c r="C154">
        <f t="shared" si="14"/>
        <v>683</v>
      </c>
      <c r="D154" s="7" t="s">
        <v>286</v>
      </c>
      <c r="E154">
        <f t="shared" si="13"/>
        <v>0</v>
      </c>
      <c r="G154" s="7" t="s">
        <v>280</v>
      </c>
      <c r="H154" s="40">
        <v>3700</v>
      </c>
      <c r="I154">
        <f t="shared" si="15"/>
        <v>28</v>
      </c>
      <c r="J154" s="7" t="s">
        <v>280</v>
      </c>
      <c r="K154" s="7"/>
      <c r="L154">
        <f t="shared" si="17"/>
        <v>3700</v>
      </c>
      <c r="M154">
        <f t="shared" si="18"/>
        <v>144</v>
      </c>
      <c r="N154" s="7" t="s">
        <v>280</v>
      </c>
      <c r="O154" s="40">
        <v>1</v>
      </c>
      <c r="Y154">
        <f t="shared" si="16"/>
        <v>712</v>
      </c>
    </row>
    <row r="155" spans="1:25" x14ac:dyDescent="0.25">
      <c r="A155" s="7" t="s">
        <v>298</v>
      </c>
      <c r="B155" s="40">
        <v>180</v>
      </c>
      <c r="C155">
        <f t="shared" si="14"/>
        <v>341</v>
      </c>
      <c r="D155" s="7" t="s">
        <v>287</v>
      </c>
      <c r="E155">
        <f t="shared" si="13"/>
        <v>75</v>
      </c>
      <c r="G155" s="7" t="s">
        <v>283</v>
      </c>
      <c r="H155" s="40">
        <v>585</v>
      </c>
      <c r="I155">
        <f t="shared" si="15"/>
        <v>154</v>
      </c>
      <c r="J155" s="7" t="s">
        <v>283</v>
      </c>
      <c r="K155" s="7"/>
      <c r="L155">
        <f t="shared" si="17"/>
        <v>585</v>
      </c>
      <c r="M155">
        <f t="shared" si="18"/>
        <v>144</v>
      </c>
      <c r="N155" s="7" t="s">
        <v>283</v>
      </c>
      <c r="O155" s="40">
        <v>1</v>
      </c>
      <c r="Y155">
        <f t="shared" si="16"/>
        <v>712</v>
      </c>
    </row>
    <row r="156" spans="1:25" x14ac:dyDescent="0.25">
      <c r="A156" s="7" t="s">
        <v>301</v>
      </c>
      <c r="B156" s="40">
        <v>70</v>
      </c>
      <c r="C156">
        <f t="shared" si="14"/>
        <v>662</v>
      </c>
      <c r="D156" s="7" t="s">
        <v>290</v>
      </c>
      <c r="E156">
        <f t="shared" si="13"/>
        <v>9</v>
      </c>
      <c r="G156" s="7" t="s">
        <v>284</v>
      </c>
      <c r="H156" s="40">
        <v>1406</v>
      </c>
      <c r="I156">
        <f t="shared" si="15"/>
        <v>72</v>
      </c>
      <c r="J156" s="7" t="s">
        <v>284</v>
      </c>
      <c r="K156" s="7"/>
      <c r="L156">
        <f t="shared" si="17"/>
        <v>1406</v>
      </c>
      <c r="M156">
        <f t="shared" si="18"/>
        <v>28</v>
      </c>
      <c r="N156" s="7" t="s">
        <v>284</v>
      </c>
      <c r="O156" s="40">
        <v>2</v>
      </c>
      <c r="Y156">
        <f t="shared" si="16"/>
        <v>712</v>
      </c>
    </row>
    <row r="157" spans="1:25" x14ac:dyDescent="0.25">
      <c r="A157" s="7" t="s">
        <v>302</v>
      </c>
      <c r="B157" s="40">
        <v>92</v>
      </c>
      <c r="C157">
        <f t="shared" si="14"/>
        <v>113</v>
      </c>
      <c r="D157" s="7" t="s">
        <v>291</v>
      </c>
      <c r="E157">
        <f t="shared" si="13"/>
        <v>270</v>
      </c>
      <c r="G157" s="7" t="s">
        <v>285</v>
      </c>
      <c r="H157" s="40">
        <v>0</v>
      </c>
      <c r="I157">
        <f t="shared" si="15"/>
        <v>754</v>
      </c>
      <c r="J157" s="7" t="s">
        <v>285</v>
      </c>
      <c r="K157" s="7"/>
      <c r="L157">
        <f t="shared" si="17"/>
        <v>0</v>
      </c>
      <c r="M157">
        <f t="shared" si="18"/>
        <v>144</v>
      </c>
      <c r="N157" s="7" t="s">
        <v>285</v>
      </c>
      <c r="O157" s="40">
        <v>1</v>
      </c>
      <c r="Y157">
        <f t="shared" si="16"/>
        <v>712</v>
      </c>
    </row>
    <row r="158" spans="1:25" x14ac:dyDescent="0.25">
      <c r="A158" s="7" t="s">
        <v>303</v>
      </c>
      <c r="B158" s="40">
        <v>80</v>
      </c>
      <c r="C158">
        <f t="shared" si="14"/>
        <v>683</v>
      </c>
      <c r="D158" s="7" t="s">
        <v>294</v>
      </c>
      <c r="E158">
        <f t="shared" si="13"/>
        <v>0</v>
      </c>
      <c r="G158" s="7" t="s">
        <v>286</v>
      </c>
      <c r="H158" s="40">
        <v>69</v>
      </c>
      <c r="I158">
        <f t="shared" si="15"/>
        <v>510</v>
      </c>
      <c r="J158" s="7" t="s">
        <v>286</v>
      </c>
      <c r="K158" s="7"/>
      <c r="L158">
        <f t="shared" si="17"/>
        <v>69</v>
      </c>
      <c r="M158">
        <f t="shared" si="18"/>
        <v>144</v>
      </c>
      <c r="N158" s="7" t="s">
        <v>286</v>
      </c>
      <c r="O158" s="40">
        <v>1</v>
      </c>
      <c r="Y158">
        <f t="shared" si="16"/>
        <v>712</v>
      </c>
    </row>
    <row r="159" spans="1:25" x14ac:dyDescent="0.25">
      <c r="A159" s="7" t="s">
        <v>304</v>
      </c>
      <c r="B159" s="40">
        <v>140</v>
      </c>
      <c r="C159">
        <f t="shared" si="14"/>
        <v>454</v>
      </c>
      <c r="D159" s="7" t="s">
        <v>297</v>
      </c>
      <c r="E159">
        <f t="shared" si="13"/>
        <v>40</v>
      </c>
      <c r="G159" s="7" t="s">
        <v>287</v>
      </c>
      <c r="H159" s="40">
        <v>0</v>
      </c>
      <c r="I159">
        <f t="shared" si="15"/>
        <v>754</v>
      </c>
      <c r="J159" s="7" t="s">
        <v>287</v>
      </c>
      <c r="K159" s="7"/>
      <c r="L159">
        <f t="shared" si="17"/>
        <v>0</v>
      </c>
      <c r="M159">
        <f t="shared" si="18"/>
        <v>28</v>
      </c>
      <c r="N159" s="7" t="s">
        <v>287</v>
      </c>
      <c r="O159" s="40">
        <v>2</v>
      </c>
      <c r="Y159">
        <f t="shared" si="16"/>
        <v>712</v>
      </c>
    </row>
    <row r="160" spans="1:25" x14ac:dyDescent="0.25">
      <c r="A160" s="7" t="s">
        <v>305</v>
      </c>
      <c r="B160" s="40">
        <v>0</v>
      </c>
      <c r="C160">
        <f t="shared" si="14"/>
        <v>169</v>
      </c>
      <c r="D160" s="7" t="s">
        <v>298</v>
      </c>
      <c r="E160">
        <f t="shared" si="13"/>
        <v>180</v>
      </c>
      <c r="G160" s="7" t="s">
        <v>290</v>
      </c>
      <c r="H160" s="40">
        <v>30</v>
      </c>
      <c r="I160">
        <f t="shared" si="15"/>
        <v>613</v>
      </c>
      <c r="J160" s="7" t="s">
        <v>290</v>
      </c>
      <c r="K160" s="7"/>
      <c r="L160">
        <f t="shared" si="17"/>
        <v>30</v>
      </c>
      <c r="M160">
        <f t="shared" si="18"/>
        <v>144</v>
      </c>
      <c r="N160" s="7" t="s">
        <v>290</v>
      </c>
      <c r="O160" s="40">
        <v>1</v>
      </c>
      <c r="Y160">
        <f t="shared" si="16"/>
        <v>712</v>
      </c>
    </row>
    <row r="161" spans="1:25" x14ac:dyDescent="0.25">
      <c r="A161" s="7" t="s">
        <v>306</v>
      </c>
      <c r="B161" s="40">
        <v>220</v>
      </c>
      <c r="C161">
        <f t="shared" si="14"/>
        <v>350</v>
      </c>
      <c r="D161" s="7" t="s">
        <v>301</v>
      </c>
      <c r="E161">
        <f t="shared" si="13"/>
        <v>70</v>
      </c>
      <c r="G161" s="7" t="s">
        <v>291</v>
      </c>
      <c r="H161" s="40">
        <v>546</v>
      </c>
      <c r="I161">
        <f t="shared" si="15"/>
        <v>167</v>
      </c>
      <c r="J161" s="7" t="s">
        <v>291</v>
      </c>
      <c r="K161" s="7"/>
      <c r="L161">
        <f t="shared" si="17"/>
        <v>546</v>
      </c>
      <c r="M161">
        <f t="shared" si="18"/>
        <v>144</v>
      </c>
      <c r="N161" s="7" t="s">
        <v>291</v>
      </c>
      <c r="O161" s="40">
        <v>1</v>
      </c>
      <c r="Y161">
        <f t="shared" si="16"/>
        <v>712</v>
      </c>
    </row>
    <row r="162" spans="1:25" x14ac:dyDescent="0.25">
      <c r="A162" s="7" t="s">
        <v>307</v>
      </c>
      <c r="B162" s="40">
        <v>900</v>
      </c>
      <c r="C162">
        <f t="shared" si="14"/>
        <v>297</v>
      </c>
      <c r="D162" s="7" t="s">
        <v>302</v>
      </c>
      <c r="E162">
        <f t="shared" si="13"/>
        <v>92</v>
      </c>
      <c r="G162" s="7" t="s">
        <v>294</v>
      </c>
      <c r="H162" s="40">
        <v>83</v>
      </c>
      <c r="I162">
        <f t="shared" si="15"/>
        <v>481</v>
      </c>
      <c r="J162" s="7" t="s">
        <v>294</v>
      </c>
      <c r="K162" s="7"/>
      <c r="L162">
        <f t="shared" si="17"/>
        <v>83</v>
      </c>
      <c r="M162">
        <f t="shared" si="18"/>
        <v>144</v>
      </c>
      <c r="N162" s="7" t="s">
        <v>294</v>
      </c>
      <c r="O162" s="40">
        <v>1</v>
      </c>
      <c r="Y162">
        <f t="shared" si="16"/>
        <v>712</v>
      </c>
    </row>
    <row r="163" spans="1:25" x14ac:dyDescent="0.25">
      <c r="A163" s="7" t="s">
        <v>310</v>
      </c>
      <c r="B163" s="40">
        <v>500</v>
      </c>
      <c r="C163">
        <f t="shared" si="14"/>
        <v>322</v>
      </c>
      <c r="D163" s="7" t="s">
        <v>303</v>
      </c>
      <c r="E163">
        <f t="shared" si="13"/>
        <v>80</v>
      </c>
      <c r="G163" s="7" t="s">
        <v>297</v>
      </c>
      <c r="H163" s="40">
        <v>401</v>
      </c>
      <c r="I163">
        <f t="shared" si="15"/>
        <v>208</v>
      </c>
      <c r="J163" s="7" t="s">
        <v>297</v>
      </c>
      <c r="K163" s="7"/>
      <c r="L163">
        <f t="shared" si="17"/>
        <v>401</v>
      </c>
      <c r="M163">
        <f t="shared" si="18"/>
        <v>144</v>
      </c>
      <c r="N163" s="7" t="s">
        <v>297</v>
      </c>
      <c r="O163" s="40">
        <v>1</v>
      </c>
      <c r="Y163">
        <f t="shared" si="16"/>
        <v>712</v>
      </c>
    </row>
    <row r="164" spans="1:25" x14ac:dyDescent="0.25">
      <c r="A164" s="7" t="s">
        <v>312</v>
      </c>
      <c r="B164" s="40">
        <v>200</v>
      </c>
      <c r="C164">
        <f t="shared" si="14"/>
        <v>212</v>
      </c>
      <c r="D164" s="7" t="s">
        <v>304</v>
      </c>
      <c r="E164">
        <f t="shared" si="13"/>
        <v>140</v>
      </c>
      <c r="G164" s="7" t="s">
        <v>298</v>
      </c>
      <c r="H164" s="40">
        <v>756</v>
      </c>
      <c r="I164">
        <f t="shared" si="15"/>
        <v>126</v>
      </c>
      <c r="J164" s="7" t="s">
        <v>298</v>
      </c>
      <c r="K164" s="7"/>
      <c r="L164">
        <f t="shared" si="17"/>
        <v>756</v>
      </c>
      <c r="M164">
        <f t="shared" si="18"/>
        <v>28</v>
      </c>
      <c r="N164" s="7" t="s">
        <v>298</v>
      </c>
      <c r="O164" s="40">
        <v>2</v>
      </c>
      <c r="Y164">
        <f t="shared" si="16"/>
        <v>712</v>
      </c>
    </row>
    <row r="165" spans="1:25" x14ac:dyDescent="0.25">
      <c r="A165" s="7" t="s">
        <v>314</v>
      </c>
      <c r="B165" s="40">
        <v>95</v>
      </c>
      <c r="C165">
        <f t="shared" si="14"/>
        <v>683</v>
      </c>
      <c r="D165" s="7" t="s">
        <v>305</v>
      </c>
      <c r="E165">
        <f t="shared" si="13"/>
        <v>0</v>
      </c>
      <c r="G165" s="7" t="s">
        <v>301</v>
      </c>
      <c r="H165" s="40">
        <v>46</v>
      </c>
      <c r="I165">
        <f t="shared" si="15"/>
        <v>566</v>
      </c>
      <c r="J165" s="7" t="s">
        <v>301</v>
      </c>
      <c r="K165" s="7"/>
      <c r="L165">
        <f t="shared" si="17"/>
        <v>46</v>
      </c>
      <c r="M165">
        <f t="shared" si="18"/>
        <v>144</v>
      </c>
      <c r="N165" s="7" t="s">
        <v>301</v>
      </c>
      <c r="O165" s="40">
        <v>1</v>
      </c>
      <c r="Y165">
        <f t="shared" si="16"/>
        <v>712</v>
      </c>
    </row>
    <row r="166" spans="1:25" x14ac:dyDescent="0.25">
      <c r="A166" s="7" t="s">
        <v>315</v>
      </c>
      <c r="B166" s="40">
        <v>20</v>
      </c>
      <c r="C166">
        <f t="shared" si="14"/>
        <v>140</v>
      </c>
      <c r="D166" s="7" t="s">
        <v>306</v>
      </c>
      <c r="E166">
        <f t="shared" si="13"/>
        <v>220</v>
      </c>
      <c r="G166" s="7" t="s">
        <v>302</v>
      </c>
      <c r="H166" s="40">
        <v>0</v>
      </c>
      <c r="I166">
        <f t="shared" si="15"/>
        <v>754</v>
      </c>
      <c r="J166" s="7" t="s">
        <v>302</v>
      </c>
      <c r="K166" s="7"/>
      <c r="L166">
        <f t="shared" si="17"/>
        <v>0</v>
      </c>
      <c r="M166">
        <f t="shared" si="18"/>
        <v>144</v>
      </c>
      <c r="N166" s="7" t="s">
        <v>302</v>
      </c>
      <c r="O166" s="40">
        <v>1</v>
      </c>
      <c r="Y166">
        <f t="shared" si="16"/>
        <v>712</v>
      </c>
    </row>
    <row r="167" spans="1:25" x14ac:dyDescent="0.25">
      <c r="A167" s="7" t="s">
        <v>316</v>
      </c>
      <c r="B167" s="40">
        <v>860</v>
      </c>
      <c r="C167">
        <f t="shared" si="14"/>
        <v>35</v>
      </c>
      <c r="D167" s="7" t="s">
        <v>307</v>
      </c>
      <c r="E167">
        <f t="shared" si="13"/>
        <v>900</v>
      </c>
      <c r="G167" s="7" t="s">
        <v>303</v>
      </c>
      <c r="H167" s="40">
        <v>0</v>
      </c>
      <c r="I167">
        <f t="shared" si="15"/>
        <v>754</v>
      </c>
      <c r="J167" s="7" t="s">
        <v>303</v>
      </c>
      <c r="K167" s="7"/>
      <c r="L167">
        <f t="shared" si="17"/>
        <v>0</v>
      </c>
      <c r="M167">
        <f t="shared" si="18"/>
        <v>144</v>
      </c>
      <c r="N167" s="7" t="s">
        <v>303</v>
      </c>
      <c r="O167" s="40">
        <v>1</v>
      </c>
      <c r="Y167">
        <f t="shared" si="16"/>
        <v>712</v>
      </c>
    </row>
    <row r="168" spans="1:25" x14ac:dyDescent="0.25">
      <c r="A168" s="7" t="s">
        <v>317</v>
      </c>
      <c r="B168" s="40">
        <v>260</v>
      </c>
      <c r="C168">
        <f t="shared" si="14"/>
        <v>66</v>
      </c>
      <c r="D168" s="7" t="s">
        <v>310</v>
      </c>
      <c r="E168">
        <f t="shared" si="13"/>
        <v>500</v>
      </c>
      <c r="G168" s="7" t="s">
        <v>304</v>
      </c>
      <c r="H168" s="40">
        <v>70</v>
      </c>
      <c r="I168">
        <f t="shared" si="15"/>
        <v>506</v>
      </c>
      <c r="J168" s="7" t="s">
        <v>304</v>
      </c>
      <c r="K168" s="7"/>
      <c r="L168">
        <f t="shared" si="17"/>
        <v>70</v>
      </c>
      <c r="M168">
        <f t="shared" si="18"/>
        <v>144</v>
      </c>
      <c r="N168" s="7" t="s">
        <v>304</v>
      </c>
      <c r="O168" s="40">
        <v>1</v>
      </c>
      <c r="Y168">
        <f t="shared" si="16"/>
        <v>712</v>
      </c>
    </row>
    <row r="169" spans="1:25" x14ac:dyDescent="0.25">
      <c r="A169" s="7" t="s">
        <v>318</v>
      </c>
      <c r="B169" s="40">
        <v>250</v>
      </c>
      <c r="C169">
        <f t="shared" si="14"/>
        <v>147</v>
      </c>
      <c r="D169" s="7" t="s">
        <v>312</v>
      </c>
      <c r="E169">
        <f t="shared" si="13"/>
        <v>200</v>
      </c>
      <c r="G169" s="7" t="s">
        <v>305</v>
      </c>
      <c r="H169" s="40">
        <v>45</v>
      </c>
      <c r="I169">
        <f t="shared" si="15"/>
        <v>568</v>
      </c>
      <c r="J169" s="7" t="s">
        <v>305</v>
      </c>
      <c r="K169" s="7"/>
      <c r="L169">
        <f t="shared" si="17"/>
        <v>45</v>
      </c>
      <c r="M169">
        <f t="shared" si="18"/>
        <v>144</v>
      </c>
      <c r="N169" s="7" t="s">
        <v>305</v>
      </c>
      <c r="O169" s="40">
        <v>1</v>
      </c>
      <c r="Y169">
        <f t="shared" si="16"/>
        <v>712</v>
      </c>
    </row>
    <row r="170" spans="1:25" x14ac:dyDescent="0.25">
      <c r="A170" s="7" t="s">
        <v>319</v>
      </c>
      <c r="B170" s="40">
        <v>88</v>
      </c>
      <c r="C170">
        <f t="shared" si="14"/>
        <v>291</v>
      </c>
      <c r="D170" s="7" t="s">
        <v>314</v>
      </c>
      <c r="E170">
        <f t="shared" si="13"/>
        <v>95</v>
      </c>
      <c r="G170" s="7" t="s">
        <v>306</v>
      </c>
      <c r="H170" s="40">
        <v>388</v>
      </c>
      <c r="I170">
        <f t="shared" si="15"/>
        <v>212</v>
      </c>
      <c r="J170" s="7" t="s">
        <v>306</v>
      </c>
      <c r="K170" s="7"/>
      <c r="L170">
        <f t="shared" si="17"/>
        <v>388</v>
      </c>
      <c r="M170">
        <f t="shared" si="18"/>
        <v>28</v>
      </c>
      <c r="N170" s="7" t="s">
        <v>306</v>
      </c>
      <c r="O170" s="40">
        <v>2</v>
      </c>
      <c r="Y170">
        <f t="shared" si="16"/>
        <v>712</v>
      </c>
    </row>
    <row r="171" spans="1:25" x14ac:dyDescent="0.25">
      <c r="A171" s="7" t="s">
        <v>320</v>
      </c>
      <c r="B171" s="40">
        <v>0</v>
      </c>
      <c r="C171">
        <f t="shared" si="14"/>
        <v>588</v>
      </c>
      <c r="D171" s="7" t="s">
        <v>315</v>
      </c>
      <c r="E171">
        <f t="shared" si="13"/>
        <v>20</v>
      </c>
      <c r="G171" s="7" t="s">
        <v>307</v>
      </c>
      <c r="H171" s="40">
        <v>0</v>
      </c>
      <c r="I171">
        <f t="shared" si="15"/>
        <v>754</v>
      </c>
      <c r="J171" s="7" t="s">
        <v>307</v>
      </c>
      <c r="K171" s="7"/>
      <c r="L171">
        <f t="shared" si="17"/>
        <v>0</v>
      </c>
      <c r="M171">
        <f t="shared" si="18"/>
        <v>144</v>
      </c>
      <c r="N171" s="7" t="s">
        <v>307</v>
      </c>
      <c r="O171" s="40">
        <v>1</v>
      </c>
      <c r="Y171">
        <f t="shared" si="16"/>
        <v>712</v>
      </c>
    </row>
    <row r="172" spans="1:25" x14ac:dyDescent="0.25">
      <c r="A172" s="7" t="s">
        <v>321</v>
      </c>
      <c r="B172" s="40">
        <v>130</v>
      </c>
      <c r="C172">
        <f t="shared" si="14"/>
        <v>37</v>
      </c>
      <c r="D172" s="7" t="s">
        <v>316</v>
      </c>
      <c r="E172">
        <f t="shared" si="13"/>
        <v>860</v>
      </c>
      <c r="G172" s="7" t="s">
        <v>310</v>
      </c>
      <c r="H172" s="40">
        <v>272</v>
      </c>
      <c r="I172">
        <f t="shared" si="15"/>
        <v>276</v>
      </c>
      <c r="J172" s="7" t="s">
        <v>310</v>
      </c>
      <c r="K172" s="7"/>
      <c r="L172">
        <f t="shared" si="17"/>
        <v>272</v>
      </c>
      <c r="M172">
        <f t="shared" si="18"/>
        <v>144</v>
      </c>
      <c r="N172" s="7" t="s">
        <v>310</v>
      </c>
      <c r="O172" s="40">
        <v>1</v>
      </c>
      <c r="Y172">
        <f t="shared" si="16"/>
        <v>712</v>
      </c>
    </row>
    <row r="173" spans="1:25" x14ac:dyDescent="0.25">
      <c r="A173" s="7" t="s">
        <v>322</v>
      </c>
      <c r="B173" s="40">
        <v>60</v>
      </c>
      <c r="C173">
        <f t="shared" si="14"/>
        <v>116</v>
      </c>
      <c r="D173" s="7" t="s">
        <v>317</v>
      </c>
      <c r="E173">
        <f t="shared" si="13"/>
        <v>260</v>
      </c>
      <c r="G173" s="7" t="s">
        <v>312</v>
      </c>
      <c r="H173" s="40">
        <v>293</v>
      </c>
      <c r="I173">
        <f t="shared" si="15"/>
        <v>261</v>
      </c>
      <c r="J173" s="7" t="s">
        <v>312</v>
      </c>
      <c r="K173" s="7"/>
      <c r="L173">
        <f t="shared" si="17"/>
        <v>293</v>
      </c>
      <c r="M173">
        <f t="shared" si="18"/>
        <v>144</v>
      </c>
      <c r="N173" s="7" t="s">
        <v>312</v>
      </c>
      <c r="O173" s="40">
        <v>1</v>
      </c>
      <c r="Y173">
        <f t="shared" si="16"/>
        <v>712</v>
      </c>
    </row>
    <row r="174" spans="1:25" x14ac:dyDescent="0.25">
      <c r="A174" s="7" t="s">
        <v>323</v>
      </c>
      <c r="B174" s="40">
        <v>30</v>
      </c>
      <c r="C174">
        <f t="shared" si="14"/>
        <v>121</v>
      </c>
      <c r="D174" s="7" t="s">
        <v>318</v>
      </c>
      <c r="E174">
        <f t="shared" si="13"/>
        <v>250</v>
      </c>
      <c r="G174" s="7" t="s">
        <v>314</v>
      </c>
      <c r="H174" s="40">
        <v>220</v>
      </c>
      <c r="I174">
        <f t="shared" si="15"/>
        <v>317</v>
      </c>
      <c r="J174" s="7" t="s">
        <v>314</v>
      </c>
      <c r="K174" s="7"/>
      <c r="L174">
        <f t="shared" si="17"/>
        <v>220</v>
      </c>
      <c r="M174">
        <f t="shared" si="18"/>
        <v>144</v>
      </c>
      <c r="N174" s="7" t="s">
        <v>314</v>
      </c>
      <c r="O174" s="40">
        <v>1</v>
      </c>
      <c r="Y174">
        <f t="shared" si="16"/>
        <v>712</v>
      </c>
    </row>
    <row r="175" spans="1:25" x14ac:dyDescent="0.25">
      <c r="A175" s="7" t="s">
        <v>324</v>
      </c>
      <c r="B175" s="40">
        <v>137</v>
      </c>
      <c r="C175">
        <f t="shared" si="14"/>
        <v>308</v>
      </c>
      <c r="D175" s="7" t="s">
        <v>319</v>
      </c>
      <c r="E175">
        <f t="shared" si="13"/>
        <v>88</v>
      </c>
      <c r="G175" s="7" t="s">
        <v>315</v>
      </c>
      <c r="H175" s="40">
        <v>41</v>
      </c>
      <c r="I175">
        <f t="shared" si="15"/>
        <v>580</v>
      </c>
      <c r="J175" s="7" t="s">
        <v>315</v>
      </c>
      <c r="K175" s="7"/>
      <c r="L175">
        <f t="shared" si="17"/>
        <v>41</v>
      </c>
      <c r="M175">
        <f t="shared" si="18"/>
        <v>144</v>
      </c>
      <c r="N175" s="7" t="s">
        <v>315</v>
      </c>
      <c r="O175" s="40">
        <v>1</v>
      </c>
      <c r="Y175">
        <f t="shared" si="16"/>
        <v>712</v>
      </c>
    </row>
    <row r="176" spans="1:25" x14ac:dyDescent="0.25">
      <c r="A176" s="7" t="s">
        <v>326</v>
      </c>
      <c r="B176" s="40">
        <v>0</v>
      </c>
      <c r="C176">
        <f t="shared" si="14"/>
        <v>683</v>
      </c>
      <c r="D176" s="7" t="s">
        <v>320</v>
      </c>
      <c r="E176">
        <f t="shared" si="13"/>
        <v>0</v>
      </c>
      <c r="G176" s="7" t="s">
        <v>316</v>
      </c>
      <c r="H176" s="40">
        <v>2660</v>
      </c>
      <c r="I176">
        <f t="shared" si="15"/>
        <v>37</v>
      </c>
      <c r="J176" s="7" t="s">
        <v>316</v>
      </c>
      <c r="K176" s="7"/>
      <c r="L176">
        <f t="shared" si="17"/>
        <v>2660</v>
      </c>
      <c r="M176">
        <f t="shared" si="18"/>
        <v>3</v>
      </c>
      <c r="N176" s="7" t="s">
        <v>316</v>
      </c>
      <c r="O176" s="40">
        <v>4</v>
      </c>
      <c r="Y176">
        <f t="shared" si="16"/>
        <v>712</v>
      </c>
    </row>
    <row r="177" spans="1:25" x14ac:dyDescent="0.25">
      <c r="A177" s="7" t="s">
        <v>328</v>
      </c>
      <c r="B177" s="40">
        <v>307</v>
      </c>
      <c r="C177">
        <f t="shared" si="14"/>
        <v>226</v>
      </c>
      <c r="D177" s="7" t="s">
        <v>321</v>
      </c>
      <c r="E177">
        <f t="shared" si="13"/>
        <v>130</v>
      </c>
      <c r="G177" s="7" t="s">
        <v>317</v>
      </c>
      <c r="H177" s="40">
        <v>980</v>
      </c>
      <c r="I177">
        <f t="shared" si="15"/>
        <v>104</v>
      </c>
      <c r="J177" s="7" t="s">
        <v>317</v>
      </c>
      <c r="K177" s="7"/>
      <c r="L177">
        <f t="shared" si="17"/>
        <v>980</v>
      </c>
      <c r="M177">
        <f t="shared" si="18"/>
        <v>28</v>
      </c>
      <c r="N177" s="7" t="s">
        <v>317</v>
      </c>
      <c r="O177" s="40">
        <v>2</v>
      </c>
      <c r="Y177">
        <f t="shared" si="16"/>
        <v>712</v>
      </c>
    </row>
    <row r="178" spans="1:25" x14ac:dyDescent="0.25">
      <c r="A178" s="7" t="s">
        <v>330</v>
      </c>
      <c r="B178" s="40">
        <v>59</v>
      </c>
      <c r="C178">
        <f t="shared" si="14"/>
        <v>378</v>
      </c>
      <c r="D178" s="7" t="s">
        <v>322</v>
      </c>
      <c r="E178">
        <f t="shared" si="13"/>
        <v>60</v>
      </c>
      <c r="G178" s="7" t="s">
        <v>318</v>
      </c>
      <c r="H178" s="40">
        <v>2000</v>
      </c>
      <c r="I178">
        <f t="shared" si="15"/>
        <v>51</v>
      </c>
      <c r="J178" s="7" t="s">
        <v>318</v>
      </c>
      <c r="K178" s="7"/>
      <c r="L178">
        <f t="shared" si="17"/>
        <v>2000</v>
      </c>
      <c r="M178">
        <f t="shared" si="18"/>
        <v>28</v>
      </c>
      <c r="N178" s="7" t="s">
        <v>318</v>
      </c>
      <c r="O178" s="40">
        <v>2</v>
      </c>
      <c r="Y178">
        <f t="shared" si="16"/>
        <v>712</v>
      </c>
    </row>
    <row r="179" spans="1:25" x14ac:dyDescent="0.25">
      <c r="A179" s="7" t="s">
        <v>331</v>
      </c>
      <c r="B179" s="40">
        <v>140</v>
      </c>
      <c r="C179">
        <f t="shared" si="14"/>
        <v>512</v>
      </c>
      <c r="D179" s="7" t="s">
        <v>323</v>
      </c>
      <c r="E179">
        <f t="shared" si="13"/>
        <v>30</v>
      </c>
      <c r="G179" s="7" t="s">
        <v>319</v>
      </c>
      <c r="H179" s="40">
        <v>0</v>
      </c>
      <c r="I179">
        <f t="shared" si="15"/>
        <v>754</v>
      </c>
      <c r="J179" s="7" t="s">
        <v>319</v>
      </c>
      <c r="K179" s="7"/>
      <c r="L179">
        <f t="shared" si="17"/>
        <v>0</v>
      </c>
      <c r="M179">
        <f t="shared" si="18"/>
        <v>144</v>
      </c>
      <c r="N179" s="7" t="s">
        <v>319</v>
      </c>
      <c r="O179" s="40">
        <v>1</v>
      </c>
      <c r="Y179">
        <f t="shared" si="16"/>
        <v>712</v>
      </c>
    </row>
    <row r="180" spans="1:25" x14ac:dyDescent="0.25">
      <c r="A180" s="7" t="s">
        <v>332</v>
      </c>
      <c r="B180" s="40">
        <v>12</v>
      </c>
      <c r="C180">
        <f t="shared" si="14"/>
        <v>222</v>
      </c>
      <c r="D180" s="7" t="s">
        <v>324</v>
      </c>
      <c r="E180">
        <f t="shared" si="13"/>
        <v>137</v>
      </c>
      <c r="G180" s="7" t="s">
        <v>320</v>
      </c>
      <c r="H180" s="40">
        <v>352</v>
      </c>
      <c r="I180">
        <f t="shared" si="15"/>
        <v>226</v>
      </c>
      <c r="J180" s="7" t="s">
        <v>320</v>
      </c>
      <c r="K180" s="7"/>
      <c r="L180">
        <f t="shared" si="17"/>
        <v>352</v>
      </c>
      <c r="M180">
        <f t="shared" si="18"/>
        <v>144</v>
      </c>
      <c r="N180" s="7" t="s">
        <v>320</v>
      </c>
      <c r="O180" s="40">
        <v>1</v>
      </c>
      <c r="Y180">
        <f t="shared" si="16"/>
        <v>712</v>
      </c>
    </row>
    <row r="181" spans="1:25" x14ac:dyDescent="0.25">
      <c r="A181" s="7" t="s">
        <v>333</v>
      </c>
      <c r="B181" s="40">
        <v>4601</v>
      </c>
      <c r="C181">
        <f t="shared" si="14"/>
        <v>683</v>
      </c>
      <c r="D181" s="7" t="s">
        <v>326</v>
      </c>
      <c r="E181">
        <f t="shared" si="13"/>
        <v>0</v>
      </c>
      <c r="G181" s="7" t="s">
        <v>321</v>
      </c>
      <c r="H181" s="40">
        <v>77</v>
      </c>
      <c r="I181">
        <f t="shared" si="15"/>
        <v>492</v>
      </c>
      <c r="J181" s="7" t="s">
        <v>321</v>
      </c>
      <c r="K181" s="7"/>
      <c r="L181">
        <f t="shared" si="17"/>
        <v>77</v>
      </c>
      <c r="M181">
        <f t="shared" si="18"/>
        <v>144</v>
      </c>
      <c r="N181" s="7" t="s">
        <v>321</v>
      </c>
      <c r="O181" s="40">
        <v>1</v>
      </c>
      <c r="Y181">
        <f t="shared" si="16"/>
        <v>712</v>
      </c>
    </row>
    <row r="182" spans="1:25" x14ac:dyDescent="0.25">
      <c r="A182" s="7" t="s">
        <v>337</v>
      </c>
      <c r="B182" s="40">
        <v>270</v>
      </c>
      <c r="C182">
        <f t="shared" si="14"/>
        <v>102</v>
      </c>
      <c r="D182" s="7" t="s">
        <v>328</v>
      </c>
      <c r="E182">
        <f t="shared" si="13"/>
        <v>307</v>
      </c>
      <c r="G182" s="7" t="s">
        <v>322</v>
      </c>
      <c r="H182" s="40">
        <v>48</v>
      </c>
      <c r="I182">
        <f t="shared" si="15"/>
        <v>561</v>
      </c>
      <c r="J182" s="7" t="s">
        <v>322</v>
      </c>
      <c r="K182" s="7"/>
      <c r="L182">
        <f t="shared" si="17"/>
        <v>48</v>
      </c>
      <c r="M182">
        <f t="shared" si="18"/>
        <v>144</v>
      </c>
      <c r="N182" s="7" t="s">
        <v>322</v>
      </c>
      <c r="O182" s="40">
        <v>1</v>
      </c>
      <c r="Y182">
        <f t="shared" si="16"/>
        <v>712</v>
      </c>
    </row>
    <row r="183" spans="1:25" x14ac:dyDescent="0.25">
      <c r="A183" s="7" t="s">
        <v>338</v>
      </c>
      <c r="B183" s="40">
        <v>200</v>
      </c>
      <c r="C183">
        <f t="shared" si="14"/>
        <v>393</v>
      </c>
      <c r="D183" s="7" t="s">
        <v>330</v>
      </c>
      <c r="E183">
        <f t="shared" si="13"/>
        <v>59</v>
      </c>
      <c r="G183" s="7" t="s">
        <v>323</v>
      </c>
      <c r="H183" s="40">
        <v>0</v>
      </c>
      <c r="I183">
        <f t="shared" si="15"/>
        <v>754</v>
      </c>
      <c r="J183" s="7" t="s">
        <v>323</v>
      </c>
      <c r="K183" s="7"/>
      <c r="L183">
        <f t="shared" si="17"/>
        <v>0</v>
      </c>
      <c r="M183">
        <f t="shared" si="18"/>
        <v>144</v>
      </c>
      <c r="N183" s="7" t="s">
        <v>323</v>
      </c>
      <c r="O183" s="40">
        <v>1</v>
      </c>
      <c r="Y183">
        <f t="shared" si="16"/>
        <v>712</v>
      </c>
    </row>
    <row r="184" spans="1:25" x14ac:dyDescent="0.25">
      <c r="A184" s="7" t="s">
        <v>339</v>
      </c>
      <c r="B184" s="40">
        <v>30</v>
      </c>
      <c r="C184">
        <f t="shared" si="14"/>
        <v>212</v>
      </c>
      <c r="D184" s="7" t="s">
        <v>331</v>
      </c>
      <c r="E184">
        <f t="shared" si="13"/>
        <v>140</v>
      </c>
      <c r="G184" s="7" t="s">
        <v>324</v>
      </c>
      <c r="H184" s="40">
        <v>108</v>
      </c>
      <c r="I184">
        <f t="shared" si="15"/>
        <v>437</v>
      </c>
      <c r="J184" s="7" t="s">
        <v>324</v>
      </c>
      <c r="K184" s="7"/>
      <c r="L184">
        <f t="shared" si="17"/>
        <v>108</v>
      </c>
      <c r="M184">
        <f t="shared" si="18"/>
        <v>144</v>
      </c>
      <c r="N184" s="7" t="s">
        <v>324</v>
      </c>
      <c r="O184" s="40">
        <v>1</v>
      </c>
      <c r="Y184">
        <f t="shared" si="16"/>
        <v>712</v>
      </c>
    </row>
    <row r="185" spans="1:25" x14ac:dyDescent="0.25">
      <c r="A185" s="7" t="s">
        <v>340</v>
      </c>
      <c r="B185" s="40">
        <v>0</v>
      </c>
      <c r="C185">
        <f t="shared" si="14"/>
        <v>640</v>
      </c>
      <c r="D185" s="7" t="s">
        <v>332</v>
      </c>
      <c r="E185">
        <f t="shared" si="13"/>
        <v>12</v>
      </c>
      <c r="G185" s="7" t="s">
        <v>326</v>
      </c>
      <c r="H185" s="40">
        <v>0</v>
      </c>
      <c r="I185">
        <f t="shared" si="15"/>
        <v>754</v>
      </c>
      <c r="J185" s="7" t="s">
        <v>326</v>
      </c>
      <c r="K185" s="7"/>
      <c r="L185">
        <f t="shared" si="17"/>
        <v>0</v>
      </c>
      <c r="M185">
        <f t="shared" si="18"/>
        <v>144</v>
      </c>
      <c r="N185" s="7" t="s">
        <v>326</v>
      </c>
      <c r="O185" s="40">
        <v>1</v>
      </c>
      <c r="Y185">
        <f t="shared" si="16"/>
        <v>712</v>
      </c>
    </row>
    <row r="186" spans="1:25" x14ac:dyDescent="0.25">
      <c r="A186" s="7" t="s">
        <v>341</v>
      </c>
      <c r="B186" s="40">
        <v>70</v>
      </c>
      <c r="C186">
        <f t="shared" si="14"/>
        <v>5</v>
      </c>
      <c r="D186" s="7" t="s">
        <v>333</v>
      </c>
      <c r="E186">
        <f t="shared" si="13"/>
        <v>4601</v>
      </c>
      <c r="G186" s="7" t="s">
        <v>328</v>
      </c>
      <c r="H186" s="40">
        <v>2600</v>
      </c>
      <c r="I186">
        <f t="shared" si="15"/>
        <v>38</v>
      </c>
      <c r="J186" s="7" t="s">
        <v>328</v>
      </c>
      <c r="K186" s="7"/>
      <c r="L186">
        <f t="shared" si="17"/>
        <v>2600</v>
      </c>
      <c r="M186">
        <f t="shared" si="18"/>
        <v>9</v>
      </c>
      <c r="N186" s="7" t="s">
        <v>328</v>
      </c>
      <c r="O186" s="40">
        <v>3</v>
      </c>
      <c r="Y186">
        <f t="shared" si="16"/>
        <v>712</v>
      </c>
    </row>
    <row r="187" spans="1:25" x14ac:dyDescent="0.25">
      <c r="A187" s="7" t="s">
        <v>343</v>
      </c>
      <c r="B187" s="40">
        <v>15</v>
      </c>
      <c r="C187">
        <f t="shared" si="14"/>
        <v>113</v>
      </c>
      <c r="D187" s="7" t="s">
        <v>337</v>
      </c>
      <c r="E187">
        <f t="shared" si="13"/>
        <v>270</v>
      </c>
      <c r="G187" s="7" t="s">
        <v>330</v>
      </c>
      <c r="H187" s="40">
        <v>54</v>
      </c>
      <c r="I187">
        <f t="shared" si="15"/>
        <v>547</v>
      </c>
      <c r="J187" s="7" t="s">
        <v>330</v>
      </c>
      <c r="K187" s="7"/>
      <c r="L187">
        <f t="shared" si="17"/>
        <v>54</v>
      </c>
      <c r="M187">
        <f t="shared" si="18"/>
        <v>28</v>
      </c>
      <c r="N187" s="7" t="s">
        <v>330</v>
      </c>
      <c r="O187" s="40">
        <v>2</v>
      </c>
      <c r="Y187">
        <f t="shared" si="16"/>
        <v>712</v>
      </c>
    </row>
    <row r="188" spans="1:25" x14ac:dyDescent="0.25">
      <c r="A188" s="7" t="s">
        <v>344</v>
      </c>
      <c r="B188" s="40">
        <v>61</v>
      </c>
      <c r="C188">
        <f t="shared" si="14"/>
        <v>147</v>
      </c>
      <c r="D188" s="7" t="s">
        <v>338</v>
      </c>
      <c r="E188">
        <f t="shared" si="13"/>
        <v>200</v>
      </c>
      <c r="G188" s="7" t="s">
        <v>331</v>
      </c>
      <c r="H188" s="40">
        <v>0</v>
      </c>
      <c r="I188">
        <f t="shared" si="15"/>
        <v>754</v>
      </c>
      <c r="J188" s="7" t="s">
        <v>331</v>
      </c>
      <c r="K188" s="7"/>
      <c r="L188">
        <f t="shared" si="17"/>
        <v>0</v>
      </c>
      <c r="M188">
        <f t="shared" si="18"/>
        <v>144</v>
      </c>
      <c r="N188" s="7" t="s">
        <v>331</v>
      </c>
      <c r="O188" s="40">
        <v>1</v>
      </c>
      <c r="Y188">
        <f t="shared" si="16"/>
        <v>712</v>
      </c>
    </row>
    <row r="189" spans="1:25" x14ac:dyDescent="0.25">
      <c r="A189" s="7" t="s">
        <v>345</v>
      </c>
      <c r="B189" s="40">
        <v>490</v>
      </c>
      <c r="C189">
        <f t="shared" si="14"/>
        <v>512</v>
      </c>
      <c r="D189" s="7" t="s">
        <v>339</v>
      </c>
      <c r="E189">
        <f t="shared" si="13"/>
        <v>30</v>
      </c>
      <c r="G189" s="7" t="s">
        <v>332</v>
      </c>
      <c r="H189" s="40">
        <v>26</v>
      </c>
      <c r="I189">
        <f t="shared" si="15"/>
        <v>624</v>
      </c>
      <c r="J189" s="7" t="s">
        <v>332</v>
      </c>
      <c r="K189" s="7"/>
      <c r="L189">
        <f t="shared" si="17"/>
        <v>26</v>
      </c>
      <c r="M189">
        <f t="shared" si="18"/>
        <v>144</v>
      </c>
      <c r="N189" s="7" t="s">
        <v>332</v>
      </c>
      <c r="O189" s="40">
        <v>1</v>
      </c>
      <c r="Y189">
        <f t="shared" si="16"/>
        <v>712</v>
      </c>
    </row>
    <row r="190" spans="1:25" x14ac:dyDescent="0.25">
      <c r="A190" s="7" t="s">
        <v>346</v>
      </c>
      <c r="B190" s="40">
        <v>77</v>
      </c>
      <c r="C190">
        <f t="shared" si="14"/>
        <v>683</v>
      </c>
      <c r="D190" s="7" t="s">
        <v>340</v>
      </c>
      <c r="E190">
        <f t="shared" si="13"/>
        <v>0</v>
      </c>
      <c r="G190" s="7" t="s">
        <v>333</v>
      </c>
      <c r="H190" s="40">
        <v>0</v>
      </c>
      <c r="I190">
        <f t="shared" si="15"/>
        <v>754</v>
      </c>
      <c r="J190" s="7" t="s">
        <v>333</v>
      </c>
      <c r="K190" s="7"/>
      <c r="L190">
        <f t="shared" si="17"/>
        <v>0</v>
      </c>
      <c r="M190">
        <f t="shared" si="18"/>
        <v>28</v>
      </c>
      <c r="N190" s="7" t="s">
        <v>333</v>
      </c>
      <c r="O190" s="40">
        <v>2</v>
      </c>
      <c r="Y190">
        <f t="shared" si="16"/>
        <v>712</v>
      </c>
    </row>
    <row r="191" spans="1:25" x14ac:dyDescent="0.25">
      <c r="A191" s="7" t="s">
        <v>347</v>
      </c>
      <c r="B191" s="40">
        <v>25</v>
      </c>
      <c r="C191">
        <f t="shared" si="14"/>
        <v>350</v>
      </c>
      <c r="D191" s="7" t="s">
        <v>341</v>
      </c>
      <c r="E191">
        <f t="shared" si="13"/>
        <v>70</v>
      </c>
      <c r="G191" s="7" t="s">
        <v>337</v>
      </c>
      <c r="H191" s="40">
        <v>224</v>
      </c>
      <c r="I191">
        <f t="shared" si="15"/>
        <v>312</v>
      </c>
      <c r="J191" s="7" t="s">
        <v>337</v>
      </c>
      <c r="K191" s="7"/>
      <c r="L191">
        <f t="shared" si="17"/>
        <v>224</v>
      </c>
      <c r="M191">
        <f t="shared" si="18"/>
        <v>144</v>
      </c>
      <c r="N191" s="7" t="s">
        <v>337</v>
      </c>
      <c r="O191" s="40">
        <v>1</v>
      </c>
      <c r="Y191">
        <f t="shared" si="16"/>
        <v>712</v>
      </c>
    </row>
    <row r="192" spans="1:25" x14ac:dyDescent="0.25">
      <c r="A192" s="7" t="s">
        <v>350</v>
      </c>
      <c r="B192" s="40">
        <v>3</v>
      </c>
      <c r="C192">
        <f t="shared" si="14"/>
        <v>622</v>
      </c>
      <c r="D192" s="7" t="s">
        <v>343</v>
      </c>
      <c r="E192">
        <f t="shared" si="13"/>
        <v>15</v>
      </c>
      <c r="G192" s="7" t="s">
        <v>338</v>
      </c>
      <c r="H192" s="40">
        <v>48</v>
      </c>
      <c r="I192">
        <f t="shared" si="15"/>
        <v>561</v>
      </c>
      <c r="J192" s="7" t="s">
        <v>338</v>
      </c>
      <c r="K192" s="7"/>
      <c r="L192">
        <f t="shared" si="17"/>
        <v>48</v>
      </c>
      <c r="M192">
        <f t="shared" si="18"/>
        <v>144</v>
      </c>
      <c r="N192" s="7" t="s">
        <v>338</v>
      </c>
      <c r="O192" s="40">
        <v>1</v>
      </c>
      <c r="Y192">
        <f t="shared" si="16"/>
        <v>712</v>
      </c>
    </row>
    <row r="193" spans="1:25" x14ac:dyDescent="0.25">
      <c r="A193" s="7" t="s">
        <v>351</v>
      </c>
      <c r="B193" s="40">
        <v>100</v>
      </c>
      <c r="C193">
        <f t="shared" si="14"/>
        <v>377</v>
      </c>
      <c r="D193" s="7" t="s">
        <v>344</v>
      </c>
      <c r="E193">
        <f t="shared" si="13"/>
        <v>61</v>
      </c>
      <c r="G193" s="7" t="s">
        <v>339</v>
      </c>
      <c r="H193" s="40">
        <v>23</v>
      </c>
      <c r="I193">
        <f t="shared" si="15"/>
        <v>640</v>
      </c>
      <c r="J193" s="7" t="s">
        <v>339</v>
      </c>
      <c r="K193" s="7"/>
      <c r="L193">
        <f t="shared" si="17"/>
        <v>23</v>
      </c>
      <c r="M193">
        <f t="shared" si="18"/>
        <v>144</v>
      </c>
      <c r="N193" s="7" t="s">
        <v>339</v>
      </c>
      <c r="O193" s="40">
        <v>1</v>
      </c>
      <c r="Y193">
        <f t="shared" si="16"/>
        <v>712</v>
      </c>
    </row>
    <row r="194" spans="1:25" x14ac:dyDescent="0.25">
      <c r="A194" s="7" t="s">
        <v>352</v>
      </c>
      <c r="B194" s="40">
        <v>40</v>
      </c>
      <c r="C194">
        <f t="shared" si="14"/>
        <v>76</v>
      </c>
      <c r="D194" s="7" t="s">
        <v>345</v>
      </c>
      <c r="E194">
        <f t="shared" si="13"/>
        <v>490</v>
      </c>
      <c r="G194" s="7" t="s">
        <v>340</v>
      </c>
      <c r="H194" s="40">
        <v>137</v>
      </c>
      <c r="I194">
        <f t="shared" si="15"/>
        <v>400</v>
      </c>
      <c r="J194" s="7" t="s">
        <v>340</v>
      </c>
      <c r="K194" s="7"/>
      <c r="L194">
        <f t="shared" si="17"/>
        <v>137</v>
      </c>
      <c r="M194">
        <f t="shared" si="18"/>
        <v>144</v>
      </c>
      <c r="N194" s="7" t="s">
        <v>340</v>
      </c>
      <c r="O194" s="40">
        <v>1</v>
      </c>
      <c r="Y194">
        <f t="shared" si="16"/>
        <v>712</v>
      </c>
    </row>
    <row r="195" spans="1:25" x14ac:dyDescent="0.25">
      <c r="A195" s="7" t="s">
        <v>353</v>
      </c>
      <c r="B195" s="40">
        <v>50</v>
      </c>
      <c r="C195">
        <f t="shared" si="14"/>
        <v>338</v>
      </c>
      <c r="D195" s="7" t="s">
        <v>346</v>
      </c>
      <c r="E195">
        <f t="shared" si="13"/>
        <v>77</v>
      </c>
      <c r="G195" s="7" t="s">
        <v>341</v>
      </c>
      <c r="H195" s="40">
        <v>56</v>
      </c>
      <c r="I195">
        <f t="shared" si="15"/>
        <v>542</v>
      </c>
      <c r="J195" s="7" t="s">
        <v>341</v>
      </c>
      <c r="K195" s="7"/>
      <c r="L195">
        <f t="shared" si="17"/>
        <v>56</v>
      </c>
      <c r="M195">
        <f t="shared" si="18"/>
        <v>144</v>
      </c>
      <c r="N195" s="7" t="s">
        <v>341</v>
      </c>
      <c r="O195" s="40">
        <v>1</v>
      </c>
      <c r="Y195">
        <f t="shared" si="16"/>
        <v>712</v>
      </c>
    </row>
    <row r="196" spans="1:25" x14ac:dyDescent="0.25">
      <c r="A196" s="7" t="s">
        <v>355</v>
      </c>
      <c r="B196" s="40">
        <v>120</v>
      </c>
      <c r="C196">
        <f t="shared" si="14"/>
        <v>554</v>
      </c>
      <c r="D196" s="7" t="s">
        <v>347</v>
      </c>
      <c r="E196">
        <f t="shared" si="13"/>
        <v>25</v>
      </c>
      <c r="G196" s="7" t="s">
        <v>343</v>
      </c>
      <c r="H196" s="40">
        <v>72</v>
      </c>
      <c r="I196">
        <f t="shared" si="15"/>
        <v>503</v>
      </c>
      <c r="J196" s="7" t="s">
        <v>343</v>
      </c>
      <c r="K196" s="7"/>
      <c r="L196">
        <f t="shared" si="17"/>
        <v>72</v>
      </c>
      <c r="M196">
        <f t="shared" si="18"/>
        <v>144</v>
      </c>
      <c r="N196" s="7" t="s">
        <v>343</v>
      </c>
      <c r="O196" s="40">
        <v>1</v>
      </c>
      <c r="Y196">
        <f t="shared" si="16"/>
        <v>712</v>
      </c>
    </row>
    <row r="197" spans="1:25" x14ac:dyDescent="0.25">
      <c r="A197" s="7" t="s">
        <v>356</v>
      </c>
      <c r="B197" s="40">
        <v>198</v>
      </c>
      <c r="C197">
        <f t="shared" si="14"/>
        <v>682</v>
      </c>
      <c r="D197" s="7" t="s">
        <v>350</v>
      </c>
      <c r="E197">
        <f t="shared" si="13"/>
        <v>3</v>
      </c>
      <c r="G197" s="7" t="s">
        <v>344</v>
      </c>
      <c r="H197" s="40">
        <v>204</v>
      </c>
      <c r="I197">
        <f t="shared" si="15"/>
        <v>327</v>
      </c>
      <c r="J197" s="7" t="s">
        <v>344</v>
      </c>
      <c r="K197" s="7"/>
      <c r="L197">
        <f t="shared" si="17"/>
        <v>204</v>
      </c>
      <c r="M197">
        <f t="shared" si="18"/>
        <v>28</v>
      </c>
      <c r="N197" s="7" t="s">
        <v>344</v>
      </c>
      <c r="O197" s="40">
        <v>2</v>
      </c>
      <c r="Y197">
        <f t="shared" si="16"/>
        <v>712</v>
      </c>
    </row>
    <row r="198" spans="1:25" x14ac:dyDescent="0.25">
      <c r="A198" s="7" t="s">
        <v>357</v>
      </c>
      <c r="B198" s="40">
        <v>154</v>
      </c>
      <c r="C198">
        <f t="shared" si="14"/>
        <v>254</v>
      </c>
      <c r="D198" s="7" t="s">
        <v>351</v>
      </c>
      <c r="E198">
        <f t="shared" si="13"/>
        <v>100</v>
      </c>
      <c r="G198" s="7" t="s">
        <v>345</v>
      </c>
      <c r="H198" s="40">
        <v>856</v>
      </c>
      <c r="I198">
        <f t="shared" si="15"/>
        <v>115</v>
      </c>
      <c r="J198" s="7" t="s">
        <v>345</v>
      </c>
      <c r="K198" s="7"/>
      <c r="L198">
        <f t="shared" si="17"/>
        <v>856</v>
      </c>
      <c r="M198">
        <f t="shared" si="18"/>
        <v>3</v>
      </c>
      <c r="N198" s="7" t="s">
        <v>345</v>
      </c>
      <c r="O198" s="40">
        <v>4</v>
      </c>
      <c r="Y198">
        <f t="shared" si="16"/>
        <v>712</v>
      </c>
    </row>
    <row r="199" spans="1:25" x14ac:dyDescent="0.25">
      <c r="A199" s="7" t="s">
        <v>359</v>
      </c>
      <c r="B199" s="40">
        <v>13</v>
      </c>
      <c r="C199">
        <f t="shared" si="14"/>
        <v>454</v>
      </c>
      <c r="D199" s="7" t="s">
        <v>352</v>
      </c>
      <c r="E199">
        <f t="shared" si="13"/>
        <v>40</v>
      </c>
      <c r="G199" s="7" t="s">
        <v>346</v>
      </c>
      <c r="H199" s="40">
        <v>75</v>
      </c>
      <c r="I199">
        <f t="shared" si="15"/>
        <v>497</v>
      </c>
      <c r="J199" s="7" t="s">
        <v>346</v>
      </c>
      <c r="K199" s="7"/>
      <c r="L199">
        <f t="shared" si="17"/>
        <v>75</v>
      </c>
      <c r="M199">
        <f t="shared" si="18"/>
        <v>144</v>
      </c>
      <c r="N199" s="7" t="s">
        <v>346</v>
      </c>
      <c r="O199" s="40">
        <v>1</v>
      </c>
      <c r="Y199">
        <f t="shared" si="16"/>
        <v>712</v>
      </c>
    </row>
    <row r="200" spans="1:25" x14ac:dyDescent="0.25">
      <c r="A200" s="7" t="s">
        <v>361</v>
      </c>
      <c r="B200" s="40">
        <v>30</v>
      </c>
      <c r="C200">
        <f t="shared" si="14"/>
        <v>410</v>
      </c>
      <c r="D200" s="7" t="s">
        <v>353</v>
      </c>
      <c r="E200">
        <f t="shared" si="13"/>
        <v>50</v>
      </c>
      <c r="G200" s="7" t="s">
        <v>347</v>
      </c>
      <c r="H200" s="40">
        <v>148</v>
      </c>
      <c r="I200">
        <f t="shared" si="15"/>
        <v>389</v>
      </c>
      <c r="J200" s="7" t="s">
        <v>347</v>
      </c>
      <c r="K200" s="7"/>
      <c r="L200">
        <f t="shared" si="17"/>
        <v>148</v>
      </c>
      <c r="M200">
        <f t="shared" si="18"/>
        <v>144</v>
      </c>
      <c r="N200" s="7" t="s">
        <v>347</v>
      </c>
      <c r="O200" s="40">
        <v>1</v>
      </c>
      <c r="Y200">
        <f t="shared" si="16"/>
        <v>712</v>
      </c>
    </row>
    <row r="201" spans="1:25" x14ac:dyDescent="0.25">
      <c r="A201" s="7" t="s">
        <v>362</v>
      </c>
      <c r="B201" s="40">
        <v>100</v>
      </c>
      <c r="C201">
        <f t="shared" si="14"/>
        <v>238</v>
      </c>
      <c r="D201" s="7" t="s">
        <v>355</v>
      </c>
      <c r="E201">
        <f t="shared" ref="E201:E264" si="19">VLOOKUP(D:D,A196:B1020,2,0)</f>
        <v>120</v>
      </c>
      <c r="G201" s="7" t="s">
        <v>350</v>
      </c>
      <c r="H201" s="40">
        <v>2</v>
      </c>
      <c r="I201">
        <f t="shared" si="15"/>
        <v>737</v>
      </c>
      <c r="J201" s="7" t="s">
        <v>350</v>
      </c>
      <c r="K201" s="7"/>
      <c r="L201">
        <f t="shared" si="17"/>
        <v>2</v>
      </c>
      <c r="M201">
        <f t="shared" si="18"/>
        <v>144</v>
      </c>
      <c r="N201" s="7" t="s">
        <v>350</v>
      </c>
      <c r="O201" s="40">
        <v>1</v>
      </c>
      <c r="Y201">
        <f t="shared" si="16"/>
        <v>712</v>
      </c>
    </row>
    <row r="202" spans="1:25" x14ac:dyDescent="0.25">
      <c r="A202" s="7" t="s">
        <v>363</v>
      </c>
      <c r="B202" s="40">
        <v>88</v>
      </c>
      <c r="C202">
        <f t="shared" ref="C202:C265" si="20">RANK(E:E,E:E)</f>
        <v>161</v>
      </c>
      <c r="D202" s="7" t="s">
        <v>356</v>
      </c>
      <c r="E202">
        <f t="shared" si="19"/>
        <v>198</v>
      </c>
      <c r="G202" s="7" t="s">
        <v>351</v>
      </c>
      <c r="H202" s="40">
        <v>367</v>
      </c>
      <c r="I202">
        <f t="shared" si="15"/>
        <v>218</v>
      </c>
      <c r="J202" s="7" t="s">
        <v>351</v>
      </c>
      <c r="K202" s="7"/>
      <c r="L202">
        <f t="shared" si="17"/>
        <v>367</v>
      </c>
      <c r="M202">
        <f t="shared" si="18"/>
        <v>144</v>
      </c>
      <c r="N202" s="7" t="s">
        <v>351</v>
      </c>
      <c r="O202" s="40">
        <v>1</v>
      </c>
      <c r="Y202">
        <f t="shared" si="16"/>
        <v>712</v>
      </c>
    </row>
    <row r="203" spans="1:25" x14ac:dyDescent="0.25">
      <c r="A203" s="7" t="s">
        <v>364</v>
      </c>
      <c r="B203" s="40">
        <v>0</v>
      </c>
      <c r="C203">
        <f t="shared" si="20"/>
        <v>191</v>
      </c>
      <c r="D203" s="7" t="s">
        <v>357</v>
      </c>
      <c r="E203">
        <f t="shared" si="19"/>
        <v>154</v>
      </c>
      <c r="G203" s="7" t="s">
        <v>352</v>
      </c>
      <c r="H203" s="40">
        <v>42</v>
      </c>
      <c r="I203">
        <f t="shared" si="15"/>
        <v>577</v>
      </c>
      <c r="J203" s="7" t="s">
        <v>352</v>
      </c>
      <c r="K203" s="7"/>
      <c r="L203">
        <f t="shared" si="17"/>
        <v>42</v>
      </c>
      <c r="M203">
        <f t="shared" si="18"/>
        <v>144</v>
      </c>
      <c r="N203" s="7" t="s">
        <v>352</v>
      </c>
      <c r="O203" s="40">
        <v>1</v>
      </c>
      <c r="Y203">
        <f t="shared" si="16"/>
        <v>712</v>
      </c>
    </row>
    <row r="204" spans="1:25" x14ac:dyDescent="0.25">
      <c r="A204" s="7" t="s">
        <v>365</v>
      </c>
      <c r="B204" s="40">
        <v>10</v>
      </c>
      <c r="C204">
        <f t="shared" si="20"/>
        <v>634</v>
      </c>
      <c r="D204" s="7" t="s">
        <v>359</v>
      </c>
      <c r="E204">
        <f t="shared" si="19"/>
        <v>13</v>
      </c>
      <c r="G204" s="7" t="s">
        <v>353</v>
      </c>
      <c r="H204" s="40">
        <v>6</v>
      </c>
      <c r="I204">
        <f t="shared" si="15"/>
        <v>718</v>
      </c>
      <c r="J204" s="7" t="s">
        <v>353</v>
      </c>
      <c r="K204" s="7"/>
      <c r="L204">
        <f t="shared" si="17"/>
        <v>6</v>
      </c>
      <c r="M204">
        <f t="shared" si="18"/>
        <v>144</v>
      </c>
      <c r="N204" s="7" t="s">
        <v>353</v>
      </c>
      <c r="O204" s="40">
        <v>1</v>
      </c>
      <c r="Y204">
        <f t="shared" si="16"/>
        <v>712</v>
      </c>
    </row>
    <row r="205" spans="1:25" x14ac:dyDescent="0.25">
      <c r="A205" s="7" t="s">
        <v>366</v>
      </c>
      <c r="B205" s="40">
        <v>206</v>
      </c>
      <c r="C205">
        <f t="shared" si="20"/>
        <v>512</v>
      </c>
      <c r="D205" s="7" t="s">
        <v>361</v>
      </c>
      <c r="E205">
        <f t="shared" si="19"/>
        <v>30</v>
      </c>
      <c r="G205" s="7" t="s">
        <v>355</v>
      </c>
      <c r="H205" s="40">
        <v>131</v>
      </c>
      <c r="I205">
        <f t="shared" ref="I205:I268" si="21">RANK(L:L,L:L)</f>
        <v>407</v>
      </c>
      <c r="J205" s="7" t="s">
        <v>355</v>
      </c>
      <c r="K205" s="7"/>
      <c r="L205">
        <f t="shared" si="17"/>
        <v>131</v>
      </c>
      <c r="M205">
        <f t="shared" si="18"/>
        <v>144</v>
      </c>
      <c r="N205" s="7" t="s">
        <v>355</v>
      </c>
      <c r="O205" s="40">
        <v>1</v>
      </c>
      <c r="Y205">
        <f t="shared" ref="Y205:Y268" si="22">RANK(AA:AA,AA:AA)</f>
        <v>712</v>
      </c>
    </row>
    <row r="206" spans="1:25" x14ac:dyDescent="0.25">
      <c r="A206" s="7" t="s">
        <v>367</v>
      </c>
      <c r="B206" s="40">
        <v>26</v>
      </c>
      <c r="C206">
        <f t="shared" si="20"/>
        <v>254</v>
      </c>
      <c r="D206" s="7" t="s">
        <v>362</v>
      </c>
      <c r="E206">
        <f t="shared" si="19"/>
        <v>100</v>
      </c>
      <c r="G206" s="7" t="s">
        <v>356</v>
      </c>
      <c r="H206" s="40">
        <v>2232</v>
      </c>
      <c r="I206">
        <f t="shared" si="21"/>
        <v>47</v>
      </c>
      <c r="J206" s="7" t="s">
        <v>356</v>
      </c>
      <c r="K206" s="7"/>
      <c r="L206">
        <f t="shared" ref="L206:L269" si="23">VLOOKUP(G206,G205:H1028,2,0)</f>
        <v>2232</v>
      </c>
      <c r="M206">
        <f t="shared" ref="M206:M269" si="24">RANK(O:O,O:O)</f>
        <v>28</v>
      </c>
      <c r="N206" s="7" t="s">
        <v>356</v>
      </c>
      <c r="O206" s="40">
        <v>2</v>
      </c>
      <c r="Y206">
        <f t="shared" si="22"/>
        <v>712</v>
      </c>
    </row>
    <row r="207" spans="1:25" x14ac:dyDescent="0.25">
      <c r="A207" s="7" t="s">
        <v>368</v>
      </c>
      <c r="B207" s="40">
        <v>0</v>
      </c>
      <c r="C207">
        <f t="shared" si="20"/>
        <v>308</v>
      </c>
      <c r="D207" s="7" t="s">
        <v>363</v>
      </c>
      <c r="E207">
        <f t="shared" si="19"/>
        <v>88</v>
      </c>
      <c r="G207" s="7" t="s">
        <v>357</v>
      </c>
      <c r="H207" s="40">
        <v>45</v>
      </c>
      <c r="I207">
        <f t="shared" si="21"/>
        <v>568</v>
      </c>
      <c r="J207" s="7" t="s">
        <v>357</v>
      </c>
      <c r="K207" s="7"/>
      <c r="L207">
        <f t="shared" si="23"/>
        <v>45</v>
      </c>
      <c r="M207">
        <f t="shared" si="24"/>
        <v>144</v>
      </c>
      <c r="N207" s="7" t="s">
        <v>357</v>
      </c>
      <c r="O207" s="40">
        <v>1</v>
      </c>
      <c r="Y207">
        <f t="shared" si="22"/>
        <v>712</v>
      </c>
    </row>
    <row r="208" spans="1:25" x14ac:dyDescent="0.25">
      <c r="A208" s="7" t="s">
        <v>369</v>
      </c>
      <c r="B208" s="40">
        <v>100</v>
      </c>
      <c r="C208">
        <f t="shared" si="20"/>
        <v>683</v>
      </c>
      <c r="D208" s="7" t="s">
        <v>364</v>
      </c>
      <c r="E208">
        <f t="shared" si="19"/>
        <v>0</v>
      </c>
      <c r="G208" s="7" t="s">
        <v>359</v>
      </c>
      <c r="H208" s="40">
        <v>36</v>
      </c>
      <c r="I208">
        <f t="shared" si="21"/>
        <v>598</v>
      </c>
      <c r="J208" s="7" t="s">
        <v>359</v>
      </c>
      <c r="K208" s="7"/>
      <c r="L208">
        <f t="shared" si="23"/>
        <v>36</v>
      </c>
      <c r="M208">
        <f t="shared" si="24"/>
        <v>144</v>
      </c>
      <c r="N208" s="7" t="s">
        <v>359</v>
      </c>
      <c r="O208" s="40">
        <v>1</v>
      </c>
      <c r="Y208">
        <f t="shared" si="22"/>
        <v>712</v>
      </c>
    </row>
    <row r="209" spans="1:25" x14ac:dyDescent="0.25">
      <c r="A209" s="7" t="s">
        <v>370</v>
      </c>
      <c r="B209" s="40">
        <v>80</v>
      </c>
      <c r="C209">
        <f t="shared" si="20"/>
        <v>653</v>
      </c>
      <c r="D209" s="7" t="s">
        <v>365</v>
      </c>
      <c r="E209">
        <f t="shared" si="19"/>
        <v>10</v>
      </c>
      <c r="G209" s="7" t="s">
        <v>361</v>
      </c>
      <c r="H209" s="40">
        <v>250</v>
      </c>
      <c r="I209">
        <f t="shared" si="21"/>
        <v>288</v>
      </c>
      <c r="J209" s="7" t="s">
        <v>361</v>
      </c>
      <c r="K209" s="7"/>
      <c r="L209">
        <f t="shared" si="23"/>
        <v>250</v>
      </c>
      <c r="M209">
        <f t="shared" si="24"/>
        <v>144</v>
      </c>
      <c r="N209" s="7" t="s">
        <v>361</v>
      </c>
      <c r="O209" s="40">
        <v>1</v>
      </c>
      <c r="Y209">
        <f t="shared" si="22"/>
        <v>712</v>
      </c>
    </row>
    <row r="210" spans="1:25" x14ac:dyDescent="0.25">
      <c r="A210" s="7" t="s">
        <v>373</v>
      </c>
      <c r="B210" s="40">
        <v>39</v>
      </c>
      <c r="C210">
        <f t="shared" si="20"/>
        <v>146</v>
      </c>
      <c r="D210" s="7" t="s">
        <v>366</v>
      </c>
      <c r="E210">
        <f t="shared" si="19"/>
        <v>206</v>
      </c>
      <c r="G210" s="7" t="s">
        <v>362</v>
      </c>
      <c r="H210" s="40">
        <v>31</v>
      </c>
      <c r="I210">
        <f t="shared" si="21"/>
        <v>611</v>
      </c>
      <c r="J210" s="7" t="s">
        <v>362</v>
      </c>
      <c r="K210" s="7"/>
      <c r="L210">
        <f t="shared" si="23"/>
        <v>31</v>
      </c>
      <c r="M210">
        <f t="shared" si="24"/>
        <v>144</v>
      </c>
      <c r="N210" s="7" t="s">
        <v>362</v>
      </c>
      <c r="O210" s="40">
        <v>1</v>
      </c>
      <c r="Y210">
        <f t="shared" si="22"/>
        <v>712</v>
      </c>
    </row>
    <row r="211" spans="1:25" x14ac:dyDescent="0.25">
      <c r="A211" s="7" t="s">
        <v>374</v>
      </c>
      <c r="B211" s="40">
        <v>78</v>
      </c>
      <c r="C211">
        <f t="shared" si="20"/>
        <v>549</v>
      </c>
      <c r="D211" s="7" t="s">
        <v>367</v>
      </c>
      <c r="E211">
        <f t="shared" si="19"/>
        <v>26</v>
      </c>
      <c r="G211" s="7" t="s">
        <v>363</v>
      </c>
      <c r="H211" s="40">
        <v>290</v>
      </c>
      <c r="I211">
        <f t="shared" si="21"/>
        <v>263</v>
      </c>
      <c r="J211" s="7" t="s">
        <v>363</v>
      </c>
      <c r="K211" s="7"/>
      <c r="L211">
        <f t="shared" si="23"/>
        <v>290</v>
      </c>
      <c r="M211">
        <f t="shared" si="24"/>
        <v>28</v>
      </c>
      <c r="N211" s="7" t="s">
        <v>363</v>
      </c>
      <c r="O211" s="40">
        <v>2</v>
      </c>
      <c r="Y211">
        <f t="shared" si="22"/>
        <v>712</v>
      </c>
    </row>
    <row r="212" spans="1:25" x14ac:dyDescent="0.25">
      <c r="A212" s="7" t="s">
        <v>375</v>
      </c>
      <c r="B212" s="40">
        <v>100</v>
      </c>
      <c r="C212">
        <f t="shared" si="20"/>
        <v>683</v>
      </c>
      <c r="D212" s="7" t="s">
        <v>368</v>
      </c>
      <c r="E212">
        <f t="shared" si="19"/>
        <v>0</v>
      </c>
      <c r="G212" s="7" t="s">
        <v>364</v>
      </c>
      <c r="H212" s="40">
        <v>212</v>
      </c>
      <c r="I212">
        <f t="shared" si="21"/>
        <v>322</v>
      </c>
      <c r="J212" s="7" t="s">
        <v>364</v>
      </c>
      <c r="K212" s="7"/>
      <c r="L212">
        <f t="shared" si="23"/>
        <v>212</v>
      </c>
      <c r="M212">
        <f t="shared" si="24"/>
        <v>144</v>
      </c>
      <c r="N212" s="7" t="s">
        <v>364</v>
      </c>
      <c r="O212" s="40">
        <v>1</v>
      </c>
      <c r="Y212">
        <f t="shared" si="22"/>
        <v>712</v>
      </c>
    </row>
    <row r="213" spans="1:25" x14ac:dyDescent="0.25">
      <c r="A213" s="7" t="s">
        <v>376</v>
      </c>
      <c r="B213" s="40">
        <v>30</v>
      </c>
      <c r="C213">
        <f t="shared" si="20"/>
        <v>254</v>
      </c>
      <c r="D213" s="7" t="s">
        <v>369</v>
      </c>
      <c r="E213">
        <f t="shared" si="19"/>
        <v>100</v>
      </c>
      <c r="G213" s="7" t="s">
        <v>365</v>
      </c>
      <c r="H213" s="40">
        <v>84</v>
      </c>
      <c r="I213">
        <f t="shared" si="21"/>
        <v>478</v>
      </c>
      <c r="J213" s="7" t="s">
        <v>365</v>
      </c>
      <c r="K213" s="7"/>
      <c r="L213">
        <f t="shared" si="23"/>
        <v>84</v>
      </c>
      <c r="M213">
        <f t="shared" si="24"/>
        <v>144</v>
      </c>
      <c r="N213" s="7" t="s">
        <v>365</v>
      </c>
      <c r="O213" s="40">
        <v>1</v>
      </c>
      <c r="Y213">
        <f t="shared" si="22"/>
        <v>712</v>
      </c>
    </row>
    <row r="214" spans="1:25" x14ac:dyDescent="0.25">
      <c r="A214" s="7" t="s">
        <v>377</v>
      </c>
      <c r="B214" s="40">
        <v>70</v>
      </c>
      <c r="C214">
        <f t="shared" si="20"/>
        <v>322</v>
      </c>
      <c r="D214" s="7" t="s">
        <v>370</v>
      </c>
      <c r="E214">
        <f t="shared" si="19"/>
        <v>80</v>
      </c>
      <c r="G214" s="7" t="s">
        <v>366</v>
      </c>
      <c r="H214" s="40">
        <v>2400</v>
      </c>
      <c r="I214">
        <f t="shared" si="21"/>
        <v>42</v>
      </c>
      <c r="J214" s="7" t="s">
        <v>366</v>
      </c>
      <c r="K214" s="7"/>
      <c r="L214">
        <f t="shared" si="23"/>
        <v>2400</v>
      </c>
      <c r="M214">
        <f t="shared" si="24"/>
        <v>144</v>
      </c>
      <c r="N214" s="7" t="s">
        <v>366</v>
      </c>
      <c r="O214" s="40">
        <v>1</v>
      </c>
      <c r="Y214">
        <f t="shared" si="22"/>
        <v>712</v>
      </c>
    </row>
    <row r="215" spans="1:25" x14ac:dyDescent="0.25">
      <c r="A215" s="7" t="s">
        <v>378</v>
      </c>
      <c r="B215" s="40">
        <v>23</v>
      </c>
      <c r="C215">
        <f t="shared" si="20"/>
        <v>482</v>
      </c>
      <c r="D215" s="7" t="s">
        <v>373</v>
      </c>
      <c r="E215">
        <f t="shared" si="19"/>
        <v>39</v>
      </c>
      <c r="G215" s="7" t="s">
        <v>367</v>
      </c>
      <c r="H215" s="40">
        <v>10</v>
      </c>
      <c r="I215">
        <f t="shared" si="21"/>
        <v>701</v>
      </c>
      <c r="J215" s="7" t="s">
        <v>367</v>
      </c>
      <c r="K215" s="7"/>
      <c r="L215">
        <f t="shared" si="23"/>
        <v>10</v>
      </c>
      <c r="M215">
        <f t="shared" si="24"/>
        <v>144</v>
      </c>
      <c r="N215" s="7" t="s">
        <v>367</v>
      </c>
      <c r="O215" s="40">
        <v>1</v>
      </c>
      <c r="Y215">
        <f t="shared" si="22"/>
        <v>712</v>
      </c>
    </row>
    <row r="216" spans="1:25" x14ac:dyDescent="0.25">
      <c r="A216" s="7" t="s">
        <v>379</v>
      </c>
      <c r="B216" s="40">
        <v>160</v>
      </c>
      <c r="C216">
        <f t="shared" si="20"/>
        <v>335</v>
      </c>
      <c r="D216" s="7" t="s">
        <v>374</v>
      </c>
      <c r="E216">
        <f t="shared" si="19"/>
        <v>78</v>
      </c>
      <c r="G216" s="7" t="s">
        <v>368</v>
      </c>
      <c r="H216" s="40">
        <v>25</v>
      </c>
      <c r="I216">
        <f t="shared" si="21"/>
        <v>631</v>
      </c>
      <c r="J216" s="7" t="s">
        <v>368</v>
      </c>
      <c r="K216" s="7"/>
      <c r="L216">
        <f t="shared" si="23"/>
        <v>25</v>
      </c>
      <c r="M216">
        <f t="shared" si="24"/>
        <v>144</v>
      </c>
      <c r="N216" s="7" t="s">
        <v>368</v>
      </c>
      <c r="O216" s="40">
        <v>1</v>
      </c>
      <c r="Y216">
        <f t="shared" si="22"/>
        <v>712</v>
      </c>
    </row>
    <row r="217" spans="1:25" x14ac:dyDescent="0.25">
      <c r="A217" s="7" t="s">
        <v>380</v>
      </c>
      <c r="B217" s="40">
        <v>43</v>
      </c>
      <c r="C217">
        <f t="shared" si="20"/>
        <v>254</v>
      </c>
      <c r="D217" s="7" t="s">
        <v>375</v>
      </c>
      <c r="E217">
        <f t="shared" si="19"/>
        <v>100</v>
      </c>
      <c r="G217" s="7" t="s">
        <v>369</v>
      </c>
      <c r="H217" s="40">
        <v>89</v>
      </c>
      <c r="I217">
        <f t="shared" si="21"/>
        <v>470</v>
      </c>
      <c r="J217" s="7" t="s">
        <v>369</v>
      </c>
      <c r="K217" s="7"/>
      <c r="L217">
        <f t="shared" si="23"/>
        <v>89</v>
      </c>
      <c r="M217">
        <f t="shared" si="24"/>
        <v>144</v>
      </c>
      <c r="N217" s="7" t="s">
        <v>369</v>
      </c>
      <c r="O217" s="40">
        <v>1</v>
      </c>
      <c r="Y217">
        <f t="shared" si="22"/>
        <v>712</v>
      </c>
    </row>
    <row r="218" spans="1:25" x14ac:dyDescent="0.25">
      <c r="A218" s="7" t="s">
        <v>381</v>
      </c>
      <c r="B218" s="40">
        <v>1000</v>
      </c>
      <c r="C218">
        <f t="shared" si="20"/>
        <v>512</v>
      </c>
      <c r="D218" s="7" t="s">
        <v>376</v>
      </c>
      <c r="E218">
        <f t="shared" si="19"/>
        <v>30</v>
      </c>
      <c r="G218" s="7" t="s">
        <v>370</v>
      </c>
      <c r="H218" s="40">
        <v>11</v>
      </c>
      <c r="I218">
        <f t="shared" si="21"/>
        <v>695</v>
      </c>
      <c r="J218" s="7" t="s">
        <v>370</v>
      </c>
      <c r="K218" s="7"/>
      <c r="L218">
        <f t="shared" si="23"/>
        <v>11</v>
      </c>
      <c r="M218">
        <f t="shared" si="24"/>
        <v>144</v>
      </c>
      <c r="N218" s="7" t="s">
        <v>370</v>
      </c>
      <c r="O218" s="40">
        <v>1</v>
      </c>
      <c r="Y218">
        <f t="shared" si="22"/>
        <v>712</v>
      </c>
    </row>
    <row r="219" spans="1:25" x14ac:dyDescent="0.25">
      <c r="A219" s="7" t="s">
        <v>382</v>
      </c>
      <c r="B219" s="40">
        <v>0</v>
      </c>
      <c r="C219">
        <f t="shared" si="20"/>
        <v>350</v>
      </c>
      <c r="D219" s="7" t="s">
        <v>377</v>
      </c>
      <c r="E219">
        <f t="shared" si="19"/>
        <v>70</v>
      </c>
      <c r="G219" s="7" t="s">
        <v>373</v>
      </c>
      <c r="H219" s="40">
        <v>29</v>
      </c>
      <c r="I219">
        <f t="shared" si="21"/>
        <v>620</v>
      </c>
      <c r="J219" s="7" t="s">
        <v>373</v>
      </c>
      <c r="K219" s="7"/>
      <c r="L219">
        <f t="shared" si="23"/>
        <v>29</v>
      </c>
      <c r="M219">
        <f t="shared" si="24"/>
        <v>144</v>
      </c>
      <c r="N219" s="7" t="s">
        <v>373</v>
      </c>
      <c r="O219" s="40">
        <v>1</v>
      </c>
      <c r="Y219">
        <f t="shared" si="22"/>
        <v>712</v>
      </c>
    </row>
    <row r="220" spans="1:25" x14ac:dyDescent="0.25">
      <c r="A220" s="7" t="s">
        <v>384</v>
      </c>
      <c r="B220" s="40">
        <v>48</v>
      </c>
      <c r="C220">
        <f t="shared" si="20"/>
        <v>570</v>
      </c>
      <c r="D220" s="7" t="s">
        <v>378</v>
      </c>
      <c r="E220">
        <f t="shared" si="19"/>
        <v>23</v>
      </c>
      <c r="G220" s="7" t="s">
        <v>374</v>
      </c>
      <c r="H220" s="40">
        <v>58</v>
      </c>
      <c r="I220">
        <f t="shared" si="21"/>
        <v>533</v>
      </c>
      <c r="J220" s="7" t="s">
        <v>374</v>
      </c>
      <c r="K220" s="7"/>
      <c r="L220">
        <f t="shared" si="23"/>
        <v>58</v>
      </c>
      <c r="M220">
        <f t="shared" si="24"/>
        <v>28</v>
      </c>
      <c r="N220" s="7" t="s">
        <v>374</v>
      </c>
      <c r="O220" s="40">
        <v>2</v>
      </c>
      <c r="Y220">
        <f t="shared" si="22"/>
        <v>712</v>
      </c>
    </row>
    <row r="221" spans="1:25" x14ac:dyDescent="0.25">
      <c r="A221" s="7" t="s">
        <v>385</v>
      </c>
      <c r="B221" s="40">
        <v>87</v>
      </c>
      <c r="C221">
        <f t="shared" si="20"/>
        <v>184</v>
      </c>
      <c r="D221" s="7" t="s">
        <v>379</v>
      </c>
      <c r="E221">
        <f t="shared" si="19"/>
        <v>160</v>
      </c>
      <c r="G221" s="7" t="s">
        <v>375</v>
      </c>
      <c r="H221" s="40">
        <v>32</v>
      </c>
      <c r="I221">
        <f t="shared" si="21"/>
        <v>607</v>
      </c>
      <c r="J221" s="7" t="s">
        <v>375</v>
      </c>
      <c r="K221" s="7"/>
      <c r="L221">
        <f t="shared" si="23"/>
        <v>32</v>
      </c>
      <c r="M221">
        <f t="shared" si="24"/>
        <v>144</v>
      </c>
      <c r="N221" s="7" t="s">
        <v>375</v>
      </c>
      <c r="O221" s="40">
        <v>1</v>
      </c>
      <c r="Y221">
        <f t="shared" si="22"/>
        <v>712</v>
      </c>
    </row>
    <row r="222" spans="1:25" x14ac:dyDescent="0.25">
      <c r="A222" s="7" t="s">
        <v>386</v>
      </c>
      <c r="B222" s="40">
        <v>0</v>
      </c>
      <c r="C222">
        <f t="shared" si="20"/>
        <v>448</v>
      </c>
      <c r="D222" s="7" t="s">
        <v>380</v>
      </c>
      <c r="E222">
        <f t="shared" si="19"/>
        <v>43</v>
      </c>
      <c r="G222" s="7" t="s">
        <v>376</v>
      </c>
      <c r="H222" s="40">
        <v>300</v>
      </c>
      <c r="I222">
        <f t="shared" si="21"/>
        <v>255</v>
      </c>
      <c r="J222" s="7" t="s">
        <v>376</v>
      </c>
      <c r="K222" s="7"/>
      <c r="L222">
        <f t="shared" si="23"/>
        <v>300</v>
      </c>
      <c r="M222">
        <f t="shared" si="24"/>
        <v>144</v>
      </c>
      <c r="N222" s="7" t="s">
        <v>376</v>
      </c>
      <c r="O222" s="40">
        <v>1</v>
      </c>
      <c r="Y222">
        <f t="shared" si="22"/>
        <v>712</v>
      </c>
    </row>
    <row r="223" spans="1:25" x14ac:dyDescent="0.25">
      <c r="A223" s="7" t="s">
        <v>387</v>
      </c>
      <c r="B223" s="40">
        <v>180</v>
      </c>
      <c r="C223">
        <f t="shared" si="20"/>
        <v>30</v>
      </c>
      <c r="D223" s="7" t="s">
        <v>381</v>
      </c>
      <c r="E223">
        <f t="shared" si="19"/>
        <v>1000</v>
      </c>
      <c r="G223" s="7" t="s">
        <v>377</v>
      </c>
      <c r="H223" s="40">
        <v>171</v>
      </c>
      <c r="I223">
        <f t="shared" si="21"/>
        <v>361</v>
      </c>
      <c r="J223" s="7" t="s">
        <v>377</v>
      </c>
      <c r="K223" s="7"/>
      <c r="L223">
        <f t="shared" si="23"/>
        <v>171</v>
      </c>
      <c r="M223">
        <f t="shared" si="24"/>
        <v>144</v>
      </c>
      <c r="N223" s="7" t="s">
        <v>377</v>
      </c>
      <c r="O223" s="40">
        <v>1</v>
      </c>
      <c r="Y223">
        <f t="shared" si="22"/>
        <v>712</v>
      </c>
    </row>
    <row r="224" spans="1:25" x14ac:dyDescent="0.25">
      <c r="A224" s="7" t="s">
        <v>388</v>
      </c>
      <c r="B224" s="40">
        <v>25</v>
      </c>
      <c r="C224">
        <f t="shared" si="20"/>
        <v>683</v>
      </c>
      <c r="D224" s="7" t="s">
        <v>382</v>
      </c>
      <c r="E224">
        <f t="shared" si="19"/>
        <v>0</v>
      </c>
      <c r="G224" s="7" t="s">
        <v>378</v>
      </c>
      <c r="H224" s="40">
        <v>21</v>
      </c>
      <c r="I224">
        <f t="shared" si="21"/>
        <v>648</v>
      </c>
      <c r="J224" s="7" t="s">
        <v>378</v>
      </c>
      <c r="K224" s="7"/>
      <c r="L224">
        <f t="shared" si="23"/>
        <v>21</v>
      </c>
      <c r="M224">
        <f t="shared" si="24"/>
        <v>144</v>
      </c>
      <c r="N224" s="7" t="s">
        <v>378</v>
      </c>
      <c r="O224" s="40">
        <v>1</v>
      </c>
      <c r="Y224">
        <f t="shared" si="22"/>
        <v>712</v>
      </c>
    </row>
    <row r="225" spans="1:25" x14ac:dyDescent="0.25">
      <c r="A225" s="7" t="s">
        <v>390</v>
      </c>
      <c r="B225" s="40">
        <v>600</v>
      </c>
      <c r="C225">
        <f t="shared" si="20"/>
        <v>434</v>
      </c>
      <c r="D225" s="7" t="s">
        <v>384</v>
      </c>
      <c r="E225">
        <f t="shared" si="19"/>
        <v>48</v>
      </c>
      <c r="G225" s="7" t="s">
        <v>379</v>
      </c>
      <c r="H225" s="40">
        <v>138</v>
      </c>
      <c r="I225">
        <f t="shared" si="21"/>
        <v>398</v>
      </c>
      <c r="J225" s="7" t="s">
        <v>379</v>
      </c>
      <c r="K225" s="7"/>
      <c r="L225">
        <f t="shared" si="23"/>
        <v>138</v>
      </c>
      <c r="M225">
        <f t="shared" si="24"/>
        <v>144</v>
      </c>
      <c r="N225" s="7" t="s">
        <v>379</v>
      </c>
      <c r="O225" s="40">
        <v>1</v>
      </c>
      <c r="Y225">
        <f t="shared" si="22"/>
        <v>712</v>
      </c>
    </row>
    <row r="226" spans="1:25" x14ac:dyDescent="0.25">
      <c r="A226" s="7" t="s">
        <v>391</v>
      </c>
      <c r="B226" s="40">
        <v>4000</v>
      </c>
      <c r="C226">
        <f t="shared" si="20"/>
        <v>310</v>
      </c>
      <c r="D226" s="7" t="s">
        <v>385</v>
      </c>
      <c r="E226">
        <f t="shared" si="19"/>
        <v>87</v>
      </c>
      <c r="G226" s="7" t="s">
        <v>380</v>
      </c>
      <c r="H226" s="40">
        <v>240</v>
      </c>
      <c r="I226">
        <f t="shared" si="21"/>
        <v>299</v>
      </c>
      <c r="J226" s="7" t="s">
        <v>380</v>
      </c>
      <c r="K226" s="7"/>
      <c r="L226">
        <f t="shared" si="23"/>
        <v>240</v>
      </c>
      <c r="M226">
        <f t="shared" si="24"/>
        <v>9</v>
      </c>
      <c r="N226" s="7" t="s">
        <v>380</v>
      </c>
      <c r="O226" s="40">
        <v>3</v>
      </c>
      <c r="Y226">
        <f t="shared" si="22"/>
        <v>712</v>
      </c>
    </row>
    <row r="227" spans="1:25" x14ac:dyDescent="0.25">
      <c r="A227" s="7" t="s">
        <v>392</v>
      </c>
      <c r="B227" s="40">
        <v>3750</v>
      </c>
      <c r="C227">
        <f t="shared" si="20"/>
        <v>683</v>
      </c>
      <c r="D227" s="7" t="s">
        <v>386</v>
      </c>
      <c r="E227">
        <f t="shared" si="19"/>
        <v>0</v>
      </c>
      <c r="G227" s="7" t="s">
        <v>381</v>
      </c>
      <c r="H227" s="40">
        <v>50</v>
      </c>
      <c r="I227">
        <f t="shared" si="21"/>
        <v>554</v>
      </c>
      <c r="J227" s="7" t="s">
        <v>381</v>
      </c>
      <c r="K227" s="7"/>
      <c r="L227">
        <f t="shared" si="23"/>
        <v>50</v>
      </c>
      <c r="M227">
        <f t="shared" si="24"/>
        <v>144</v>
      </c>
      <c r="N227" s="7" t="s">
        <v>381</v>
      </c>
      <c r="O227" s="40">
        <v>1</v>
      </c>
      <c r="Y227">
        <f t="shared" si="22"/>
        <v>712</v>
      </c>
    </row>
    <row r="228" spans="1:25" x14ac:dyDescent="0.25">
      <c r="A228" s="7" t="s">
        <v>394</v>
      </c>
      <c r="B228" s="40">
        <v>20</v>
      </c>
      <c r="C228">
        <f t="shared" si="20"/>
        <v>169</v>
      </c>
      <c r="D228" s="7" t="s">
        <v>387</v>
      </c>
      <c r="E228">
        <f t="shared" si="19"/>
        <v>180</v>
      </c>
      <c r="G228" s="7" t="s">
        <v>382</v>
      </c>
      <c r="H228" s="40">
        <v>1060</v>
      </c>
      <c r="I228">
        <f t="shared" si="21"/>
        <v>96</v>
      </c>
      <c r="J228" s="7" t="s">
        <v>382</v>
      </c>
      <c r="K228" s="7"/>
      <c r="L228">
        <f t="shared" si="23"/>
        <v>1060</v>
      </c>
      <c r="M228">
        <f t="shared" si="24"/>
        <v>28</v>
      </c>
      <c r="N228" s="7" t="s">
        <v>382</v>
      </c>
      <c r="O228" s="40">
        <v>2</v>
      </c>
      <c r="Y228">
        <f t="shared" si="22"/>
        <v>712</v>
      </c>
    </row>
    <row r="229" spans="1:25" x14ac:dyDescent="0.25">
      <c r="A229" s="7" t="s">
        <v>397</v>
      </c>
      <c r="B229" s="40">
        <v>60</v>
      </c>
      <c r="C229">
        <f t="shared" si="20"/>
        <v>554</v>
      </c>
      <c r="D229" s="7" t="s">
        <v>388</v>
      </c>
      <c r="E229">
        <f t="shared" si="19"/>
        <v>25</v>
      </c>
      <c r="G229" s="7" t="s">
        <v>384</v>
      </c>
      <c r="H229" s="40">
        <v>64</v>
      </c>
      <c r="I229">
        <f t="shared" si="21"/>
        <v>516</v>
      </c>
      <c r="J229" s="7" t="s">
        <v>384</v>
      </c>
      <c r="K229" s="7"/>
      <c r="L229">
        <f t="shared" si="23"/>
        <v>64</v>
      </c>
      <c r="M229">
        <f t="shared" si="24"/>
        <v>144</v>
      </c>
      <c r="N229" s="7" t="s">
        <v>384</v>
      </c>
      <c r="O229" s="40">
        <v>1</v>
      </c>
      <c r="Y229">
        <f t="shared" si="22"/>
        <v>712</v>
      </c>
    </row>
    <row r="230" spans="1:25" x14ac:dyDescent="0.25">
      <c r="A230" s="7" t="s">
        <v>398</v>
      </c>
      <c r="B230" s="40">
        <v>0</v>
      </c>
      <c r="C230">
        <f t="shared" si="20"/>
        <v>55</v>
      </c>
      <c r="D230" s="7" t="s">
        <v>390</v>
      </c>
      <c r="E230">
        <f t="shared" si="19"/>
        <v>600</v>
      </c>
      <c r="G230" s="7" t="s">
        <v>385</v>
      </c>
      <c r="H230" s="40">
        <v>42</v>
      </c>
      <c r="I230">
        <f t="shared" si="21"/>
        <v>577</v>
      </c>
      <c r="J230" s="7" t="s">
        <v>385</v>
      </c>
      <c r="K230" s="7"/>
      <c r="L230">
        <f t="shared" si="23"/>
        <v>42</v>
      </c>
      <c r="M230">
        <f t="shared" si="24"/>
        <v>144</v>
      </c>
      <c r="N230" s="7" t="s">
        <v>385</v>
      </c>
      <c r="O230" s="40">
        <v>1</v>
      </c>
      <c r="Y230">
        <f t="shared" si="22"/>
        <v>712</v>
      </c>
    </row>
    <row r="231" spans="1:25" x14ac:dyDescent="0.25">
      <c r="A231" s="7" t="s">
        <v>399</v>
      </c>
      <c r="B231" s="40">
        <v>28</v>
      </c>
      <c r="C231">
        <f t="shared" si="20"/>
        <v>7</v>
      </c>
      <c r="D231" s="7" t="s">
        <v>391</v>
      </c>
      <c r="E231">
        <f t="shared" si="19"/>
        <v>4000</v>
      </c>
      <c r="G231" s="7" t="s">
        <v>386</v>
      </c>
      <c r="H231" s="40">
        <v>32</v>
      </c>
      <c r="I231">
        <f t="shared" si="21"/>
        <v>607</v>
      </c>
      <c r="J231" s="7" t="s">
        <v>386</v>
      </c>
      <c r="K231" s="7"/>
      <c r="L231">
        <f t="shared" si="23"/>
        <v>32</v>
      </c>
      <c r="M231">
        <f t="shared" si="24"/>
        <v>144</v>
      </c>
      <c r="N231" s="7" t="s">
        <v>386</v>
      </c>
      <c r="O231" s="40">
        <v>1</v>
      </c>
      <c r="Y231">
        <f t="shared" si="22"/>
        <v>712</v>
      </c>
    </row>
    <row r="232" spans="1:25" x14ac:dyDescent="0.25">
      <c r="A232" s="7" t="s">
        <v>400</v>
      </c>
      <c r="B232" s="40">
        <v>156</v>
      </c>
      <c r="C232">
        <f t="shared" si="20"/>
        <v>12</v>
      </c>
      <c r="D232" s="7" t="s">
        <v>392</v>
      </c>
      <c r="E232">
        <f t="shared" si="19"/>
        <v>3750</v>
      </c>
      <c r="G232" s="7" t="s">
        <v>387</v>
      </c>
      <c r="H232" s="40">
        <v>696</v>
      </c>
      <c r="I232">
        <f t="shared" si="21"/>
        <v>140</v>
      </c>
      <c r="J232" s="7" t="s">
        <v>387</v>
      </c>
      <c r="K232" s="7"/>
      <c r="L232">
        <f t="shared" si="23"/>
        <v>696</v>
      </c>
      <c r="M232">
        <f t="shared" si="24"/>
        <v>144</v>
      </c>
      <c r="N232" s="7" t="s">
        <v>387</v>
      </c>
      <c r="O232" s="40">
        <v>1</v>
      </c>
      <c r="Y232">
        <f t="shared" si="22"/>
        <v>712</v>
      </c>
    </row>
    <row r="233" spans="1:25" x14ac:dyDescent="0.25">
      <c r="A233" s="7" t="s">
        <v>401</v>
      </c>
      <c r="B233" s="40">
        <v>20</v>
      </c>
      <c r="C233">
        <f t="shared" si="20"/>
        <v>588</v>
      </c>
      <c r="D233" s="7" t="s">
        <v>394</v>
      </c>
      <c r="E233">
        <f t="shared" si="19"/>
        <v>20</v>
      </c>
      <c r="G233" s="7" t="s">
        <v>388</v>
      </c>
      <c r="H233" s="40">
        <v>0</v>
      </c>
      <c r="I233">
        <f t="shared" si="21"/>
        <v>754</v>
      </c>
      <c r="J233" s="7" t="s">
        <v>388</v>
      </c>
      <c r="K233" s="7"/>
      <c r="L233">
        <f t="shared" si="23"/>
        <v>0</v>
      </c>
      <c r="M233">
        <f t="shared" si="24"/>
        <v>144</v>
      </c>
      <c r="N233" s="7" t="s">
        <v>388</v>
      </c>
      <c r="O233" s="40">
        <v>1</v>
      </c>
      <c r="Y233">
        <f t="shared" si="22"/>
        <v>712</v>
      </c>
    </row>
    <row r="234" spans="1:25" x14ac:dyDescent="0.25">
      <c r="A234" s="7" t="s">
        <v>402</v>
      </c>
      <c r="B234" s="40">
        <v>140</v>
      </c>
      <c r="C234">
        <f t="shared" si="20"/>
        <v>378</v>
      </c>
      <c r="D234" s="7" t="s">
        <v>397</v>
      </c>
      <c r="E234">
        <f t="shared" si="19"/>
        <v>60</v>
      </c>
      <c r="G234" s="7" t="s">
        <v>390</v>
      </c>
      <c r="H234" s="40">
        <v>0</v>
      </c>
      <c r="I234">
        <f t="shared" si="21"/>
        <v>754</v>
      </c>
      <c r="J234" s="7" t="s">
        <v>390</v>
      </c>
      <c r="K234" s="7"/>
      <c r="L234">
        <f t="shared" si="23"/>
        <v>0</v>
      </c>
      <c r="M234">
        <f t="shared" si="24"/>
        <v>28</v>
      </c>
      <c r="N234" s="7" t="s">
        <v>390</v>
      </c>
      <c r="O234" s="40">
        <v>2</v>
      </c>
      <c r="Y234">
        <f t="shared" si="22"/>
        <v>712</v>
      </c>
    </row>
    <row r="235" spans="1:25" x14ac:dyDescent="0.25">
      <c r="A235" s="7" t="s">
        <v>403</v>
      </c>
      <c r="B235" s="40">
        <v>90</v>
      </c>
      <c r="C235">
        <f t="shared" si="20"/>
        <v>683</v>
      </c>
      <c r="D235" s="7" t="s">
        <v>398</v>
      </c>
      <c r="E235">
        <f t="shared" si="19"/>
        <v>0</v>
      </c>
      <c r="G235" s="7" t="s">
        <v>391</v>
      </c>
      <c r="H235" s="40">
        <v>11000</v>
      </c>
      <c r="I235">
        <f t="shared" si="21"/>
        <v>14</v>
      </c>
      <c r="J235" s="7" t="s">
        <v>391</v>
      </c>
      <c r="K235" s="7"/>
      <c r="L235">
        <f t="shared" si="23"/>
        <v>11000</v>
      </c>
      <c r="M235">
        <f t="shared" si="24"/>
        <v>28</v>
      </c>
      <c r="N235" s="7" t="s">
        <v>391</v>
      </c>
      <c r="O235" s="40">
        <v>2</v>
      </c>
      <c r="Y235">
        <f t="shared" si="22"/>
        <v>712</v>
      </c>
    </row>
    <row r="236" spans="1:25" x14ac:dyDescent="0.25">
      <c r="A236" s="7" t="s">
        <v>404</v>
      </c>
      <c r="B236" s="40">
        <v>167</v>
      </c>
      <c r="C236">
        <f t="shared" si="20"/>
        <v>544</v>
      </c>
      <c r="D236" s="7" t="s">
        <v>399</v>
      </c>
      <c r="E236">
        <f t="shared" si="19"/>
        <v>28</v>
      </c>
      <c r="G236" s="7" t="s">
        <v>392</v>
      </c>
      <c r="H236" s="40">
        <v>35600</v>
      </c>
      <c r="I236">
        <f t="shared" si="21"/>
        <v>2</v>
      </c>
      <c r="J236" s="7" t="s">
        <v>392</v>
      </c>
      <c r="K236" s="7"/>
      <c r="L236">
        <f t="shared" si="23"/>
        <v>35600</v>
      </c>
      <c r="M236">
        <f t="shared" si="24"/>
        <v>3</v>
      </c>
      <c r="N236" s="7" t="s">
        <v>392</v>
      </c>
      <c r="O236" s="40">
        <v>4</v>
      </c>
      <c r="Y236">
        <f t="shared" si="22"/>
        <v>712</v>
      </c>
    </row>
    <row r="237" spans="1:25" x14ac:dyDescent="0.25">
      <c r="A237" s="7" t="s">
        <v>405</v>
      </c>
      <c r="B237" s="40">
        <v>0</v>
      </c>
      <c r="C237">
        <f t="shared" si="20"/>
        <v>189</v>
      </c>
      <c r="D237" s="7" t="s">
        <v>400</v>
      </c>
      <c r="E237">
        <f t="shared" si="19"/>
        <v>156</v>
      </c>
      <c r="G237" s="7" t="s">
        <v>394</v>
      </c>
      <c r="H237" s="40">
        <v>537</v>
      </c>
      <c r="I237">
        <f t="shared" si="21"/>
        <v>169</v>
      </c>
      <c r="J237" s="7" t="s">
        <v>394</v>
      </c>
      <c r="K237" s="7"/>
      <c r="L237">
        <f t="shared" si="23"/>
        <v>537</v>
      </c>
      <c r="M237">
        <f t="shared" si="24"/>
        <v>144</v>
      </c>
      <c r="N237" s="7" t="s">
        <v>394</v>
      </c>
      <c r="O237" s="40">
        <v>1</v>
      </c>
      <c r="Y237">
        <f t="shared" si="22"/>
        <v>712</v>
      </c>
    </row>
    <row r="238" spans="1:25" x14ac:dyDescent="0.25">
      <c r="A238" s="7" t="s">
        <v>407</v>
      </c>
      <c r="B238" s="40">
        <v>33</v>
      </c>
      <c r="C238">
        <f t="shared" si="20"/>
        <v>588</v>
      </c>
      <c r="D238" s="7" t="s">
        <v>401</v>
      </c>
      <c r="E238">
        <f t="shared" si="19"/>
        <v>20</v>
      </c>
      <c r="G238" s="7" t="s">
        <v>397</v>
      </c>
      <c r="H238" s="40">
        <v>0</v>
      </c>
      <c r="I238">
        <f t="shared" si="21"/>
        <v>754</v>
      </c>
      <c r="J238" s="7" t="s">
        <v>397</v>
      </c>
      <c r="K238" s="7"/>
      <c r="L238">
        <f t="shared" si="23"/>
        <v>0</v>
      </c>
      <c r="M238">
        <f t="shared" si="24"/>
        <v>144</v>
      </c>
      <c r="N238" s="7" t="s">
        <v>397</v>
      </c>
      <c r="O238" s="40">
        <v>1</v>
      </c>
      <c r="Y238">
        <f t="shared" si="22"/>
        <v>712</v>
      </c>
    </row>
    <row r="239" spans="1:25" x14ac:dyDescent="0.25">
      <c r="A239" s="7" t="s">
        <v>408</v>
      </c>
      <c r="B239" s="40">
        <v>58</v>
      </c>
      <c r="C239">
        <f t="shared" si="20"/>
        <v>212</v>
      </c>
      <c r="D239" s="7" t="s">
        <v>402</v>
      </c>
      <c r="E239">
        <f t="shared" si="19"/>
        <v>140</v>
      </c>
      <c r="G239" s="7" t="s">
        <v>398</v>
      </c>
      <c r="H239" s="40">
        <v>3</v>
      </c>
      <c r="I239">
        <f t="shared" si="21"/>
        <v>731</v>
      </c>
      <c r="J239" s="7" t="s">
        <v>398</v>
      </c>
      <c r="K239" s="7"/>
      <c r="L239">
        <f t="shared" si="23"/>
        <v>3</v>
      </c>
      <c r="M239">
        <f t="shared" si="24"/>
        <v>144</v>
      </c>
      <c r="N239" s="7" t="s">
        <v>398</v>
      </c>
      <c r="O239" s="40">
        <v>1</v>
      </c>
      <c r="Y239">
        <f t="shared" si="22"/>
        <v>712</v>
      </c>
    </row>
    <row r="240" spans="1:25" x14ac:dyDescent="0.25">
      <c r="A240" s="7" t="s">
        <v>409</v>
      </c>
      <c r="B240" s="40">
        <v>1100</v>
      </c>
      <c r="C240">
        <f t="shared" si="20"/>
        <v>298</v>
      </c>
      <c r="D240" s="7" t="s">
        <v>403</v>
      </c>
      <c r="E240">
        <f t="shared" si="19"/>
        <v>90</v>
      </c>
      <c r="G240" s="7" t="s">
        <v>399</v>
      </c>
      <c r="H240" s="40">
        <v>133</v>
      </c>
      <c r="I240">
        <f t="shared" si="21"/>
        <v>403</v>
      </c>
      <c r="J240" s="7" t="s">
        <v>399</v>
      </c>
      <c r="K240" s="7"/>
      <c r="L240">
        <f t="shared" si="23"/>
        <v>133</v>
      </c>
      <c r="M240">
        <f t="shared" si="24"/>
        <v>144</v>
      </c>
      <c r="N240" s="7" t="s">
        <v>399</v>
      </c>
      <c r="O240" s="40">
        <v>1</v>
      </c>
      <c r="Y240">
        <f t="shared" si="22"/>
        <v>712</v>
      </c>
    </row>
    <row r="241" spans="1:25" x14ac:dyDescent="0.25">
      <c r="A241" s="7" t="s">
        <v>410</v>
      </c>
      <c r="B241" s="40">
        <v>37</v>
      </c>
      <c r="C241">
        <f t="shared" si="20"/>
        <v>180</v>
      </c>
      <c r="D241" s="7" t="s">
        <v>404</v>
      </c>
      <c r="E241">
        <f t="shared" si="19"/>
        <v>167</v>
      </c>
      <c r="G241" s="7" t="s">
        <v>400</v>
      </c>
      <c r="H241" s="40">
        <v>127</v>
      </c>
      <c r="I241">
        <f t="shared" si="21"/>
        <v>411</v>
      </c>
      <c r="J241" s="7" t="s">
        <v>400</v>
      </c>
      <c r="K241" s="7"/>
      <c r="L241">
        <f t="shared" si="23"/>
        <v>127</v>
      </c>
      <c r="M241">
        <f t="shared" si="24"/>
        <v>144</v>
      </c>
      <c r="N241" s="7" t="s">
        <v>400</v>
      </c>
      <c r="O241" s="40">
        <v>1</v>
      </c>
      <c r="Y241">
        <f t="shared" si="22"/>
        <v>712</v>
      </c>
    </row>
    <row r="242" spans="1:25" x14ac:dyDescent="0.25">
      <c r="A242" s="7" t="s">
        <v>411</v>
      </c>
      <c r="B242" s="40">
        <v>0</v>
      </c>
      <c r="C242">
        <f t="shared" si="20"/>
        <v>683</v>
      </c>
      <c r="D242" s="7" t="s">
        <v>405</v>
      </c>
      <c r="E242">
        <f t="shared" si="19"/>
        <v>0</v>
      </c>
      <c r="G242" s="7" t="s">
        <v>401</v>
      </c>
      <c r="H242" s="40">
        <v>75</v>
      </c>
      <c r="I242">
        <f t="shared" si="21"/>
        <v>497</v>
      </c>
      <c r="J242" s="7" t="s">
        <v>401</v>
      </c>
      <c r="K242" s="7"/>
      <c r="L242">
        <f t="shared" si="23"/>
        <v>75</v>
      </c>
      <c r="M242">
        <f t="shared" si="24"/>
        <v>144</v>
      </c>
      <c r="N242" s="7" t="s">
        <v>401</v>
      </c>
      <c r="O242" s="40">
        <v>1</v>
      </c>
      <c r="Y242">
        <f t="shared" si="22"/>
        <v>712</v>
      </c>
    </row>
    <row r="243" spans="1:25" x14ac:dyDescent="0.25">
      <c r="A243" s="7" t="s">
        <v>412</v>
      </c>
      <c r="B243" s="40">
        <v>120</v>
      </c>
      <c r="C243">
        <f t="shared" si="20"/>
        <v>503</v>
      </c>
      <c r="D243" s="7" t="s">
        <v>407</v>
      </c>
      <c r="E243">
        <f t="shared" si="19"/>
        <v>33</v>
      </c>
      <c r="G243" s="7" t="s">
        <v>402</v>
      </c>
      <c r="H243" s="40">
        <v>0</v>
      </c>
      <c r="I243">
        <f t="shared" si="21"/>
        <v>754</v>
      </c>
      <c r="J243" s="7" t="s">
        <v>402</v>
      </c>
      <c r="K243" s="7"/>
      <c r="L243">
        <f t="shared" si="23"/>
        <v>0</v>
      </c>
      <c r="M243">
        <f t="shared" si="24"/>
        <v>28</v>
      </c>
      <c r="N243" s="7" t="s">
        <v>402</v>
      </c>
      <c r="O243" s="40">
        <v>2</v>
      </c>
      <c r="Y243">
        <f t="shared" si="22"/>
        <v>712</v>
      </c>
    </row>
    <row r="244" spans="1:25" x14ac:dyDescent="0.25">
      <c r="A244" s="7" t="s">
        <v>413</v>
      </c>
      <c r="B244" s="40">
        <v>31</v>
      </c>
      <c r="C244">
        <f t="shared" si="20"/>
        <v>396</v>
      </c>
      <c r="D244" s="7" t="s">
        <v>408</v>
      </c>
      <c r="E244">
        <f t="shared" si="19"/>
        <v>58</v>
      </c>
      <c r="G244" s="7" t="s">
        <v>403</v>
      </c>
      <c r="H244" s="40">
        <v>218</v>
      </c>
      <c r="I244">
        <f t="shared" si="21"/>
        <v>318</v>
      </c>
      <c r="J244" s="7" t="s">
        <v>403</v>
      </c>
      <c r="K244" s="7"/>
      <c r="L244">
        <f t="shared" si="23"/>
        <v>218</v>
      </c>
      <c r="M244">
        <f t="shared" si="24"/>
        <v>144</v>
      </c>
      <c r="N244" s="7" t="s">
        <v>403</v>
      </c>
      <c r="O244" s="40">
        <v>1</v>
      </c>
      <c r="Y244">
        <f t="shared" si="22"/>
        <v>712</v>
      </c>
    </row>
    <row r="245" spans="1:25" x14ac:dyDescent="0.25">
      <c r="A245" s="7" t="s">
        <v>414</v>
      </c>
      <c r="B245" s="40">
        <v>450</v>
      </c>
      <c r="C245">
        <f t="shared" si="20"/>
        <v>26</v>
      </c>
      <c r="D245" s="7" t="s">
        <v>409</v>
      </c>
      <c r="E245">
        <f t="shared" si="19"/>
        <v>1100</v>
      </c>
      <c r="G245" s="7" t="s">
        <v>404</v>
      </c>
      <c r="H245" s="40">
        <v>330</v>
      </c>
      <c r="I245">
        <f t="shared" si="21"/>
        <v>240</v>
      </c>
      <c r="J245" s="7" t="s">
        <v>404</v>
      </c>
      <c r="K245" s="7"/>
      <c r="L245">
        <f t="shared" si="23"/>
        <v>330</v>
      </c>
      <c r="M245">
        <f t="shared" si="24"/>
        <v>28</v>
      </c>
      <c r="N245" s="7" t="s">
        <v>404</v>
      </c>
      <c r="O245" s="40">
        <v>2</v>
      </c>
      <c r="Y245">
        <f t="shared" si="22"/>
        <v>712</v>
      </c>
    </row>
    <row r="246" spans="1:25" x14ac:dyDescent="0.25">
      <c r="A246" s="7" t="s">
        <v>415</v>
      </c>
      <c r="B246" s="40">
        <v>200</v>
      </c>
      <c r="C246">
        <f t="shared" si="20"/>
        <v>488</v>
      </c>
      <c r="D246" s="7" t="s">
        <v>410</v>
      </c>
      <c r="E246">
        <f t="shared" si="19"/>
        <v>37</v>
      </c>
      <c r="G246" s="7" t="s">
        <v>405</v>
      </c>
      <c r="H246" s="40">
        <v>16</v>
      </c>
      <c r="I246">
        <f t="shared" si="21"/>
        <v>671</v>
      </c>
      <c r="J246" s="7" t="s">
        <v>405</v>
      </c>
      <c r="K246" s="7"/>
      <c r="L246">
        <f t="shared" si="23"/>
        <v>16</v>
      </c>
      <c r="M246">
        <f t="shared" si="24"/>
        <v>144</v>
      </c>
      <c r="N246" s="7" t="s">
        <v>405</v>
      </c>
      <c r="O246" s="40">
        <v>1</v>
      </c>
      <c r="Y246">
        <f t="shared" si="22"/>
        <v>712</v>
      </c>
    </row>
    <row r="247" spans="1:25" x14ac:dyDescent="0.25">
      <c r="A247" s="7" t="s">
        <v>416</v>
      </c>
      <c r="B247" s="40">
        <v>51</v>
      </c>
      <c r="C247">
        <f t="shared" si="20"/>
        <v>683</v>
      </c>
      <c r="D247" s="7" t="s">
        <v>411</v>
      </c>
      <c r="E247">
        <f t="shared" si="19"/>
        <v>0</v>
      </c>
      <c r="G247" s="7" t="s">
        <v>407</v>
      </c>
      <c r="H247" s="40">
        <v>100</v>
      </c>
      <c r="I247">
        <f t="shared" si="21"/>
        <v>451</v>
      </c>
      <c r="J247" s="7" t="s">
        <v>407</v>
      </c>
      <c r="K247" s="7"/>
      <c r="L247">
        <f t="shared" si="23"/>
        <v>100</v>
      </c>
      <c r="M247">
        <f t="shared" si="24"/>
        <v>144</v>
      </c>
      <c r="N247" s="7" t="s">
        <v>407</v>
      </c>
      <c r="O247" s="40">
        <v>1</v>
      </c>
      <c r="Y247">
        <f t="shared" si="22"/>
        <v>712</v>
      </c>
    </row>
    <row r="248" spans="1:25" x14ac:dyDescent="0.25">
      <c r="A248" s="7" t="s">
        <v>417</v>
      </c>
      <c r="B248" s="40">
        <v>81</v>
      </c>
      <c r="C248">
        <f t="shared" si="20"/>
        <v>238</v>
      </c>
      <c r="D248" s="7" t="s">
        <v>412</v>
      </c>
      <c r="E248">
        <f t="shared" si="19"/>
        <v>120</v>
      </c>
      <c r="G248" s="7" t="s">
        <v>408</v>
      </c>
      <c r="H248" s="40">
        <v>300</v>
      </c>
      <c r="I248">
        <f t="shared" si="21"/>
        <v>255</v>
      </c>
      <c r="J248" s="7" t="s">
        <v>408</v>
      </c>
      <c r="K248" s="7"/>
      <c r="L248">
        <f t="shared" si="23"/>
        <v>300</v>
      </c>
      <c r="M248">
        <f t="shared" si="24"/>
        <v>144</v>
      </c>
      <c r="N248" s="7" t="s">
        <v>408</v>
      </c>
      <c r="O248" s="40">
        <v>1</v>
      </c>
      <c r="Y248">
        <f t="shared" si="22"/>
        <v>712</v>
      </c>
    </row>
    <row r="249" spans="1:25" x14ac:dyDescent="0.25">
      <c r="A249" s="7" t="s">
        <v>418</v>
      </c>
      <c r="B249" s="40">
        <v>536</v>
      </c>
      <c r="C249">
        <f t="shared" si="20"/>
        <v>508</v>
      </c>
      <c r="D249" s="7" t="s">
        <v>413</v>
      </c>
      <c r="E249">
        <f t="shared" si="19"/>
        <v>31</v>
      </c>
      <c r="G249" s="7" t="s">
        <v>409</v>
      </c>
      <c r="H249" s="40">
        <v>0</v>
      </c>
      <c r="I249">
        <f t="shared" si="21"/>
        <v>754</v>
      </c>
      <c r="J249" s="7" t="s">
        <v>409</v>
      </c>
      <c r="K249" s="7"/>
      <c r="L249">
        <f t="shared" si="23"/>
        <v>0</v>
      </c>
      <c r="M249">
        <f t="shared" si="24"/>
        <v>144</v>
      </c>
      <c r="N249" s="7" t="s">
        <v>409</v>
      </c>
      <c r="O249" s="40">
        <v>1</v>
      </c>
      <c r="Y249">
        <f t="shared" si="22"/>
        <v>712</v>
      </c>
    </row>
    <row r="250" spans="1:25" x14ac:dyDescent="0.25">
      <c r="A250" s="7" t="s">
        <v>419</v>
      </c>
      <c r="B250" s="40">
        <v>82</v>
      </c>
      <c r="C250">
        <f t="shared" si="20"/>
        <v>78</v>
      </c>
      <c r="D250" s="7" t="s">
        <v>414</v>
      </c>
      <c r="E250">
        <f t="shared" si="19"/>
        <v>450</v>
      </c>
      <c r="G250" s="7" t="s">
        <v>410</v>
      </c>
      <c r="H250" s="40">
        <v>562</v>
      </c>
      <c r="I250">
        <f t="shared" si="21"/>
        <v>160</v>
      </c>
      <c r="J250" s="7" t="s">
        <v>410</v>
      </c>
      <c r="K250" s="7"/>
      <c r="L250">
        <f t="shared" si="23"/>
        <v>562</v>
      </c>
      <c r="M250">
        <f t="shared" si="24"/>
        <v>28</v>
      </c>
      <c r="N250" s="7" t="s">
        <v>410</v>
      </c>
      <c r="O250" s="40">
        <v>2</v>
      </c>
      <c r="Y250">
        <f t="shared" si="22"/>
        <v>712</v>
      </c>
    </row>
    <row r="251" spans="1:25" x14ac:dyDescent="0.25">
      <c r="A251" s="7" t="s">
        <v>420</v>
      </c>
      <c r="B251" s="40">
        <v>130</v>
      </c>
      <c r="C251">
        <f t="shared" si="20"/>
        <v>147</v>
      </c>
      <c r="D251" s="7" t="s">
        <v>415</v>
      </c>
      <c r="E251">
        <f t="shared" si="19"/>
        <v>200</v>
      </c>
      <c r="G251" s="7" t="s">
        <v>411</v>
      </c>
      <c r="H251" s="40">
        <v>570</v>
      </c>
      <c r="I251">
        <f t="shared" si="21"/>
        <v>157</v>
      </c>
      <c r="J251" s="7" t="s">
        <v>411</v>
      </c>
      <c r="K251" s="7"/>
      <c r="L251">
        <f t="shared" si="23"/>
        <v>570</v>
      </c>
      <c r="M251">
        <f t="shared" si="24"/>
        <v>144</v>
      </c>
      <c r="N251" s="7" t="s">
        <v>411</v>
      </c>
      <c r="O251" s="40">
        <v>1</v>
      </c>
      <c r="Y251">
        <f t="shared" si="22"/>
        <v>712</v>
      </c>
    </row>
    <row r="252" spans="1:25" x14ac:dyDescent="0.25">
      <c r="A252" s="7" t="s">
        <v>421</v>
      </c>
      <c r="B252" s="40">
        <v>110</v>
      </c>
      <c r="C252">
        <f t="shared" si="20"/>
        <v>408</v>
      </c>
      <c r="D252" s="7" t="s">
        <v>416</v>
      </c>
      <c r="E252">
        <f t="shared" si="19"/>
        <v>51</v>
      </c>
      <c r="G252" s="7" t="s">
        <v>412</v>
      </c>
      <c r="H252" s="40">
        <v>126</v>
      </c>
      <c r="I252">
        <f t="shared" si="21"/>
        <v>413</v>
      </c>
      <c r="J252" s="7" t="s">
        <v>412</v>
      </c>
      <c r="K252" s="7"/>
      <c r="L252">
        <f t="shared" si="23"/>
        <v>126</v>
      </c>
      <c r="M252">
        <f t="shared" si="24"/>
        <v>144</v>
      </c>
      <c r="N252" s="7" t="s">
        <v>412</v>
      </c>
      <c r="O252" s="40">
        <v>1</v>
      </c>
      <c r="Y252">
        <f t="shared" si="22"/>
        <v>712</v>
      </c>
    </row>
    <row r="253" spans="1:25" x14ac:dyDescent="0.25">
      <c r="A253" s="7" t="s">
        <v>422</v>
      </c>
      <c r="B253" s="40">
        <v>600</v>
      </c>
      <c r="C253">
        <f t="shared" si="20"/>
        <v>321</v>
      </c>
      <c r="D253" s="7" t="s">
        <v>417</v>
      </c>
      <c r="E253">
        <f t="shared" si="19"/>
        <v>81</v>
      </c>
      <c r="G253" s="7" t="s">
        <v>413</v>
      </c>
      <c r="H253" s="40">
        <v>164</v>
      </c>
      <c r="I253">
        <f t="shared" si="21"/>
        <v>371</v>
      </c>
      <c r="J253" s="7" t="s">
        <v>413</v>
      </c>
      <c r="K253" s="7"/>
      <c r="L253">
        <f t="shared" si="23"/>
        <v>164</v>
      </c>
      <c r="M253">
        <f t="shared" si="24"/>
        <v>144</v>
      </c>
      <c r="N253" s="7" t="s">
        <v>413</v>
      </c>
      <c r="O253" s="40">
        <v>1</v>
      </c>
      <c r="Y253">
        <f t="shared" si="22"/>
        <v>712</v>
      </c>
    </row>
    <row r="254" spans="1:25" x14ac:dyDescent="0.25">
      <c r="A254" s="7" t="s">
        <v>424</v>
      </c>
      <c r="B254" s="40">
        <v>0</v>
      </c>
      <c r="C254">
        <f t="shared" si="20"/>
        <v>64</v>
      </c>
      <c r="D254" s="7" t="s">
        <v>418</v>
      </c>
      <c r="E254">
        <f t="shared" si="19"/>
        <v>536</v>
      </c>
      <c r="G254" s="7" t="s">
        <v>414</v>
      </c>
      <c r="H254" s="40">
        <v>1044</v>
      </c>
      <c r="I254">
        <f t="shared" si="21"/>
        <v>97</v>
      </c>
      <c r="J254" s="7" t="s">
        <v>414</v>
      </c>
      <c r="K254" s="7"/>
      <c r="L254">
        <f t="shared" si="23"/>
        <v>1044</v>
      </c>
      <c r="M254">
        <f t="shared" si="24"/>
        <v>28</v>
      </c>
      <c r="N254" s="7" t="s">
        <v>414</v>
      </c>
      <c r="O254" s="40">
        <v>2</v>
      </c>
      <c r="Y254">
        <f t="shared" si="22"/>
        <v>712</v>
      </c>
    </row>
    <row r="255" spans="1:25" x14ac:dyDescent="0.25">
      <c r="A255" s="7" t="s">
        <v>427</v>
      </c>
      <c r="B255" s="40">
        <v>161</v>
      </c>
      <c r="C255">
        <f t="shared" si="20"/>
        <v>320</v>
      </c>
      <c r="D255" s="7" t="s">
        <v>419</v>
      </c>
      <c r="E255">
        <f t="shared" si="19"/>
        <v>82</v>
      </c>
      <c r="G255" s="7" t="s">
        <v>415</v>
      </c>
      <c r="H255" s="40">
        <v>247</v>
      </c>
      <c r="I255">
        <f t="shared" si="21"/>
        <v>289</v>
      </c>
      <c r="J255" s="7" t="s">
        <v>415</v>
      </c>
      <c r="K255" s="7"/>
      <c r="L255">
        <f t="shared" si="23"/>
        <v>247</v>
      </c>
      <c r="M255">
        <f t="shared" si="24"/>
        <v>144</v>
      </c>
      <c r="N255" s="7" t="s">
        <v>415</v>
      </c>
      <c r="O255" s="40">
        <v>1</v>
      </c>
      <c r="Y255">
        <f t="shared" si="22"/>
        <v>712</v>
      </c>
    </row>
    <row r="256" spans="1:25" x14ac:dyDescent="0.25">
      <c r="A256" s="7" t="s">
        <v>428</v>
      </c>
      <c r="B256" s="40">
        <v>4000</v>
      </c>
      <c r="C256">
        <f t="shared" si="20"/>
        <v>226</v>
      </c>
      <c r="D256" s="7" t="s">
        <v>420</v>
      </c>
      <c r="E256">
        <f t="shared" si="19"/>
        <v>130</v>
      </c>
      <c r="G256" s="7" t="s">
        <v>416</v>
      </c>
      <c r="H256" s="40">
        <v>212</v>
      </c>
      <c r="I256">
        <f t="shared" si="21"/>
        <v>322</v>
      </c>
      <c r="J256" s="7" t="s">
        <v>416</v>
      </c>
      <c r="K256" s="7"/>
      <c r="L256">
        <f t="shared" si="23"/>
        <v>212</v>
      </c>
      <c r="M256">
        <f t="shared" si="24"/>
        <v>144</v>
      </c>
      <c r="N256" s="7" t="s">
        <v>416</v>
      </c>
      <c r="O256" s="40">
        <v>1</v>
      </c>
      <c r="Y256">
        <f t="shared" si="22"/>
        <v>712</v>
      </c>
    </row>
    <row r="257" spans="1:25" x14ac:dyDescent="0.25">
      <c r="A257" s="7" t="s">
        <v>429</v>
      </c>
      <c r="B257" s="40">
        <v>70</v>
      </c>
      <c r="C257">
        <f t="shared" si="20"/>
        <v>248</v>
      </c>
      <c r="D257" s="7" t="s">
        <v>421</v>
      </c>
      <c r="E257">
        <f t="shared" si="19"/>
        <v>110</v>
      </c>
      <c r="G257" s="7" t="s">
        <v>417</v>
      </c>
      <c r="H257" s="40">
        <v>156</v>
      </c>
      <c r="I257">
        <f t="shared" si="21"/>
        <v>381</v>
      </c>
      <c r="J257" s="7" t="s">
        <v>417</v>
      </c>
      <c r="K257" s="7"/>
      <c r="L257">
        <f t="shared" si="23"/>
        <v>156</v>
      </c>
      <c r="M257">
        <f t="shared" si="24"/>
        <v>144</v>
      </c>
      <c r="N257" s="7" t="s">
        <v>417</v>
      </c>
      <c r="O257" s="40">
        <v>1</v>
      </c>
      <c r="Y257">
        <f t="shared" si="22"/>
        <v>712</v>
      </c>
    </row>
    <row r="258" spans="1:25" x14ac:dyDescent="0.25">
      <c r="A258" s="7" t="s">
        <v>430</v>
      </c>
      <c r="B258" s="40">
        <v>0</v>
      </c>
      <c r="C258">
        <f t="shared" si="20"/>
        <v>55</v>
      </c>
      <c r="D258" s="7" t="s">
        <v>422</v>
      </c>
      <c r="E258">
        <f t="shared" si="19"/>
        <v>600</v>
      </c>
      <c r="G258" s="7" t="s">
        <v>418</v>
      </c>
      <c r="H258" s="40">
        <v>771</v>
      </c>
      <c r="I258">
        <f t="shared" si="21"/>
        <v>123</v>
      </c>
      <c r="J258" s="7" t="s">
        <v>418</v>
      </c>
      <c r="K258" s="7"/>
      <c r="L258">
        <f t="shared" si="23"/>
        <v>771</v>
      </c>
      <c r="M258">
        <f t="shared" si="24"/>
        <v>144</v>
      </c>
      <c r="N258" s="7" t="s">
        <v>418</v>
      </c>
      <c r="O258" s="40">
        <v>1</v>
      </c>
      <c r="Y258">
        <f t="shared" si="22"/>
        <v>712</v>
      </c>
    </row>
    <row r="259" spans="1:25" x14ac:dyDescent="0.25">
      <c r="A259" s="7" t="s">
        <v>433</v>
      </c>
      <c r="B259" s="40">
        <v>100</v>
      </c>
      <c r="C259">
        <f t="shared" si="20"/>
        <v>683</v>
      </c>
      <c r="D259" s="7" t="s">
        <v>424</v>
      </c>
      <c r="E259">
        <f t="shared" si="19"/>
        <v>0</v>
      </c>
      <c r="G259" s="7" t="s">
        <v>419</v>
      </c>
      <c r="H259" s="40">
        <v>102</v>
      </c>
      <c r="I259">
        <f t="shared" si="21"/>
        <v>444</v>
      </c>
      <c r="J259" s="7" t="s">
        <v>419</v>
      </c>
      <c r="K259" s="7"/>
      <c r="L259">
        <f t="shared" si="23"/>
        <v>102</v>
      </c>
      <c r="M259">
        <f t="shared" si="24"/>
        <v>28</v>
      </c>
      <c r="N259" s="7" t="s">
        <v>419</v>
      </c>
      <c r="O259" s="40">
        <v>2</v>
      </c>
      <c r="Y259">
        <f t="shared" si="22"/>
        <v>712</v>
      </c>
    </row>
    <row r="260" spans="1:25" x14ac:dyDescent="0.25">
      <c r="A260" s="7" t="s">
        <v>434</v>
      </c>
      <c r="B260" s="40">
        <v>78</v>
      </c>
      <c r="C260">
        <f t="shared" si="20"/>
        <v>183</v>
      </c>
      <c r="D260" s="7" t="s">
        <v>427</v>
      </c>
      <c r="E260">
        <f t="shared" si="19"/>
        <v>161</v>
      </c>
      <c r="G260" s="7" t="s">
        <v>420</v>
      </c>
      <c r="H260" s="40">
        <v>1</v>
      </c>
      <c r="I260">
        <f t="shared" si="21"/>
        <v>747</v>
      </c>
      <c r="J260" s="7" t="s">
        <v>420</v>
      </c>
      <c r="K260" s="7"/>
      <c r="L260">
        <f t="shared" si="23"/>
        <v>1</v>
      </c>
      <c r="M260">
        <f t="shared" si="24"/>
        <v>144</v>
      </c>
      <c r="N260" s="7" t="s">
        <v>420</v>
      </c>
      <c r="O260" s="40">
        <v>1</v>
      </c>
      <c r="Y260">
        <f t="shared" si="22"/>
        <v>712</v>
      </c>
    </row>
    <row r="261" spans="1:25" x14ac:dyDescent="0.25">
      <c r="A261" s="7" t="s">
        <v>435</v>
      </c>
      <c r="B261" s="40">
        <v>0</v>
      </c>
      <c r="C261">
        <f t="shared" si="20"/>
        <v>7</v>
      </c>
      <c r="D261" s="7" t="s">
        <v>428</v>
      </c>
      <c r="E261">
        <f t="shared" si="19"/>
        <v>4000</v>
      </c>
      <c r="G261" s="7" t="s">
        <v>421</v>
      </c>
      <c r="H261" s="40">
        <v>372</v>
      </c>
      <c r="I261">
        <f t="shared" si="21"/>
        <v>217</v>
      </c>
      <c r="J261" s="7" t="s">
        <v>421</v>
      </c>
      <c r="K261" s="7"/>
      <c r="L261">
        <f t="shared" si="23"/>
        <v>372</v>
      </c>
      <c r="M261">
        <f t="shared" si="24"/>
        <v>144</v>
      </c>
      <c r="N261" s="7" t="s">
        <v>421</v>
      </c>
      <c r="O261" s="40">
        <v>1</v>
      </c>
      <c r="Y261">
        <f t="shared" si="22"/>
        <v>712</v>
      </c>
    </row>
    <row r="262" spans="1:25" x14ac:dyDescent="0.25">
      <c r="A262" s="7" t="s">
        <v>436</v>
      </c>
      <c r="B262" s="40">
        <v>30</v>
      </c>
      <c r="C262">
        <f t="shared" si="20"/>
        <v>350</v>
      </c>
      <c r="D262" s="7" t="s">
        <v>429</v>
      </c>
      <c r="E262">
        <f t="shared" si="19"/>
        <v>70</v>
      </c>
      <c r="G262" s="7" t="s">
        <v>422</v>
      </c>
      <c r="H262" s="40">
        <v>1300</v>
      </c>
      <c r="I262">
        <f t="shared" si="21"/>
        <v>76</v>
      </c>
      <c r="J262" s="7" t="s">
        <v>422</v>
      </c>
      <c r="K262" s="7"/>
      <c r="L262">
        <f t="shared" si="23"/>
        <v>1300</v>
      </c>
      <c r="M262">
        <f t="shared" si="24"/>
        <v>144</v>
      </c>
      <c r="N262" s="7" t="s">
        <v>422</v>
      </c>
      <c r="O262" s="40">
        <v>1</v>
      </c>
      <c r="Y262">
        <f t="shared" si="22"/>
        <v>712</v>
      </c>
    </row>
    <row r="263" spans="1:25" x14ac:dyDescent="0.25">
      <c r="A263" s="7" t="s">
        <v>437</v>
      </c>
      <c r="B263" s="40">
        <v>100</v>
      </c>
      <c r="C263">
        <f t="shared" si="20"/>
        <v>683</v>
      </c>
      <c r="D263" s="7" t="s">
        <v>430</v>
      </c>
      <c r="E263">
        <f t="shared" si="19"/>
        <v>0</v>
      </c>
      <c r="G263" s="7" t="s">
        <v>424</v>
      </c>
      <c r="H263" s="40">
        <v>607</v>
      </c>
      <c r="I263">
        <f t="shared" si="21"/>
        <v>150</v>
      </c>
      <c r="J263" s="7" t="s">
        <v>424</v>
      </c>
      <c r="K263" s="7"/>
      <c r="L263">
        <f t="shared" si="23"/>
        <v>607</v>
      </c>
      <c r="M263">
        <f t="shared" si="24"/>
        <v>144</v>
      </c>
      <c r="N263" s="7" t="s">
        <v>424</v>
      </c>
      <c r="O263" s="40">
        <v>1</v>
      </c>
      <c r="Y263">
        <f t="shared" si="22"/>
        <v>712</v>
      </c>
    </row>
    <row r="264" spans="1:25" x14ac:dyDescent="0.25">
      <c r="A264" s="7" t="s">
        <v>438</v>
      </c>
      <c r="B264" s="40">
        <v>750</v>
      </c>
      <c r="C264">
        <f t="shared" si="20"/>
        <v>254</v>
      </c>
      <c r="D264" s="7" t="s">
        <v>433</v>
      </c>
      <c r="E264">
        <f t="shared" si="19"/>
        <v>100</v>
      </c>
      <c r="G264" s="7" t="s">
        <v>427</v>
      </c>
      <c r="H264" s="40">
        <v>1547</v>
      </c>
      <c r="I264">
        <f t="shared" si="21"/>
        <v>67</v>
      </c>
      <c r="J264" s="7" t="s">
        <v>427</v>
      </c>
      <c r="K264" s="7"/>
      <c r="L264">
        <f t="shared" si="23"/>
        <v>1547</v>
      </c>
      <c r="M264">
        <f t="shared" si="24"/>
        <v>28</v>
      </c>
      <c r="N264" s="7" t="s">
        <v>427</v>
      </c>
      <c r="O264" s="40">
        <v>2</v>
      </c>
      <c r="Y264">
        <f t="shared" si="22"/>
        <v>712</v>
      </c>
    </row>
    <row r="265" spans="1:25" x14ac:dyDescent="0.25">
      <c r="A265" s="7" t="s">
        <v>439</v>
      </c>
      <c r="B265" s="40">
        <v>0</v>
      </c>
      <c r="C265">
        <f t="shared" si="20"/>
        <v>335</v>
      </c>
      <c r="D265" s="7" t="s">
        <v>434</v>
      </c>
      <c r="E265">
        <f t="shared" ref="E265:E328" si="25">VLOOKUP(D:D,A260:B1084,2,0)</f>
        <v>78</v>
      </c>
      <c r="G265" s="7" t="s">
        <v>428</v>
      </c>
      <c r="H265" s="40">
        <v>3200</v>
      </c>
      <c r="I265">
        <f t="shared" si="21"/>
        <v>31</v>
      </c>
      <c r="J265" s="7" t="s">
        <v>428</v>
      </c>
      <c r="K265" s="7"/>
      <c r="L265">
        <f t="shared" si="23"/>
        <v>3200</v>
      </c>
      <c r="M265">
        <f t="shared" si="24"/>
        <v>28</v>
      </c>
      <c r="N265" s="7" t="s">
        <v>428</v>
      </c>
      <c r="O265" s="40">
        <v>2</v>
      </c>
      <c r="Y265">
        <f t="shared" si="22"/>
        <v>712</v>
      </c>
    </row>
    <row r="266" spans="1:25" x14ac:dyDescent="0.25">
      <c r="A266" s="7" t="s">
        <v>440</v>
      </c>
      <c r="B266" s="40">
        <v>150</v>
      </c>
      <c r="C266">
        <f t="shared" ref="C266:C329" si="26">RANK(E:E,E:E)</f>
        <v>683</v>
      </c>
      <c r="D266" s="7" t="s">
        <v>435</v>
      </c>
      <c r="E266">
        <f t="shared" si="25"/>
        <v>0</v>
      </c>
      <c r="G266" s="7" t="s">
        <v>429</v>
      </c>
      <c r="H266" s="40">
        <v>157</v>
      </c>
      <c r="I266">
        <f t="shared" si="21"/>
        <v>378</v>
      </c>
      <c r="J266" s="7" t="s">
        <v>429</v>
      </c>
      <c r="K266" s="7"/>
      <c r="L266">
        <f t="shared" si="23"/>
        <v>157</v>
      </c>
      <c r="M266">
        <f t="shared" si="24"/>
        <v>144</v>
      </c>
      <c r="N266" s="7" t="s">
        <v>429</v>
      </c>
      <c r="O266" s="40">
        <v>1</v>
      </c>
      <c r="Y266">
        <f t="shared" si="22"/>
        <v>712</v>
      </c>
    </row>
    <row r="267" spans="1:25" x14ac:dyDescent="0.25">
      <c r="A267" s="7" t="s">
        <v>441</v>
      </c>
      <c r="B267" s="40">
        <v>685</v>
      </c>
      <c r="C267">
        <f t="shared" si="26"/>
        <v>512</v>
      </c>
      <c r="D267" s="7" t="s">
        <v>436</v>
      </c>
      <c r="E267">
        <f t="shared" si="25"/>
        <v>30</v>
      </c>
      <c r="G267" s="7" t="s">
        <v>430</v>
      </c>
      <c r="H267" s="40">
        <v>708</v>
      </c>
      <c r="I267">
        <f t="shared" si="21"/>
        <v>136</v>
      </c>
      <c r="J267" s="7" t="s">
        <v>430</v>
      </c>
      <c r="K267" s="7"/>
      <c r="L267">
        <f t="shared" si="23"/>
        <v>708</v>
      </c>
      <c r="M267">
        <f t="shared" si="24"/>
        <v>144</v>
      </c>
      <c r="N267" s="7" t="s">
        <v>430</v>
      </c>
      <c r="O267" s="40">
        <v>1</v>
      </c>
      <c r="Y267">
        <f t="shared" si="22"/>
        <v>712</v>
      </c>
    </row>
    <row r="268" spans="1:25" x14ac:dyDescent="0.25">
      <c r="A268" s="7" t="s">
        <v>442</v>
      </c>
      <c r="B268" s="40">
        <v>44</v>
      </c>
      <c r="C268">
        <f t="shared" si="26"/>
        <v>254</v>
      </c>
      <c r="D268" s="7" t="s">
        <v>437</v>
      </c>
      <c r="E268">
        <f t="shared" si="25"/>
        <v>100</v>
      </c>
      <c r="G268" s="7" t="s">
        <v>433</v>
      </c>
      <c r="H268" s="40">
        <v>41</v>
      </c>
      <c r="I268">
        <f t="shared" si="21"/>
        <v>580</v>
      </c>
      <c r="J268" s="7" t="s">
        <v>433</v>
      </c>
      <c r="K268" s="7"/>
      <c r="L268">
        <f t="shared" si="23"/>
        <v>41</v>
      </c>
      <c r="M268">
        <f t="shared" si="24"/>
        <v>144</v>
      </c>
      <c r="N268" s="7" t="s">
        <v>433</v>
      </c>
      <c r="O268" s="40">
        <v>1</v>
      </c>
      <c r="Y268">
        <f t="shared" si="22"/>
        <v>712</v>
      </c>
    </row>
    <row r="269" spans="1:25" x14ac:dyDescent="0.25">
      <c r="A269" s="7" t="s">
        <v>443</v>
      </c>
      <c r="B269" s="40">
        <v>0</v>
      </c>
      <c r="C269">
        <f t="shared" si="26"/>
        <v>44</v>
      </c>
      <c r="D269" s="7" t="s">
        <v>438</v>
      </c>
      <c r="E269">
        <f t="shared" si="25"/>
        <v>750</v>
      </c>
      <c r="G269" s="7" t="s">
        <v>434</v>
      </c>
      <c r="H269" s="40">
        <v>339</v>
      </c>
      <c r="I269">
        <f t="shared" ref="I269:I332" si="27">RANK(L:L,L:L)</f>
        <v>235</v>
      </c>
      <c r="J269" s="7" t="s">
        <v>434</v>
      </c>
      <c r="K269" s="7"/>
      <c r="L269">
        <f t="shared" si="23"/>
        <v>339</v>
      </c>
      <c r="M269">
        <f t="shared" si="24"/>
        <v>144</v>
      </c>
      <c r="N269" s="7" t="s">
        <v>434</v>
      </c>
      <c r="O269" s="40">
        <v>1</v>
      </c>
      <c r="Y269">
        <f t="shared" ref="Y269:Y332" si="28">RANK(AA:AA,AA:AA)</f>
        <v>712</v>
      </c>
    </row>
    <row r="270" spans="1:25" x14ac:dyDescent="0.25">
      <c r="A270" s="7" t="s">
        <v>444</v>
      </c>
      <c r="B270" s="40">
        <v>0</v>
      </c>
      <c r="C270">
        <f t="shared" si="26"/>
        <v>683</v>
      </c>
      <c r="D270" s="7" t="s">
        <v>439</v>
      </c>
      <c r="E270">
        <f t="shared" si="25"/>
        <v>0</v>
      </c>
      <c r="G270" s="7" t="s">
        <v>435</v>
      </c>
      <c r="H270" s="40">
        <v>184</v>
      </c>
      <c r="I270">
        <f t="shared" si="27"/>
        <v>350</v>
      </c>
      <c r="J270" s="7" t="s">
        <v>435</v>
      </c>
      <c r="K270" s="7"/>
      <c r="L270">
        <f t="shared" ref="L270:L333" si="29">VLOOKUP(G270,G269:H1092,2,0)</f>
        <v>184</v>
      </c>
      <c r="M270">
        <f t="shared" ref="M270:M333" si="30">RANK(O:O,O:O)</f>
        <v>144</v>
      </c>
      <c r="N270" s="7" t="s">
        <v>435</v>
      </c>
      <c r="O270" s="40">
        <v>1</v>
      </c>
      <c r="Y270">
        <f t="shared" si="28"/>
        <v>712</v>
      </c>
    </row>
    <row r="271" spans="1:25" x14ac:dyDescent="0.25">
      <c r="A271" s="7" t="s">
        <v>445</v>
      </c>
      <c r="B271" s="40">
        <v>142</v>
      </c>
      <c r="C271">
        <f t="shared" si="26"/>
        <v>193</v>
      </c>
      <c r="D271" s="7" t="s">
        <v>440</v>
      </c>
      <c r="E271">
        <f t="shared" si="25"/>
        <v>150</v>
      </c>
      <c r="G271" s="7" t="s">
        <v>436</v>
      </c>
      <c r="H271" s="40">
        <v>110</v>
      </c>
      <c r="I271">
        <f t="shared" si="27"/>
        <v>434</v>
      </c>
      <c r="J271" s="7" t="s">
        <v>436</v>
      </c>
      <c r="K271" s="7"/>
      <c r="L271">
        <f t="shared" si="29"/>
        <v>110</v>
      </c>
      <c r="M271">
        <f t="shared" si="30"/>
        <v>144</v>
      </c>
      <c r="N271" s="7" t="s">
        <v>436</v>
      </c>
      <c r="O271" s="40">
        <v>1</v>
      </c>
      <c r="Y271">
        <f t="shared" si="28"/>
        <v>712</v>
      </c>
    </row>
    <row r="272" spans="1:25" x14ac:dyDescent="0.25">
      <c r="A272" s="7" t="s">
        <v>446</v>
      </c>
      <c r="B272" s="40">
        <v>100</v>
      </c>
      <c r="C272">
        <f t="shared" si="26"/>
        <v>48</v>
      </c>
      <c r="D272" s="7" t="s">
        <v>441</v>
      </c>
      <c r="E272">
        <f t="shared" si="25"/>
        <v>685</v>
      </c>
      <c r="G272" s="7" t="s">
        <v>437</v>
      </c>
      <c r="H272" s="40">
        <v>80</v>
      </c>
      <c r="I272">
        <f t="shared" si="27"/>
        <v>486</v>
      </c>
      <c r="J272" s="7" t="s">
        <v>437</v>
      </c>
      <c r="K272" s="7"/>
      <c r="L272">
        <f t="shared" si="29"/>
        <v>80</v>
      </c>
      <c r="M272">
        <f t="shared" si="30"/>
        <v>144</v>
      </c>
      <c r="N272" s="7" t="s">
        <v>437</v>
      </c>
      <c r="O272" s="40">
        <v>1</v>
      </c>
      <c r="Y272">
        <f t="shared" si="28"/>
        <v>712</v>
      </c>
    </row>
    <row r="273" spans="1:25" x14ac:dyDescent="0.25">
      <c r="A273" s="7" t="s">
        <v>447</v>
      </c>
      <c r="B273" s="40">
        <v>100</v>
      </c>
      <c r="C273">
        <f t="shared" si="26"/>
        <v>446</v>
      </c>
      <c r="D273" s="7" t="s">
        <v>442</v>
      </c>
      <c r="E273">
        <f t="shared" si="25"/>
        <v>44</v>
      </c>
      <c r="G273" s="7" t="s">
        <v>438</v>
      </c>
      <c r="H273" s="40">
        <v>2000</v>
      </c>
      <c r="I273">
        <f t="shared" si="27"/>
        <v>51</v>
      </c>
      <c r="J273" s="7" t="s">
        <v>438</v>
      </c>
      <c r="K273" s="7"/>
      <c r="L273">
        <f t="shared" si="29"/>
        <v>2000</v>
      </c>
      <c r="M273">
        <f t="shared" si="30"/>
        <v>144</v>
      </c>
      <c r="N273" s="7" t="s">
        <v>438</v>
      </c>
      <c r="O273" s="40">
        <v>1</v>
      </c>
      <c r="Y273">
        <f t="shared" si="28"/>
        <v>712</v>
      </c>
    </row>
    <row r="274" spans="1:25" x14ac:dyDescent="0.25">
      <c r="A274" s="7" t="s">
        <v>448</v>
      </c>
      <c r="B274" s="40">
        <v>64</v>
      </c>
      <c r="C274">
        <f t="shared" si="26"/>
        <v>683</v>
      </c>
      <c r="D274" s="7" t="s">
        <v>443</v>
      </c>
      <c r="E274">
        <f t="shared" si="25"/>
        <v>0</v>
      </c>
      <c r="G274" s="7" t="s">
        <v>439</v>
      </c>
      <c r="H274" s="40">
        <v>351</v>
      </c>
      <c r="I274">
        <f t="shared" si="27"/>
        <v>229</v>
      </c>
      <c r="J274" s="7" t="s">
        <v>439</v>
      </c>
      <c r="K274" s="7"/>
      <c r="L274">
        <f t="shared" si="29"/>
        <v>351</v>
      </c>
      <c r="M274">
        <f t="shared" si="30"/>
        <v>144</v>
      </c>
      <c r="N274" s="7" t="s">
        <v>439</v>
      </c>
      <c r="O274" s="40">
        <v>1</v>
      </c>
      <c r="Y274">
        <f t="shared" si="28"/>
        <v>712</v>
      </c>
    </row>
    <row r="275" spans="1:25" x14ac:dyDescent="0.25">
      <c r="A275" s="7" t="s">
        <v>449</v>
      </c>
      <c r="B275" s="40">
        <v>29</v>
      </c>
      <c r="C275">
        <f t="shared" si="26"/>
        <v>683</v>
      </c>
      <c r="D275" s="7" t="s">
        <v>444</v>
      </c>
      <c r="E275">
        <f t="shared" si="25"/>
        <v>0</v>
      </c>
      <c r="G275" s="7" t="s">
        <v>440</v>
      </c>
      <c r="H275" s="40">
        <v>864</v>
      </c>
      <c r="I275">
        <f t="shared" si="27"/>
        <v>113</v>
      </c>
      <c r="J275" s="7" t="s">
        <v>440</v>
      </c>
      <c r="K275" s="7"/>
      <c r="L275">
        <f t="shared" si="29"/>
        <v>864</v>
      </c>
      <c r="M275">
        <f t="shared" si="30"/>
        <v>144</v>
      </c>
      <c r="N275" s="7" t="s">
        <v>440</v>
      </c>
      <c r="O275" s="40">
        <v>1</v>
      </c>
      <c r="Y275">
        <f t="shared" si="28"/>
        <v>712</v>
      </c>
    </row>
    <row r="276" spans="1:25" x14ac:dyDescent="0.25">
      <c r="A276" s="7" t="s">
        <v>450</v>
      </c>
      <c r="B276" s="40">
        <v>58</v>
      </c>
      <c r="C276">
        <f t="shared" si="26"/>
        <v>210</v>
      </c>
      <c r="D276" s="7" t="s">
        <v>445</v>
      </c>
      <c r="E276">
        <f t="shared" si="25"/>
        <v>142</v>
      </c>
      <c r="G276" s="7" t="s">
        <v>441</v>
      </c>
      <c r="H276" s="40">
        <v>924</v>
      </c>
      <c r="I276">
        <f t="shared" si="27"/>
        <v>107</v>
      </c>
      <c r="J276" s="7" t="s">
        <v>441</v>
      </c>
      <c r="K276" s="7"/>
      <c r="L276">
        <f t="shared" si="29"/>
        <v>924</v>
      </c>
      <c r="M276">
        <f t="shared" si="30"/>
        <v>28</v>
      </c>
      <c r="N276" s="7" t="s">
        <v>441</v>
      </c>
      <c r="O276" s="40">
        <v>2</v>
      </c>
      <c r="Y276">
        <f t="shared" si="28"/>
        <v>712</v>
      </c>
    </row>
    <row r="277" spans="1:25" x14ac:dyDescent="0.25">
      <c r="A277" s="7" t="s">
        <v>451</v>
      </c>
      <c r="B277" s="40">
        <v>156</v>
      </c>
      <c r="C277">
        <f t="shared" si="26"/>
        <v>254</v>
      </c>
      <c r="D277" s="7" t="s">
        <v>446</v>
      </c>
      <c r="E277">
        <f t="shared" si="25"/>
        <v>100</v>
      </c>
      <c r="G277" s="7" t="s">
        <v>442</v>
      </c>
      <c r="H277" s="40">
        <v>536</v>
      </c>
      <c r="I277">
        <f t="shared" si="27"/>
        <v>172</v>
      </c>
      <c r="J277" s="7" t="s">
        <v>442</v>
      </c>
      <c r="K277" s="7"/>
      <c r="L277">
        <f t="shared" si="29"/>
        <v>536</v>
      </c>
      <c r="M277">
        <f t="shared" si="30"/>
        <v>144</v>
      </c>
      <c r="N277" s="7" t="s">
        <v>442</v>
      </c>
      <c r="O277" s="40">
        <v>1</v>
      </c>
      <c r="Y277">
        <f t="shared" si="28"/>
        <v>712</v>
      </c>
    </row>
    <row r="278" spans="1:25" x14ac:dyDescent="0.25">
      <c r="A278" s="7" t="s">
        <v>452</v>
      </c>
      <c r="B278" s="40">
        <v>150</v>
      </c>
      <c r="C278">
        <f t="shared" si="26"/>
        <v>254</v>
      </c>
      <c r="D278" s="7" t="s">
        <v>447</v>
      </c>
      <c r="E278">
        <f t="shared" si="25"/>
        <v>100</v>
      </c>
      <c r="G278" s="7" t="s">
        <v>443</v>
      </c>
      <c r="H278" s="40">
        <v>22</v>
      </c>
      <c r="I278">
        <f t="shared" si="27"/>
        <v>644</v>
      </c>
      <c r="J278" s="7" t="s">
        <v>443</v>
      </c>
      <c r="K278" s="7"/>
      <c r="L278">
        <f t="shared" si="29"/>
        <v>22</v>
      </c>
      <c r="M278">
        <f t="shared" si="30"/>
        <v>144</v>
      </c>
      <c r="N278" s="7" t="s">
        <v>443</v>
      </c>
      <c r="O278" s="40">
        <v>1</v>
      </c>
      <c r="Y278">
        <f t="shared" si="28"/>
        <v>712</v>
      </c>
    </row>
    <row r="279" spans="1:25" x14ac:dyDescent="0.25">
      <c r="A279" s="7" t="s">
        <v>453</v>
      </c>
      <c r="B279" s="40">
        <v>65</v>
      </c>
      <c r="C279">
        <f t="shared" si="26"/>
        <v>373</v>
      </c>
      <c r="D279" s="7" t="s">
        <v>448</v>
      </c>
      <c r="E279">
        <f t="shared" si="25"/>
        <v>64</v>
      </c>
      <c r="G279" s="7" t="s">
        <v>444</v>
      </c>
      <c r="H279" s="40">
        <v>72</v>
      </c>
      <c r="I279">
        <f t="shared" si="27"/>
        <v>503</v>
      </c>
      <c r="J279" s="7" t="s">
        <v>444</v>
      </c>
      <c r="K279" s="7"/>
      <c r="L279">
        <f t="shared" si="29"/>
        <v>72</v>
      </c>
      <c r="M279">
        <f t="shared" si="30"/>
        <v>144</v>
      </c>
      <c r="N279" s="7" t="s">
        <v>444</v>
      </c>
      <c r="O279" s="40">
        <v>1</v>
      </c>
      <c r="Y279">
        <f t="shared" si="28"/>
        <v>712</v>
      </c>
    </row>
    <row r="280" spans="1:25" x14ac:dyDescent="0.25">
      <c r="A280" s="7" t="s">
        <v>454</v>
      </c>
      <c r="B280" s="40">
        <v>140</v>
      </c>
      <c r="C280">
        <f t="shared" si="26"/>
        <v>541</v>
      </c>
      <c r="D280" s="7" t="s">
        <v>449</v>
      </c>
      <c r="E280">
        <f t="shared" si="25"/>
        <v>29</v>
      </c>
      <c r="G280" s="7" t="s">
        <v>445</v>
      </c>
      <c r="H280" s="40">
        <v>468</v>
      </c>
      <c r="I280">
        <f t="shared" si="27"/>
        <v>189</v>
      </c>
      <c r="J280" s="7" t="s">
        <v>445</v>
      </c>
      <c r="K280" s="7"/>
      <c r="L280">
        <f t="shared" si="29"/>
        <v>468</v>
      </c>
      <c r="M280">
        <f t="shared" si="30"/>
        <v>144</v>
      </c>
      <c r="N280" s="7" t="s">
        <v>445</v>
      </c>
      <c r="O280" s="40">
        <v>1</v>
      </c>
      <c r="Y280">
        <f t="shared" si="28"/>
        <v>712</v>
      </c>
    </row>
    <row r="281" spans="1:25" x14ac:dyDescent="0.25">
      <c r="A281" s="7" t="s">
        <v>455</v>
      </c>
      <c r="B281" s="40">
        <v>145</v>
      </c>
      <c r="C281">
        <f t="shared" si="26"/>
        <v>396</v>
      </c>
      <c r="D281" s="7" t="s">
        <v>450</v>
      </c>
      <c r="E281">
        <f t="shared" si="25"/>
        <v>58</v>
      </c>
      <c r="G281" s="7" t="s">
        <v>446</v>
      </c>
      <c r="H281" s="40">
        <v>92</v>
      </c>
      <c r="I281">
        <f t="shared" si="27"/>
        <v>465</v>
      </c>
      <c r="J281" s="7" t="s">
        <v>446</v>
      </c>
      <c r="K281" s="7"/>
      <c r="L281">
        <f t="shared" si="29"/>
        <v>92</v>
      </c>
      <c r="M281">
        <f t="shared" si="30"/>
        <v>144</v>
      </c>
      <c r="N281" s="7" t="s">
        <v>446</v>
      </c>
      <c r="O281" s="40">
        <v>1</v>
      </c>
      <c r="Y281">
        <f t="shared" si="28"/>
        <v>712</v>
      </c>
    </row>
    <row r="282" spans="1:25" x14ac:dyDescent="0.25">
      <c r="A282" s="7" t="s">
        <v>457</v>
      </c>
      <c r="B282" s="40">
        <v>100</v>
      </c>
      <c r="C282">
        <f t="shared" si="26"/>
        <v>189</v>
      </c>
      <c r="D282" s="7" t="s">
        <v>451</v>
      </c>
      <c r="E282">
        <f t="shared" si="25"/>
        <v>156</v>
      </c>
      <c r="G282" s="7" t="s">
        <v>447</v>
      </c>
      <c r="H282" s="40">
        <v>1800</v>
      </c>
      <c r="I282">
        <f t="shared" si="27"/>
        <v>59</v>
      </c>
      <c r="J282" s="7" t="s">
        <v>447</v>
      </c>
      <c r="K282" s="7"/>
      <c r="L282">
        <f t="shared" si="29"/>
        <v>1800</v>
      </c>
      <c r="M282">
        <f t="shared" si="30"/>
        <v>144</v>
      </c>
      <c r="N282" s="7" t="s">
        <v>447</v>
      </c>
      <c r="O282" s="40">
        <v>1</v>
      </c>
      <c r="Y282">
        <f t="shared" si="28"/>
        <v>712</v>
      </c>
    </row>
    <row r="283" spans="1:25" x14ac:dyDescent="0.25">
      <c r="A283" s="7" t="s">
        <v>458</v>
      </c>
      <c r="B283" s="40">
        <v>0</v>
      </c>
      <c r="C283">
        <f t="shared" si="26"/>
        <v>193</v>
      </c>
      <c r="D283" s="7" t="s">
        <v>452</v>
      </c>
      <c r="E283">
        <f t="shared" si="25"/>
        <v>150</v>
      </c>
      <c r="G283" s="7" t="s">
        <v>448</v>
      </c>
      <c r="H283" s="40">
        <v>309</v>
      </c>
      <c r="I283">
        <f t="shared" si="27"/>
        <v>253</v>
      </c>
      <c r="J283" s="7" t="s">
        <v>448</v>
      </c>
      <c r="K283" s="7"/>
      <c r="L283">
        <f t="shared" si="29"/>
        <v>309</v>
      </c>
      <c r="M283">
        <f t="shared" si="30"/>
        <v>144</v>
      </c>
      <c r="N283" s="7" t="s">
        <v>448</v>
      </c>
      <c r="O283" s="40">
        <v>1</v>
      </c>
      <c r="Y283">
        <f t="shared" si="28"/>
        <v>712</v>
      </c>
    </row>
    <row r="284" spans="1:25" x14ac:dyDescent="0.25">
      <c r="A284" s="7" t="s">
        <v>459</v>
      </c>
      <c r="B284" s="40">
        <v>0</v>
      </c>
      <c r="C284">
        <f t="shared" si="26"/>
        <v>366</v>
      </c>
      <c r="D284" s="7" t="s">
        <v>453</v>
      </c>
      <c r="E284">
        <f t="shared" si="25"/>
        <v>65</v>
      </c>
      <c r="G284" s="7" t="s">
        <v>449</v>
      </c>
      <c r="H284" s="40">
        <v>0</v>
      </c>
      <c r="I284">
        <f t="shared" si="27"/>
        <v>754</v>
      </c>
      <c r="J284" s="7" t="s">
        <v>449</v>
      </c>
      <c r="K284" s="7"/>
      <c r="L284">
        <f t="shared" si="29"/>
        <v>0</v>
      </c>
      <c r="M284">
        <f t="shared" si="30"/>
        <v>144</v>
      </c>
      <c r="N284" s="7" t="s">
        <v>449</v>
      </c>
      <c r="O284" s="40">
        <v>1</v>
      </c>
      <c r="Y284">
        <f t="shared" si="28"/>
        <v>712</v>
      </c>
    </row>
    <row r="285" spans="1:25" x14ac:dyDescent="0.25">
      <c r="A285" s="7" t="s">
        <v>460</v>
      </c>
      <c r="B285" s="40">
        <v>4100</v>
      </c>
      <c r="C285">
        <f t="shared" si="26"/>
        <v>212</v>
      </c>
      <c r="D285" s="7" t="s">
        <v>454</v>
      </c>
      <c r="E285">
        <f t="shared" si="25"/>
        <v>140</v>
      </c>
      <c r="G285" s="7" t="s">
        <v>450</v>
      </c>
      <c r="H285" s="40">
        <v>54</v>
      </c>
      <c r="I285">
        <f t="shared" si="27"/>
        <v>547</v>
      </c>
      <c r="J285" s="7" t="s">
        <v>450</v>
      </c>
      <c r="K285" s="7"/>
      <c r="L285">
        <f t="shared" si="29"/>
        <v>54</v>
      </c>
      <c r="M285">
        <f t="shared" si="30"/>
        <v>144</v>
      </c>
      <c r="N285" s="7" t="s">
        <v>450</v>
      </c>
      <c r="O285" s="40">
        <v>1</v>
      </c>
      <c r="Y285">
        <f t="shared" si="28"/>
        <v>712</v>
      </c>
    </row>
    <row r="286" spans="1:25" x14ac:dyDescent="0.25">
      <c r="A286" s="7" t="s">
        <v>461</v>
      </c>
      <c r="B286" s="40">
        <v>33</v>
      </c>
      <c r="C286">
        <f t="shared" si="26"/>
        <v>208</v>
      </c>
      <c r="D286" s="7" t="s">
        <v>455</v>
      </c>
      <c r="E286">
        <f t="shared" si="25"/>
        <v>145</v>
      </c>
      <c r="G286" s="7" t="s">
        <v>451</v>
      </c>
      <c r="H286" s="40">
        <v>2300</v>
      </c>
      <c r="I286">
        <f t="shared" si="27"/>
        <v>45</v>
      </c>
      <c r="J286" s="7" t="s">
        <v>451</v>
      </c>
      <c r="K286" s="7"/>
      <c r="L286">
        <f t="shared" si="29"/>
        <v>2300</v>
      </c>
      <c r="M286">
        <f t="shared" si="30"/>
        <v>144</v>
      </c>
      <c r="N286" s="7" t="s">
        <v>451</v>
      </c>
      <c r="O286" s="40">
        <v>1</v>
      </c>
      <c r="Y286">
        <f t="shared" si="28"/>
        <v>712</v>
      </c>
    </row>
    <row r="287" spans="1:25" x14ac:dyDescent="0.25">
      <c r="A287" s="7" t="s">
        <v>462</v>
      </c>
      <c r="B287" s="40">
        <v>22</v>
      </c>
      <c r="C287">
        <f t="shared" si="26"/>
        <v>254</v>
      </c>
      <c r="D287" s="7" t="s">
        <v>457</v>
      </c>
      <c r="E287">
        <f t="shared" si="25"/>
        <v>100</v>
      </c>
      <c r="G287" s="7" t="s">
        <v>452</v>
      </c>
      <c r="H287" s="40">
        <v>604</v>
      </c>
      <c r="I287">
        <f t="shared" si="27"/>
        <v>151</v>
      </c>
      <c r="J287" s="7" t="s">
        <v>452</v>
      </c>
      <c r="K287" s="7"/>
      <c r="L287">
        <f t="shared" si="29"/>
        <v>604</v>
      </c>
      <c r="M287">
        <f t="shared" si="30"/>
        <v>28</v>
      </c>
      <c r="N287" s="7" t="s">
        <v>452</v>
      </c>
      <c r="O287" s="40">
        <v>2</v>
      </c>
      <c r="Y287">
        <f t="shared" si="28"/>
        <v>712</v>
      </c>
    </row>
    <row r="288" spans="1:25" x14ac:dyDescent="0.25">
      <c r="A288" s="7" t="s">
        <v>463</v>
      </c>
      <c r="B288" s="40">
        <v>0</v>
      </c>
      <c r="C288">
        <f t="shared" si="26"/>
        <v>683</v>
      </c>
      <c r="D288" s="7" t="s">
        <v>458</v>
      </c>
      <c r="E288">
        <f t="shared" si="25"/>
        <v>0</v>
      </c>
      <c r="G288" s="7" t="s">
        <v>453</v>
      </c>
      <c r="H288" s="40">
        <v>50</v>
      </c>
      <c r="I288">
        <f t="shared" si="27"/>
        <v>554</v>
      </c>
      <c r="J288" s="7" t="s">
        <v>453</v>
      </c>
      <c r="K288" s="7"/>
      <c r="L288">
        <f t="shared" si="29"/>
        <v>50</v>
      </c>
      <c r="M288">
        <f t="shared" si="30"/>
        <v>144</v>
      </c>
      <c r="N288" s="7" t="s">
        <v>453</v>
      </c>
      <c r="O288" s="40">
        <v>1</v>
      </c>
      <c r="Y288">
        <f t="shared" si="28"/>
        <v>712</v>
      </c>
    </row>
    <row r="289" spans="1:25" x14ac:dyDescent="0.25">
      <c r="A289" s="7" t="s">
        <v>464</v>
      </c>
      <c r="B289" s="40">
        <v>191</v>
      </c>
      <c r="C289">
        <f t="shared" si="26"/>
        <v>683</v>
      </c>
      <c r="D289" s="7" t="s">
        <v>459</v>
      </c>
      <c r="E289">
        <f t="shared" si="25"/>
        <v>0</v>
      </c>
      <c r="G289" s="7" t="s">
        <v>454</v>
      </c>
      <c r="H289" s="40">
        <v>128</v>
      </c>
      <c r="I289">
        <f t="shared" si="27"/>
        <v>410</v>
      </c>
      <c r="J289" s="7" t="s">
        <v>454</v>
      </c>
      <c r="K289" s="7"/>
      <c r="L289">
        <f t="shared" si="29"/>
        <v>128</v>
      </c>
      <c r="M289">
        <f t="shared" si="30"/>
        <v>28</v>
      </c>
      <c r="N289" s="7" t="s">
        <v>454</v>
      </c>
      <c r="O289" s="40">
        <v>2</v>
      </c>
      <c r="Y289">
        <f t="shared" si="28"/>
        <v>712</v>
      </c>
    </row>
    <row r="290" spans="1:25" x14ac:dyDescent="0.25">
      <c r="A290" s="7" t="s">
        <v>465</v>
      </c>
      <c r="B290" s="40">
        <v>65</v>
      </c>
      <c r="C290">
        <f t="shared" si="26"/>
        <v>6</v>
      </c>
      <c r="D290" s="7" t="s">
        <v>460</v>
      </c>
      <c r="E290">
        <f t="shared" si="25"/>
        <v>4100</v>
      </c>
      <c r="G290" s="7" t="s">
        <v>455</v>
      </c>
      <c r="H290" s="40">
        <v>410</v>
      </c>
      <c r="I290">
        <f t="shared" si="27"/>
        <v>204</v>
      </c>
      <c r="J290" s="7" t="s">
        <v>455</v>
      </c>
      <c r="K290" s="7"/>
      <c r="L290">
        <f t="shared" si="29"/>
        <v>410</v>
      </c>
      <c r="M290">
        <f t="shared" si="30"/>
        <v>28</v>
      </c>
      <c r="N290" s="7" t="s">
        <v>455</v>
      </c>
      <c r="O290" s="40">
        <v>2</v>
      </c>
      <c r="Y290">
        <f t="shared" si="28"/>
        <v>712</v>
      </c>
    </row>
    <row r="291" spans="1:25" x14ac:dyDescent="0.25">
      <c r="A291" s="7" t="s">
        <v>466</v>
      </c>
      <c r="B291" s="40">
        <v>15</v>
      </c>
      <c r="C291">
        <f t="shared" si="26"/>
        <v>503</v>
      </c>
      <c r="D291" s="7" t="s">
        <v>461</v>
      </c>
      <c r="E291">
        <f t="shared" si="25"/>
        <v>33</v>
      </c>
      <c r="G291" s="7" t="s">
        <v>457</v>
      </c>
      <c r="H291" s="40">
        <v>55</v>
      </c>
      <c r="I291">
        <f t="shared" si="27"/>
        <v>546</v>
      </c>
      <c r="J291" s="7" t="s">
        <v>457</v>
      </c>
      <c r="K291" s="7"/>
      <c r="L291">
        <f t="shared" si="29"/>
        <v>55</v>
      </c>
      <c r="M291">
        <f t="shared" si="30"/>
        <v>144</v>
      </c>
      <c r="N291" s="7" t="s">
        <v>457</v>
      </c>
      <c r="O291" s="40">
        <v>1</v>
      </c>
      <c r="Y291">
        <f t="shared" si="28"/>
        <v>712</v>
      </c>
    </row>
    <row r="292" spans="1:25" x14ac:dyDescent="0.25">
      <c r="A292" s="7" t="s">
        <v>467</v>
      </c>
      <c r="B292" s="40">
        <v>154</v>
      </c>
      <c r="C292">
        <f t="shared" si="26"/>
        <v>581</v>
      </c>
      <c r="D292" s="7" t="s">
        <v>462</v>
      </c>
      <c r="E292">
        <f t="shared" si="25"/>
        <v>22</v>
      </c>
      <c r="G292" s="7" t="s">
        <v>458</v>
      </c>
      <c r="H292" s="40">
        <v>315</v>
      </c>
      <c r="I292">
        <f t="shared" si="27"/>
        <v>249</v>
      </c>
      <c r="J292" s="7" t="s">
        <v>458</v>
      </c>
      <c r="K292" s="7"/>
      <c r="L292">
        <f t="shared" si="29"/>
        <v>315</v>
      </c>
      <c r="M292">
        <f t="shared" si="30"/>
        <v>144</v>
      </c>
      <c r="N292" s="7" t="s">
        <v>458</v>
      </c>
      <c r="O292" s="40">
        <v>1</v>
      </c>
      <c r="Y292">
        <f t="shared" si="28"/>
        <v>712</v>
      </c>
    </row>
    <row r="293" spans="1:25" x14ac:dyDescent="0.25">
      <c r="A293" s="7" t="s">
        <v>469</v>
      </c>
      <c r="B293" s="40">
        <v>190</v>
      </c>
      <c r="C293">
        <f t="shared" si="26"/>
        <v>683</v>
      </c>
      <c r="D293" s="7" t="s">
        <v>463</v>
      </c>
      <c r="E293">
        <f t="shared" si="25"/>
        <v>0</v>
      </c>
      <c r="G293" s="7" t="s">
        <v>459</v>
      </c>
      <c r="H293" s="40">
        <v>50</v>
      </c>
      <c r="I293">
        <f t="shared" si="27"/>
        <v>554</v>
      </c>
      <c r="J293" s="7" t="s">
        <v>459</v>
      </c>
      <c r="K293" s="7"/>
      <c r="L293">
        <f t="shared" si="29"/>
        <v>50</v>
      </c>
      <c r="M293">
        <f t="shared" si="30"/>
        <v>144</v>
      </c>
      <c r="N293" s="7" t="s">
        <v>459</v>
      </c>
      <c r="O293" s="40">
        <v>1</v>
      </c>
      <c r="Y293">
        <f t="shared" si="28"/>
        <v>712</v>
      </c>
    </row>
    <row r="294" spans="1:25" x14ac:dyDescent="0.25">
      <c r="A294" s="7" t="s">
        <v>470</v>
      </c>
      <c r="B294" s="40">
        <v>628</v>
      </c>
      <c r="C294">
        <f t="shared" si="26"/>
        <v>163</v>
      </c>
      <c r="D294" s="7" t="s">
        <v>464</v>
      </c>
      <c r="E294">
        <f t="shared" si="25"/>
        <v>191</v>
      </c>
      <c r="G294" s="7" t="s">
        <v>460</v>
      </c>
      <c r="H294" s="40">
        <v>2</v>
      </c>
      <c r="I294">
        <f t="shared" si="27"/>
        <v>737</v>
      </c>
      <c r="J294" s="7" t="s">
        <v>460</v>
      </c>
      <c r="K294" s="7"/>
      <c r="L294">
        <f t="shared" si="29"/>
        <v>2</v>
      </c>
      <c r="M294">
        <f t="shared" si="30"/>
        <v>144</v>
      </c>
      <c r="N294" s="7" t="s">
        <v>460</v>
      </c>
      <c r="O294" s="40">
        <v>1</v>
      </c>
      <c r="Y294">
        <f t="shared" si="28"/>
        <v>712</v>
      </c>
    </row>
    <row r="295" spans="1:25" x14ac:dyDescent="0.25">
      <c r="A295" s="7" t="s">
        <v>472</v>
      </c>
      <c r="B295" s="40">
        <v>17</v>
      </c>
      <c r="C295">
        <f t="shared" si="26"/>
        <v>366</v>
      </c>
      <c r="D295" s="7" t="s">
        <v>465</v>
      </c>
      <c r="E295">
        <f t="shared" si="25"/>
        <v>65</v>
      </c>
      <c r="G295" s="7" t="s">
        <v>461</v>
      </c>
      <c r="H295" s="40">
        <v>133</v>
      </c>
      <c r="I295">
        <f t="shared" si="27"/>
        <v>403</v>
      </c>
      <c r="J295" s="7" t="s">
        <v>461</v>
      </c>
      <c r="K295" s="7"/>
      <c r="L295">
        <f t="shared" si="29"/>
        <v>133</v>
      </c>
      <c r="M295">
        <f t="shared" si="30"/>
        <v>144</v>
      </c>
      <c r="N295" s="7" t="s">
        <v>461</v>
      </c>
      <c r="O295" s="40">
        <v>1</v>
      </c>
      <c r="Y295">
        <f t="shared" si="28"/>
        <v>712</v>
      </c>
    </row>
    <row r="296" spans="1:25" x14ac:dyDescent="0.25">
      <c r="A296" s="7" t="s">
        <v>473</v>
      </c>
      <c r="B296" s="40">
        <v>235</v>
      </c>
      <c r="C296">
        <f t="shared" si="26"/>
        <v>622</v>
      </c>
      <c r="D296" s="7" t="s">
        <v>466</v>
      </c>
      <c r="E296">
        <f t="shared" si="25"/>
        <v>15</v>
      </c>
      <c r="G296" s="7" t="s">
        <v>462</v>
      </c>
      <c r="H296" s="40">
        <v>64</v>
      </c>
      <c r="I296">
        <f t="shared" si="27"/>
        <v>516</v>
      </c>
      <c r="J296" s="7" t="s">
        <v>462</v>
      </c>
      <c r="K296" s="7"/>
      <c r="L296">
        <f t="shared" si="29"/>
        <v>64</v>
      </c>
      <c r="M296">
        <f t="shared" si="30"/>
        <v>144</v>
      </c>
      <c r="N296" s="7" t="s">
        <v>462</v>
      </c>
      <c r="O296" s="40">
        <v>1</v>
      </c>
      <c r="Y296">
        <f t="shared" si="28"/>
        <v>712</v>
      </c>
    </row>
    <row r="297" spans="1:25" x14ac:dyDescent="0.25">
      <c r="A297" s="7" t="s">
        <v>476</v>
      </c>
      <c r="B297" s="40">
        <v>60</v>
      </c>
      <c r="C297">
        <f t="shared" si="26"/>
        <v>191</v>
      </c>
      <c r="D297" s="7" t="s">
        <v>467</v>
      </c>
      <c r="E297">
        <f t="shared" si="25"/>
        <v>154</v>
      </c>
      <c r="G297" s="7" t="s">
        <v>463</v>
      </c>
      <c r="H297" s="40">
        <v>20</v>
      </c>
      <c r="I297">
        <f t="shared" si="27"/>
        <v>652</v>
      </c>
      <c r="J297" s="7" t="s">
        <v>463</v>
      </c>
      <c r="K297" s="7"/>
      <c r="L297">
        <f t="shared" si="29"/>
        <v>20</v>
      </c>
      <c r="M297">
        <f t="shared" si="30"/>
        <v>144</v>
      </c>
      <c r="N297" s="7" t="s">
        <v>463</v>
      </c>
      <c r="O297" s="40">
        <v>1</v>
      </c>
      <c r="Y297">
        <f t="shared" si="28"/>
        <v>712</v>
      </c>
    </row>
    <row r="298" spans="1:25" x14ac:dyDescent="0.25">
      <c r="A298" s="7" t="s">
        <v>477</v>
      </c>
      <c r="B298" s="40">
        <v>60</v>
      </c>
      <c r="C298">
        <f t="shared" si="26"/>
        <v>165</v>
      </c>
      <c r="D298" s="7" t="s">
        <v>469</v>
      </c>
      <c r="E298">
        <f t="shared" si="25"/>
        <v>190</v>
      </c>
      <c r="G298" s="7" t="s">
        <v>464</v>
      </c>
      <c r="H298" s="40">
        <v>112</v>
      </c>
      <c r="I298">
        <f t="shared" si="27"/>
        <v>432</v>
      </c>
      <c r="J298" s="7" t="s">
        <v>464</v>
      </c>
      <c r="K298" s="7"/>
      <c r="L298">
        <f t="shared" si="29"/>
        <v>112</v>
      </c>
      <c r="M298">
        <f t="shared" si="30"/>
        <v>144</v>
      </c>
      <c r="N298" s="7" t="s">
        <v>464</v>
      </c>
      <c r="O298" s="40">
        <v>1</v>
      </c>
      <c r="Y298">
        <f t="shared" si="28"/>
        <v>712</v>
      </c>
    </row>
    <row r="299" spans="1:25" x14ac:dyDescent="0.25">
      <c r="A299" s="7" t="s">
        <v>478</v>
      </c>
      <c r="B299" s="40">
        <v>40</v>
      </c>
      <c r="C299">
        <f t="shared" si="26"/>
        <v>53</v>
      </c>
      <c r="D299" s="7" t="s">
        <v>470</v>
      </c>
      <c r="E299">
        <f t="shared" si="25"/>
        <v>628</v>
      </c>
      <c r="G299" s="7" t="s">
        <v>465</v>
      </c>
      <c r="H299" s="40">
        <v>992</v>
      </c>
      <c r="I299">
        <f t="shared" si="27"/>
        <v>103</v>
      </c>
      <c r="J299" s="7" t="s">
        <v>465</v>
      </c>
      <c r="K299" s="7"/>
      <c r="L299">
        <f t="shared" si="29"/>
        <v>992</v>
      </c>
      <c r="M299">
        <f t="shared" si="30"/>
        <v>28</v>
      </c>
      <c r="N299" s="7" t="s">
        <v>465</v>
      </c>
      <c r="O299" s="40">
        <v>2</v>
      </c>
      <c r="Y299">
        <f t="shared" si="28"/>
        <v>712</v>
      </c>
    </row>
    <row r="300" spans="1:25" x14ac:dyDescent="0.25">
      <c r="A300" s="7" t="s">
        <v>480</v>
      </c>
      <c r="B300" s="40">
        <v>0</v>
      </c>
      <c r="C300">
        <f t="shared" si="26"/>
        <v>612</v>
      </c>
      <c r="D300" s="7" t="s">
        <v>472</v>
      </c>
      <c r="E300">
        <f t="shared" si="25"/>
        <v>17</v>
      </c>
      <c r="G300" s="7" t="s">
        <v>466</v>
      </c>
      <c r="H300" s="40">
        <v>328</v>
      </c>
      <c r="I300">
        <f t="shared" si="27"/>
        <v>241</v>
      </c>
      <c r="J300" s="7" t="s">
        <v>466</v>
      </c>
      <c r="K300" s="7"/>
      <c r="L300">
        <f t="shared" si="29"/>
        <v>328</v>
      </c>
      <c r="M300">
        <f t="shared" si="30"/>
        <v>144</v>
      </c>
      <c r="N300" s="7" t="s">
        <v>466</v>
      </c>
      <c r="O300" s="40">
        <v>1</v>
      </c>
      <c r="Y300">
        <f t="shared" si="28"/>
        <v>712</v>
      </c>
    </row>
    <row r="301" spans="1:25" x14ac:dyDescent="0.25">
      <c r="A301" s="7" t="s">
        <v>483</v>
      </c>
      <c r="B301" s="40">
        <v>40</v>
      </c>
      <c r="C301">
        <f t="shared" si="26"/>
        <v>131</v>
      </c>
      <c r="D301" s="7" t="s">
        <v>473</v>
      </c>
      <c r="E301">
        <f t="shared" si="25"/>
        <v>235</v>
      </c>
      <c r="G301" s="7" t="s">
        <v>467</v>
      </c>
      <c r="H301" s="40">
        <v>549</v>
      </c>
      <c r="I301">
        <f t="shared" si="27"/>
        <v>166</v>
      </c>
      <c r="J301" s="7" t="s">
        <v>467</v>
      </c>
      <c r="K301" s="7"/>
      <c r="L301">
        <f t="shared" si="29"/>
        <v>549</v>
      </c>
      <c r="M301">
        <f t="shared" si="30"/>
        <v>144</v>
      </c>
      <c r="N301" s="7" t="s">
        <v>467</v>
      </c>
      <c r="O301" s="40">
        <v>1</v>
      </c>
      <c r="Y301">
        <f t="shared" si="28"/>
        <v>712</v>
      </c>
    </row>
    <row r="302" spans="1:25" x14ac:dyDescent="0.25">
      <c r="A302" s="7" t="s">
        <v>484</v>
      </c>
      <c r="B302" s="40">
        <v>31</v>
      </c>
      <c r="C302">
        <f t="shared" si="26"/>
        <v>378</v>
      </c>
      <c r="D302" s="7" t="s">
        <v>476</v>
      </c>
      <c r="E302">
        <f t="shared" si="25"/>
        <v>60</v>
      </c>
      <c r="G302" s="7" t="s">
        <v>469</v>
      </c>
      <c r="H302" s="40">
        <v>140</v>
      </c>
      <c r="I302">
        <f t="shared" si="27"/>
        <v>397</v>
      </c>
      <c r="J302" s="7" t="s">
        <v>469</v>
      </c>
      <c r="K302" s="7"/>
      <c r="L302">
        <f t="shared" si="29"/>
        <v>140</v>
      </c>
      <c r="M302">
        <f t="shared" si="30"/>
        <v>144</v>
      </c>
      <c r="N302" s="7" t="s">
        <v>469</v>
      </c>
      <c r="O302" s="40">
        <v>1</v>
      </c>
      <c r="Y302">
        <f t="shared" si="28"/>
        <v>712</v>
      </c>
    </row>
    <row r="303" spans="1:25" x14ac:dyDescent="0.25">
      <c r="A303" s="7" t="s">
        <v>485</v>
      </c>
      <c r="B303" s="40">
        <v>226</v>
      </c>
      <c r="C303">
        <f t="shared" si="26"/>
        <v>378</v>
      </c>
      <c r="D303" s="7" t="s">
        <v>477</v>
      </c>
      <c r="E303">
        <f t="shared" si="25"/>
        <v>60</v>
      </c>
      <c r="G303" s="7" t="s">
        <v>470</v>
      </c>
      <c r="H303" s="40">
        <v>0</v>
      </c>
      <c r="I303">
        <f t="shared" si="27"/>
        <v>754</v>
      </c>
      <c r="J303" s="7" t="s">
        <v>470</v>
      </c>
      <c r="K303" s="7"/>
      <c r="L303">
        <f t="shared" si="29"/>
        <v>0</v>
      </c>
      <c r="M303">
        <f t="shared" si="30"/>
        <v>28</v>
      </c>
      <c r="N303" s="7" t="s">
        <v>470</v>
      </c>
      <c r="O303" s="40">
        <v>2</v>
      </c>
      <c r="Y303">
        <f t="shared" si="28"/>
        <v>712</v>
      </c>
    </row>
    <row r="304" spans="1:25" x14ac:dyDescent="0.25">
      <c r="A304" s="7" t="s">
        <v>486</v>
      </c>
      <c r="B304" s="40">
        <v>0</v>
      </c>
      <c r="C304">
        <f t="shared" si="26"/>
        <v>454</v>
      </c>
      <c r="D304" s="7" t="s">
        <v>478</v>
      </c>
      <c r="E304">
        <f t="shared" si="25"/>
        <v>40</v>
      </c>
      <c r="G304" s="7" t="s">
        <v>472</v>
      </c>
      <c r="H304" s="40">
        <v>119</v>
      </c>
      <c r="I304">
        <f t="shared" si="27"/>
        <v>423</v>
      </c>
      <c r="J304" s="7" t="s">
        <v>472</v>
      </c>
      <c r="K304" s="7"/>
      <c r="L304">
        <f t="shared" si="29"/>
        <v>119</v>
      </c>
      <c r="M304">
        <f t="shared" si="30"/>
        <v>144</v>
      </c>
      <c r="N304" s="7" t="s">
        <v>472</v>
      </c>
      <c r="O304" s="40">
        <v>1</v>
      </c>
      <c r="Y304">
        <f t="shared" si="28"/>
        <v>712</v>
      </c>
    </row>
    <row r="305" spans="1:25" x14ac:dyDescent="0.25">
      <c r="A305" s="7" t="s">
        <v>487</v>
      </c>
      <c r="B305" s="40">
        <v>22</v>
      </c>
      <c r="C305">
        <f t="shared" si="26"/>
        <v>683</v>
      </c>
      <c r="D305" s="7" t="s">
        <v>480</v>
      </c>
      <c r="E305">
        <f t="shared" si="25"/>
        <v>0</v>
      </c>
      <c r="G305" s="7" t="s">
        <v>473</v>
      </c>
      <c r="H305" s="40">
        <v>2060</v>
      </c>
      <c r="I305">
        <f t="shared" si="27"/>
        <v>49</v>
      </c>
      <c r="J305" s="7" t="s">
        <v>473</v>
      </c>
      <c r="K305" s="7"/>
      <c r="L305">
        <f t="shared" si="29"/>
        <v>2060</v>
      </c>
      <c r="M305">
        <f t="shared" si="30"/>
        <v>9</v>
      </c>
      <c r="N305" s="7" t="s">
        <v>473</v>
      </c>
      <c r="O305" s="40">
        <v>3</v>
      </c>
      <c r="Y305">
        <f t="shared" si="28"/>
        <v>712</v>
      </c>
    </row>
    <row r="306" spans="1:25" x14ac:dyDescent="0.25">
      <c r="A306" s="7" t="s">
        <v>488</v>
      </c>
      <c r="B306" s="40">
        <v>12</v>
      </c>
      <c r="C306">
        <f t="shared" si="26"/>
        <v>454</v>
      </c>
      <c r="D306" s="7" t="s">
        <v>483</v>
      </c>
      <c r="E306">
        <f t="shared" si="25"/>
        <v>40</v>
      </c>
      <c r="G306" s="7" t="s">
        <v>476</v>
      </c>
      <c r="H306" s="40">
        <v>76</v>
      </c>
      <c r="I306">
        <f t="shared" si="27"/>
        <v>494</v>
      </c>
      <c r="J306" s="7" t="s">
        <v>476</v>
      </c>
      <c r="K306" s="7"/>
      <c r="L306">
        <f t="shared" si="29"/>
        <v>76</v>
      </c>
      <c r="M306">
        <f t="shared" si="30"/>
        <v>144</v>
      </c>
      <c r="N306" s="7" t="s">
        <v>476</v>
      </c>
      <c r="O306" s="40">
        <v>1</v>
      </c>
      <c r="Y306">
        <f t="shared" si="28"/>
        <v>712</v>
      </c>
    </row>
    <row r="307" spans="1:25" x14ac:dyDescent="0.25">
      <c r="A307" s="7" t="s">
        <v>489</v>
      </c>
      <c r="B307" s="40">
        <v>0</v>
      </c>
      <c r="C307">
        <f t="shared" si="26"/>
        <v>508</v>
      </c>
      <c r="D307" s="7" t="s">
        <v>484</v>
      </c>
      <c r="E307">
        <f t="shared" si="25"/>
        <v>31</v>
      </c>
      <c r="G307" s="7" t="s">
        <v>477</v>
      </c>
      <c r="H307" s="40">
        <v>537</v>
      </c>
      <c r="I307">
        <f t="shared" si="27"/>
        <v>169</v>
      </c>
      <c r="J307" s="7" t="s">
        <v>477</v>
      </c>
      <c r="K307" s="7"/>
      <c r="L307">
        <f t="shared" si="29"/>
        <v>537</v>
      </c>
      <c r="M307">
        <f t="shared" si="30"/>
        <v>144</v>
      </c>
      <c r="N307" s="7" t="s">
        <v>477</v>
      </c>
      <c r="O307" s="40">
        <v>1</v>
      </c>
      <c r="Y307">
        <f t="shared" si="28"/>
        <v>712</v>
      </c>
    </row>
    <row r="308" spans="1:25" x14ac:dyDescent="0.25">
      <c r="A308" s="7" t="s">
        <v>490</v>
      </c>
      <c r="B308" s="40">
        <v>25</v>
      </c>
      <c r="C308">
        <f t="shared" si="26"/>
        <v>134</v>
      </c>
      <c r="D308" s="7" t="s">
        <v>485</v>
      </c>
      <c r="E308">
        <f t="shared" si="25"/>
        <v>226</v>
      </c>
      <c r="G308" s="7" t="s">
        <v>478</v>
      </c>
      <c r="H308" s="40">
        <v>59</v>
      </c>
      <c r="I308">
        <f t="shared" si="27"/>
        <v>530</v>
      </c>
      <c r="J308" s="7" t="s">
        <v>478</v>
      </c>
      <c r="K308" s="7"/>
      <c r="L308">
        <f t="shared" si="29"/>
        <v>59</v>
      </c>
      <c r="M308">
        <f t="shared" si="30"/>
        <v>144</v>
      </c>
      <c r="N308" s="7" t="s">
        <v>478</v>
      </c>
      <c r="O308" s="40">
        <v>1</v>
      </c>
      <c r="Y308">
        <f t="shared" si="28"/>
        <v>712</v>
      </c>
    </row>
    <row r="309" spans="1:25" x14ac:dyDescent="0.25">
      <c r="A309" s="7" t="s">
        <v>491</v>
      </c>
      <c r="B309" s="40">
        <v>8</v>
      </c>
      <c r="C309">
        <f t="shared" si="26"/>
        <v>683</v>
      </c>
      <c r="D309" s="7" t="s">
        <v>486</v>
      </c>
      <c r="E309">
        <f t="shared" si="25"/>
        <v>0</v>
      </c>
      <c r="G309" s="7" t="s">
        <v>480</v>
      </c>
      <c r="H309" s="40">
        <v>78</v>
      </c>
      <c r="I309">
        <f t="shared" si="27"/>
        <v>489</v>
      </c>
      <c r="J309" s="7" t="s">
        <v>480</v>
      </c>
      <c r="K309" s="7"/>
      <c r="L309">
        <f t="shared" si="29"/>
        <v>78</v>
      </c>
      <c r="M309">
        <f t="shared" si="30"/>
        <v>144</v>
      </c>
      <c r="N309" s="7" t="s">
        <v>480</v>
      </c>
      <c r="O309" s="40">
        <v>1</v>
      </c>
      <c r="Y309">
        <f t="shared" si="28"/>
        <v>712</v>
      </c>
    </row>
    <row r="310" spans="1:25" x14ac:dyDescent="0.25">
      <c r="A310" s="7" t="s">
        <v>492</v>
      </c>
      <c r="B310" s="40">
        <v>0</v>
      </c>
      <c r="C310">
        <f t="shared" si="26"/>
        <v>581</v>
      </c>
      <c r="D310" s="7" t="s">
        <v>487</v>
      </c>
      <c r="E310">
        <f t="shared" si="25"/>
        <v>22</v>
      </c>
      <c r="G310" s="7" t="s">
        <v>483</v>
      </c>
      <c r="H310" s="40">
        <v>100</v>
      </c>
      <c r="I310">
        <f t="shared" si="27"/>
        <v>451</v>
      </c>
      <c r="J310" s="7" t="s">
        <v>483</v>
      </c>
      <c r="K310" s="7"/>
      <c r="L310">
        <f t="shared" si="29"/>
        <v>100</v>
      </c>
      <c r="M310">
        <f t="shared" si="30"/>
        <v>144</v>
      </c>
      <c r="N310" s="7" t="s">
        <v>483</v>
      </c>
      <c r="O310" s="40">
        <v>1</v>
      </c>
      <c r="Y310">
        <f t="shared" si="28"/>
        <v>712</v>
      </c>
    </row>
    <row r="311" spans="1:25" x14ac:dyDescent="0.25">
      <c r="A311" s="7" t="s">
        <v>493</v>
      </c>
      <c r="B311" s="40">
        <v>7</v>
      </c>
      <c r="C311">
        <f t="shared" si="26"/>
        <v>640</v>
      </c>
      <c r="D311" s="7" t="s">
        <v>488</v>
      </c>
      <c r="E311">
        <f t="shared" si="25"/>
        <v>12</v>
      </c>
      <c r="G311" s="7" t="s">
        <v>484</v>
      </c>
      <c r="H311" s="40">
        <v>47</v>
      </c>
      <c r="I311">
        <f t="shared" si="27"/>
        <v>564</v>
      </c>
      <c r="J311" s="7" t="s">
        <v>484</v>
      </c>
      <c r="K311" s="7"/>
      <c r="L311">
        <f t="shared" si="29"/>
        <v>47</v>
      </c>
      <c r="M311">
        <f t="shared" si="30"/>
        <v>144</v>
      </c>
      <c r="N311" s="7" t="s">
        <v>484</v>
      </c>
      <c r="O311" s="40">
        <v>1</v>
      </c>
      <c r="Y311">
        <f t="shared" si="28"/>
        <v>712</v>
      </c>
    </row>
    <row r="312" spans="1:25" x14ac:dyDescent="0.25">
      <c r="A312" s="7" t="s">
        <v>494</v>
      </c>
      <c r="B312" s="40">
        <v>24</v>
      </c>
      <c r="C312">
        <f t="shared" si="26"/>
        <v>683</v>
      </c>
      <c r="D312" s="7" t="s">
        <v>489</v>
      </c>
      <c r="E312">
        <f t="shared" si="25"/>
        <v>0</v>
      </c>
      <c r="G312" s="7" t="s">
        <v>485</v>
      </c>
      <c r="H312" s="40">
        <v>406</v>
      </c>
      <c r="I312">
        <f t="shared" si="27"/>
        <v>206</v>
      </c>
      <c r="J312" s="7" t="s">
        <v>485</v>
      </c>
      <c r="K312" s="7"/>
      <c r="L312">
        <f t="shared" si="29"/>
        <v>406</v>
      </c>
      <c r="M312">
        <f t="shared" si="30"/>
        <v>28</v>
      </c>
      <c r="N312" s="7" t="s">
        <v>485</v>
      </c>
      <c r="O312" s="40">
        <v>2</v>
      </c>
      <c r="Y312">
        <f t="shared" si="28"/>
        <v>712</v>
      </c>
    </row>
    <row r="313" spans="1:25" x14ac:dyDescent="0.25">
      <c r="A313" s="7" t="s">
        <v>495</v>
      </c>
      <c r="B313" s="40">
        <v>100</v>
      </c>
      <c r="C313">
        <f t="shared" si="26"/>
        <v>554</v>
      </c>
      <c r="D313" s="7" t="s">
        <v>490</v>
      </c>
      <c r="E313">
        <f t="shared" si="25"/>
        <v>25</v>
      </c>
      <c r="G313" s="7" t="s">
        <v>486</v>
      </c>
      <c r="H313" s="40">
        <v>296</v>
      </c>
      <c r="I313">
        <f t="shared" si="27"/>
        <v>259</v>
      </c>
      <c r="J313" s="7" t="s">
        <v>486</v>
      </c>
      <c r="K313" s="7"/>
      <c r="L313">
        <f t="shared" si="29"/>
        <v>296</v>
      </c>
      <c r="M313">
        <f t="shared" si="30"/>
        <v>144</v>
      </c>
      <c r="N313" s="7" t="s">
        <v>486</v>
      </c>
      <c r="O313" s="40">
        <v>1</v>
      </c>
      <c r="Y313">
        <f t="shared" si="28"/>
        <v>712</v>
      </c>
    </row>
    <row r="314" spans="1:25" x14ac:dyDescent="0.25">
      <c r="A314" s="7" t="s">
        <v>496</v>
      </c>
      <c r="B314" s="40">
        <v>2110</v>
      </c>
      <c r="C314">
        <f t="shared" si="26"/>
        <v>666</v>
      </c>
      <c r="D314" s="7" t="s">
        <v>491</v>
      </c>
      <c r="E314">
        <f t="shared" si="25"/>
        <v>8</v>
      </c>
      <c r="G314" s="7" t="s">
        <v>487</v>
      </c>
      <c r="H314" s="40">
        <v>58</v>
      </c>
      <c r="I314">
        <f t="shared" si="27"/>
        <v>533</v>
      </c>
      <c r="J314" s="7" t="s">
        <v>487</v>
      </c>
      <c r="K314" s="7"/>
      <c r="L314">
        <f t="shared" si="29"/>
        <v>58</v>
      </c>
      <c r="M314">
        <f t="shared" si="30"/>
        <v>144</v>
      </c>
      <c r="N314" s="7" t="s">
        <v>487</v>
      </c>
      <c r="O314" s="40">
        <v>1</v>
      </c>
      <c r="Y314">
        <f t="shared" si="28"/>
        <v>712</v>
      </c>
    </row>
    <row r="315" spans="1:25" x14ac:dyDescent="0.25">
      <c r="A315" s="7" t="s">
        <v>497</v>
      </c>
      <c r="B315" s="40">
        <v>80</v>
      </c>
      <c r="C315">
        <f t="shared" si="26"/>
        <v>683</v>
      </c>
      <c r="D315" s="7" t="s">
        <v>492</v>
      </c>
      <c r="E315">
        <f t="shared" si="25"/>
        <v>0</v>
      </c>
      <c r="G315" s="7" t="s">
        <v>488</v>
      </c>
      <c r="H315" s="40">
        <v>20</v>
      </c>
      <c r="I315">
        <f t="shared" si="27"/>
        <v>652</v>
      </c>
      <c r="J315" s="7" t="s">
        <v>488</v>
      </c>
      <c r="K315" s="7"/>
      <c r="L315">
        <f t="shared" si="29"/>
        <v>20</v>
      </c>
      <c r="M315">
        <f t="shared" si="30"/>
        <v>144</v>
      </c>
      <c r="N315" s="7" t="s">
        <v>488</v>
      </c>
      <c r="O315" s="40">
        <v>1</v>
      </c>
      <c r="Y315">
        <f t="shared" si="28"/>
        <v>712</v>
      </c>
    </row>
    <row r="316" spans="1:25" x14ac:dyDescent="0.25">
      <c r="A316" s="7" t="s">
        <v>498</v>
      </c>
      <c r="B316" s="40">
        <v>10</v>
      </c>
      <c r="C316">
        <f t="shared" si="26"/>
        <v>670</v>
      </c>
      <c r="D316" s="7" t="s">
        <v>493</v>
      </c>
      <c r="E316">
        <f t="shared" si="25"/>
        <v>7</v>
      </c>
      <c r="G316" s="7" t="s">
        <v>489</v>
      </c>
      <c r="H316" s="40">
        <v>332</v>
      </c>
      <c r="I316">
        <f t="shared" si="27"/>
        <v>238</v>
      </c>
      <c r="J316" s="7" t="s">
        <v>489</v>
      </c>
      <c r="K316" s="7"/>
      <c r="L316">
        <f t="shared" si="29"/>
        <v>332</v>
      </c>
      <c r="M316">
        <f t="shared" si="30"/>
        <v>144</v>
      </c>
      <c r="N316" s="7" t="s">
        <v>489</v>
      </c>
      <c r="O316" s="40">
        <v>1</v>
      </c>
      <c r="Y316">
        <f t="shared" si="28"/>
        <v>712</v>
      </c>
    </row>
    <row r="317" spans="1:25" x14ac:dyDescent="0.25">
      <c r="A317" s="7" t="s">
        <v>499</v>
      </c>
      <c r="B317" s="40">
        <v>30</v>
      </c>
      <c r="C317">
        <f t="shared" si="26"/>
        <v>564</v>
      </c>
      <c r="D317" s="7" t="s">
        <v>494</v>
      </c>
      <c r="E317">
        <f t="shared" si="25"/>
        <v>24</v>
      </c>
      <c r="G317" s="7" t="s">
        <v>490</v>
      </c>
      <c r="H317" s="40">
        <v>275</v>
      </c>
      <c r="I317">
        <f t="shared" si="27"/>
        <v>272</v>
      </c>
      <c r="J317" s="7" t="s">
        <v>490</v>
      </c>
      <c r="K317" s="7"/>
      <c r="L317">
        <f t="shared" si="29"/>
        <v>275</v>
      </c>
      <c r="M317">
        <f t="shared" si="30"/>
        <v>28</v>
      </c>
      <c r="N317" s="7" t="s">
        <v>490</v>
      </c>
      <c r="O317" s="40">
        <v>2</v>
      </c>
      <c r="Y317">
        <f t="shared" si="28"/>
        <v>712</v>
      </c>
    </row>
    <row r="318" spans="1:25" x14ac:dyDescent="0.25">
      <c r="A318" s="7" t="s">
        <v>500</v>
      </c>
      <c r="B318" s="40">
        <v>19</v>
      </c>
      <c r="C318">
        <f t="shared" si="26"/>
        <v>254</v>
      </c>
      <c r="D318" s="7" t="s">
        <v>495</v>
      </c>
      <c r="E318">
        <f t="shared" si="25"/>
        <v>100</v>
      </c>
      <c r="G318" s="7" t="s">
        <v>491</v>
      </c>
      <c r="H318" s="40">
        <v>8</v>
      </c>
      <c r="I318">
        <f t="shared" si="27"/>
        <v>709</v>
      </c>
      <c r="J318" s="7" t="s">
        <v>491</v>
      </c>
      <c r="K318" s="7"/>
      <c r="L318">
        <f t="shared" si="29"/>
        <v>8</v>
      </c>
      <c r="M318">
        <f t="shared" si="30"/>
        <v>144</v>
      </c>
      <c r="N318" s="7" t="s">
        <v>491</v>
      </c>
      <c r="O318" s="40">
        <v>1</v>
      </c>
      <c r="Y318">
        <f t="shared" si="28"/>
        <v>712</v>
      </c>
    </row>
    <row r="319" spans="1:25" x14ac:dyDescent="0.25">
      <c r="A319" s="7" t="s">
        <v>501</v>
      </c>
      <c r="B319" s="40">
        <v>54</v>
      </c>
      <c r="C319">
        <f t="shared" si="26"/>
        <v>16</v>
      </c>
      <c r="D319" s="7" t="s">
        <v>496</v>
      </c>
      <c r="E319">
        <f t="shared" si="25"/>
        <v>2110</v>
      </c>
      <c r="G319" s="7" t="s">
        <v>492</v>
      </c>
      <c r="H319" s="40">
        <v>162</v>
      </c>
      <c r="I319">
        <f t="shared" si="27"/>
        <v>372</v>
      </c>
      <c r="J319" s="7" t="s">
        <v>492</v>
      </c>
      <c r="K319" s="7"/>
      <c r="L319">
        <f t="shared" si="29"/>
        <v>162</v>
      </c>
      <c r="M319">
        <f t="shared" si="30"/>
        <v>144</v>
      </c>
      <c r="N319" s="7" t="s">
        <v>492</v>
      </c>
      <c r="O319" s="40">
        <v>1</v>
      </c>
      <c r="Y319">
        <f t="shared" si="28"/>
        <v>712</v>
      </c>
    </row>
    <row r="320" spans="1:25" x14ac:dyDescent="0.25">
      <c r="A320" s="7" t="s">
        <v>502</v>
      </c>
      <c r="B320" s="40">
        <v>300</v>
      </c>
      <c r="C320">
        <f t="shared" si="26"/>
        <v>322</v>
      </c>
      <c r="D320" s="7" t="s">
        <v>497</v>
      </c>
      <c r="E320">
        <f t="shared" si="25"/>
        <v>80</v>
      </c>
      <c r="G320" s="7" t="s">
        <v>493</v>
      </c>
      <c r="H320" s="40">
        <v>2</v>
      </c>
      <c r="I320">
        <f t="shared" si="27"/>
        <v>737</v>
      </c>
      <c r="J320" s="7" t="s">
        <v>493</v>
      </c>
      <c r="K320" s="7"/>
      <c r="L320">
        <f t="shared" si="29"/>
        <v>2</v>
      </c>
      <c r="M320">
        <f t="shared" si="30"/>
        <v>144</v>
      </c>
      <c r="N320" s="7" t="s">
        <v>493</v>
      </c>
      <c r="O320" s="40">
        <v>1</v>
      </c>
      <c r="Y320">
        <f t="shared" si="28"/>
        <v>712</v>
      </c>
    </row>
    <row r="321" spans="1:25" x14ac:dyDescent="0.25">
      <c r="A321" s="7" t="s">
        <v>503</v>
      </c>
      <c r="B321" s="40">
        <v>97</v>
      </c>
      <c r="C321">
        <f t="shared" si="26"/>
        <v>653</v>
      </c>
      <c r="D321" s="7" t="s">
        <v>498</v>
      </c>
      <c r="E321">
        <f t="shared" si="25"/>
        <v>10</v>
      </c>
      <c r="G321" s="7" t="s">
        <v>494</v>
      </c>
      <c r="H321" s="40">
        <v>92</v>
      </c>
      <c r="I321">
        <f t="shared" si="27"/>
        <v>465</v>
      </c>
      <c r="J321" s="7" t="s">
        <v>494</v>
      </c>
      <c r="K321" s="7"/>
      <c r="L321">
        <f t="shared" si="29"/>
        <v>92</v>
      </c>
      <c r="M321">
        <f t="shared" si="30"/>
        <v>144</v>
      </c>
      <c r="N321" s="7" t="s">
        <v>494</v>
      </c>
      <c r="O321" s="40">
        <v>1</v>
      </c>
      <c r="Y321">
        <f t="shared" si="28"/>
        <v>712</v>
      </c>
    </row>
    <row r="322" spans="1:25" x14ac:dyDescent="0.25">
      <c r="A322" s="7" t="s">
        <v>504</v>
      </c>
      <c r="B322" s="40">
        <v>371</v>
      </c>
      <c r="C322">
        <f t="shared" si="26"/>
        <v>512</v>
      </c>
      <c r="D322" s="7" t="s">
        <v>499</v>
      </c>
      <c r="E322">
        <f t="shared" si="25"/>
        <v>30</v>
      </c>
      <c r="G322" s="7" t="s">
        <v>495</v>
      </c>
      <c r="H322" s="40">
        <v>0</v>
      </c>
      <c r="I322">
        <f t="shared" si="27"/>
        <v>754</v>
      </c>
      <c r="J322" s="7" t="s">
        <v>495</v>
      </c>
      <c r="K322" s="7"/>
      <c r="L322">
        <f t="shared" si="29"/>
        <v>0</v>
      </c>
      <c r="M322">
        <f t="shared" si="30"/>
        <v>144</v>
      </c>
      <c r="N322" s="7" t="s">
        <v>495</v>
      </c>
      <c r="O322" s="40">
        <v>1</v>
      </c>
      <c r="Y322">
        <f t="shared" si="28"/>
        <v>712</v>
      </c>
    </row>
    <row r="323" spans="1:25" x14ac:dyDescent="0.25">
      <c r="A323" s="7" t="s">
        <v>506</v>
      </c>
      <c r="B323" s="40">
        <v>22</v>
      </c>
      <c r="C323">
        <f t="shared" si="26"/>
        <v>603</v>
      </c>
      <c r="D323" s="7" t="s">
        <v>500</v>
      </c>
      <c r="E323">
        <f t="shared" si="25"/>
        <v>19</v>
      </c>
      <c r="G323" s="7" t="s">
        <v>496</v>
      </c>
      <c r="H323" s="40">
        <v>1647</v>
      </c>
      <c r="I323">
        <f t="shared" si="27"/>
        <v>64</v>
      </c>
      <c r="J323" s="7" t="s">
        <v>496</v>
      </c>
      <c r="K323" s="7"/>
      <c r="L323">
        <f t="shared" si="29"/>
        <v>1647</v>
      </c>
      <c r="M323">
        <f t="shared" si="30"/>
        <v>9</v>
      </c>
      <c r="N323" s="7" t="s">
        <v>496</v>
      </c>
      <c r="O323" s="40">
        <v>3</v>
      </c>
      <c r="Y323">
        <f t="shared" si="28"/>
        <v>712</v>
      </c>
    </row>
    <row r="324" spans="1:25" x14ac:dyDescent="0.25">
      <c r="A324" s="7" t="s">
        <v>507</v>
      </c>
      <c r="B324" s="40">
        <v>40</v>
      </c>
      <c r="C324">
        <f t="shared" si="26"/>
        <v>404</v>
      </c>
      <c r="D324" s="7" t="s">
        <v>501</v>
      </c>
      <c r="E324">
        <f t="shared" si="25"/>
        <v>54</v>
      </c>
      <c r="G324" s="7" t="s">
        <v>497</v>
      </c>
      <c r="H324" s="40">
        <v>244</v>
      </c>
      <c r="I324">
        <f t="shared" si="27"/>
        <v>293</v>
      </c>
      <c r="J324" s="7" t="s">
        <v>497</v>
      </c>
      <c r="K324" s="7"/>
      <c r="L324">
        <f t="shared" si="29"/>
        <v>244</v>
      </c>
      <c r="M324">
        <f t="shared" si="30"/>
        <v>144</v>
      </c>
      <c r="N324" s="7" t="s">
        <v>497</v>
      </c>
      <c r="O324" s="40">
        <v>1</v>
      </c>
      <c r="Y324">
        <f t="shared" si="28"/>
        <v>712</v>
      </c>
    </row>
    <row r="325" spans="1:25" x14ac:dyDescent="0.25">
      <c r="A325" s="7" t="s">
        <v>508</v>
      </c>
      <c r="B325" s="40">
        <v>1096</v>
      </c>
      <c r="C325">
        <f t="shared" si="26"/>
        <v>103</v>
      </c>
      <c r="D325" s="7" t="s">
        <v>502</v>
      </c>
      <c r="E325">
        <f t="shared" si="25"/>
        <v>300</v>
      </c>
      <c r="G325" s="7" t="s">
        <v>498</v>
      </c>
      <c r="H325" s="40">
        <v>1</v>
      </c>
      <c r="I325">
        <f t="shared" si="27"/>
        <v>747</v>
      </c>
      <c r="J325" s="7" t="s">
        <v>498</v>
      </c>
      <c r="K325" s="7"/>
      <c r="L325">
        <f t="shared" si="29"/>
        <v>1</v>
      </c>
      <c r="M325">
        <f t="shared" si="30"/>
        <v>144</v>
      </c>
      <c r="N325" s="7" t="s">
        <v>498</v>
      </c>
      <c r="O325" s="40">
        <v>1</v>
      </c>
      <c r="Y325">
        <f t="shared" si="28"/>
        <v>712</v>
      </c>
    </row>
    <row r="326" spans="1:25" x14ac:dyDescent="0.25">
      <c r="A326" s="7" t="s">
        <v>509</v>
      </c>
      <c r="B326" s="40">
        <v>11</v>
      </c>
      <c r="C326">
        <f t="shared" si="26"/>
        <v>290</v>
      </c>
      <c r="D326" s="7" t="s">
        <v>503</v>
      </c>
      <c r="E326">
        <f t="shared" si="25"/>
        <v>97</v>
      </c>
      <c r="G326" s="7" t="s">
        <v>499</v>
      </c>
      <c r="H326" s="40">
        <v>98</v>
      </c>
      <c r="I326">
        <f t="shared" si="27"/>
        <v>457</v>
      </c>
      <c r="J326" s="7" t="s">
        <v>499</v>
      </c>
      <c r="K326" s="7"/>
      <c r="L326">
        <f t="shared" si="29"/>
        <v>98</v>
      </c>
      <c r="M326">
        <f t="shared" si="30"/>
        <v>144</v>
      </c>
      <c r="N326" s="7" t="s">
        <v>499</v>
      </c>
      <c r="O326" s="40">
        <v>1</v>
      </c>
      <c r="Y326">
        <f t="shared" si="28"/>
        <v>712</v>
      </c>
    </row>
    <row r="327" spans="1:25" x14ac:dyDescent="0.25">
      <c r="A327" s="7" t="s">
        <v>510</v>
      </c>
      <c r="B327" s="40">
        <v>221</v>
      </c>
      <c r="C327">
        <f t="shared" si="26"/>
        <v>91</v>
      </c>
      <c r="D327" s="7" t="s">
        <v>504</v>
      </c>
      <c r="E327">
        <f t="shared" si="25"/>
        <v>371</v>
      </c>
      <c r="G327" s="7" t="s">
        <v>500</v>
      </c>
      <c r="H327" s="40">
        <v>101</v>
      </c>
      <c r="I327">
        <f t="shared" si="27"/>
        <v>449</v>
      </c>
      <c r="J327" s="7" t="s">
        <v>500</v>
      </c>
      <c r="K327" s="7"/>
      <c r="L327">
        <f t="shared" si="29"/>
        <v>101</v>
      </c>
      <c r="M327">
        <f t="shared" si="30"/>
        <v>144</v>
      </c>
      <c r="N327" s="7" t="s">
        <v>500</v>
      </c>
      <c r="O327" s="40">
        <v>1</v>
      </c>
      <c r="Y327">
        <f t="shared" si="28"/>
        <v>712</v>
      </c>
    </row>
    <row r="328" spans="1:25" x14ac:dyDescent="0.25">
      <c r="A328" s="7" t="s">
        <v>511</v>
      </c>
      <c r="B328" s="40">
        <v>0</v>
      </c>
      <c r="C328">
        <f t="shared" si="26"/>
        <v>581</v>
      </c>
      <c r="D328" s="7" t="s">
        <v>506</v>
      </c>
      <c r="E328">
        <f t="shared" si="25"/>
        <v>22</v>
      </c>
      <c r="G328" s="7" t="s">
        <v>501</v>
      </c>
      <c r="H328" s="40">
        <v>719</v>
      </c>
      <c r="I328">
        <f t="shared" si="27"/>
        <v>132</v>
      </c>
      <c r="J328" s="7" t="s">
        <v>501</v>
      </c>
      <c r="K328" s="7"/>
      <c r="L328">
        <f t="shared" si="29"/>
        <v>719</v>
      </c>
      <c r="M328">
        <f t="shared" si="30"/>
        <v>144</v>
      </c>
      <c r="N328" s="7" t="s">
        <v>501</v>
      </c>
      <c r="O328" s="40">
        <v>1</v>
      </c>
      <c r="Y328">
        <f t="shared" si="28"/>
        <v>712</v>
      </c>
    </row>
    <row r="329" spans="1:25" x14ac:dyDescent="0.25">
      <c r="A329" s="7" t="s">
        <v>512</v>
      </c>
      <c r="B329" s="40">
        <v>17</v>
      </c>
      <c r="C329">
        <f t="shared" si="26"/>
        <v>454</v>
      </c>
      <c r="D329" s="7" t="s">
        <v>507</v>
      </c>
      <c r="E329">
        <f t="shared" ref="E329:E392" si="31">VLOOKUP(D:D,A324:B1148,2,0)</f>
        <v>40</v>
      </c>
      <c r="G329" s="7" t="s">
        <v>502</v>
      </c>
      <c r="H329" s="40">
        <v>482</v>
      </c>
      <c r="I329">
        <f t="shared" si="27"/>
        <v>183</v>
      </c>
      <c r="J329" s="7" t="s">
        <v>502</v>
      </c>
      <c r="K329" s="7"/>
      <c r="L329">
        <f t="shared" si="29"/>
        <v>482</v>
      </c>
      <c r="M329">
        <f t="shared" si="30"/>
        <v>144</v>
      </c>
      <c r="N329" s="7" t="s">
        <v>502</v>
      </c>
      <c r="O329" s="40">
        <v>1</v>
      </c>
      <c r="Y329">
        <f t="shared" si="28"/>
        <v>712</v>
      </c>
    </row>
    <row r="330" spans="1:25" x14ac:dyDescent="0.25">
      <c r="A330" s="7" t="s">
        <v>513</v>
      </c>
      <c r="B330" s="40">
        <v>191</v>
      </c>
      <c r="C330">
        <f t="shared" ref="C330:C393" si="32">RANK(E:E,E:E)</f>
        <v>28</v>
      </c>
      <c r="D330" s="7" t="s">
        <v>508</v>
      </c>
      <c r="E330">
        <f t="shared" si="31"/>
        <v>1096</v>
      </c>
      <c r="G330" s="7" t="s">
        <v>503</v>
      </c>
      <c r="H330" s="40">
        <v>41</v>
      </c>
      <c r="I330">
        <f t="shared" si="27"/>
        <v>580</v>
      </c>
      <c r="J330" s="7" t="s">
        <v>503</v>
      </c>
      <c r="K330" s="7"/>
      <c r="L330">
        <f t="shared" si="29"/>
        <v>41</v>
      </c>
      <c r="M330">
        <f t="shared" si="30"/>
        <v>144</v>
      </c>
      <c r="N330" s="7" t="s">
        <v>503</v>
      </c>
      <c r="O330" s="40">
        <v>1</v>
      </c>
      <c r="Y330">
        <f t="shared" si="28"/>
        <v>712</v>
      </c>
    </row>
    <row r="331" spans="1:25" x14ac:dyDescent="0.25">
      <c r="A331" s="7" t="s">
        <v>514</v>
      </c>
      <c r="B331" s="40">
        <v>13</v>
      </c>
      <c r="C331">
        <f t="shared" si="32"/>
        <v>650</v>
      </c>
      <c r="D331" s="7" t="s">
        <v>509</v>
      </c>
      <c r="E331">
        <f t="shared" si="31"/>
        <v>11</v>
      </c>
      <c r="G331" s="7" t="s">
        <v>504</v>
      </c>
      <c r="H331" s="40">
        <v>0</v>
      </c>
      <c r="I331">
        <f t="shared" si="27"/>
        <v>754</v>
      </c>
      <c r="J331" s="7" t="s">
        <v>504</v>
      </c>
      <c r="K331" s="7"/>
      <c r="L331">
        <f t="shared" si="29"/>
        <v>0</v>
      </c>
      <c r="M331">
        <f t="shared" si="30"/>
        <v>144</v>
      </c>
      <c r="N331" s="7" t="s">
        <v>504</v>
      </c>
      <c r="O331" s="40">
        <v>1</v>
      </c>
      <c r="Y331">
        <f t="shared" si="28"/>
        <v>712</v>
      </c>
    </row>
    <row r="332" spans="1:25" x14ac:dyDescent="0.25">
      <c r="A332" s="7" t="s">
        <v>515</v>
      </c>
      <c r="B332" s="40">
        <v>140</v>
      </c>
      <c r="C332">
        <f t="shared" si="32"/>
        <v>139</v>
      </c>
      <c r="D332" s="7" t="s">
        <v>510</v>
      </c>
      <c r="E332">
        <f t="shared" si="31"/>
        <v>221</v>
      </c>
      <c r="G332" s="7" t="s">
        <v>506</v>
      </c>
      <c r="H332" s="40">
        <v>255</v>
      </c>
      <c r="I332">
        <f t="shared" si="27"/>
        <v>285</v>
      </c>
      <c r="J332" s="7" t="s">
        <v>506</v>
      </c>
      <c r="K332" s="7"/>
      <c r="L332">
        <f t="shared" si="29"/>
        <v>255</v>
      </c>
      <c r="M332">
        <f t="shared" si="30"/>
        <v>28</v>
      </c>
      <c r="N332" s="7" t="s">
        <v>506</v>
      </c>
      <c r="O332" s="40">
        <v>2</v>
      </c>
      <c r="Y332">
        <f t="shared" si="28"/>
        <v>712</v>
      </c>
    </row>
    <row r="333" spans="1:25" x14ac:dyDescent="0.25">
      <c r="A333" s="7" t="s">
        <v>517</v>
      </c>
      <c r="B333" s="40">
        <v>16</v>
      </c>
      <c r="C333">
        <f t="shared" si="32"/>
        <v>683</v>
      </c>
      <c r="D333" s="7" t="s">
        <v>511</v>
      </c>
      <c r="E333">
        <f t="shared" si="31"/>
        <v>0</v>
      </c>
      <c r="G333" s="7" t="s">
        <v>507</v>
      </c>
      <c r="H333" s="40">
        <v>40</v>
      </c>
      <c r="I333">
        <f t="shared" ref="I333:I396" si="33">RANK(L:L,L:L)</f>
        <v>587</v>
      </c>
      <c r="J333" s="7" t="s">
        <v>507</v>
      </c>
      <c r="K333" s="7"/>
      <c r="L333">
        <f t="shared" si="29"/>
        <v>40</v>
      </c>
      <c r="M333">
        <f t="shared" si="30"/>
        <v>144</v>
      </c>
      <c r="N333" s="7" t="s">
        <v>507</v>
      </c>
      <c r="O333" s="40">
        <v>1</v>
      </c>
      <c r="Y333">
        <f t="shared" ref="Y333:Y396" si="34">RANK(AA:AA,AA:AA)</f>
        <v>712</v>
      </c>
    </row>
    <row r="334" spans="1:25" x14ac:dyDescent="0.25">
      <c r="A334" s="7" t="s">
        <v>518</v>
      </c>
      <c r="B334" s="40">
        <v>150</v>
      </c>
      <c r="C334">
        <f t="shared" si="32"/>
        <v>612</v>
      </c>
      <c r="D334" s="7" t="s">
        <v>512</v>
      </c>
      <c r="E334">
        <f t="shared" si="31"/>
        <v>17</v>
      </c>
      <c r="G334" s="7" t="s">
        <v>508</v>
      </c>
      <c r="H334" s="40">
        <v>4800</v>
      </c>
      <c r="I334">
        <f t="shared" si="33"/>
        <v>23</v>
      </c>
      <c r="J334" s="7" t="s">
        <v>508</v>
      </c>
      <c r="K334" s="7"/>
      <c r="L334">
        <f t="shared" ref="L334:L397" si="35">VLOOKUP(G334,G333:H1156,2,0)</f>
        <v>4800</v>
      </c>
      <c r="M334">
        <f t="shared" ref="M334:M397" si="36">RANK(O:O,O:O)</f>
        <v>9</v>
      </c>
      <c r="N334" s="7" t="s">
        <v>508</v>
      </c>
      <c r="O334" s="40">
        <v>3</v>
      </c>
      <c r="Y334">
        <f t="shared" si="34"/>
        <v>712</v>
      </c>
    </row>
    <row r="335" spans="1:25" x14ac:dyDescent="0.25">
      <c r="A335" s="7" t="s">
        <v>519</v>
      </c>
      <c r="B335" s="40">
        <v>90</v>
      </c>
      <c r="C335">
        <f t="shared" si="32"/>
        <v>163</v>
      </c>
      <c r="D335" s="7" t="s">
        <v>513</v>
      </c>
      <c r="E335">
        <f t="shared" si="31"/>
        <v>191</v>
      </c>
      <c r="G335" s="7" t="s">
        <v>509</v>
      </c>
      <c r="H335" s="40">
        <v>17</v>
      </c>
      <c r="I335">
        <f t="shared" si="33"/>
        <v>665</v>
      </c>
      <c r="J335" s="7" t="s">
        <v>509</v>
      </c>
      <c r="K335" s="7"/>
      <c r="L335">
        <f t="shared" si="35"/>
        <v>17</v>
      </c>
      <c r="M335">
        <f t="shared" si="36"/>
        <v>144</v>
      </c>
      <c r="N335" s="7" t="s">
        <v>509</v>
      </c>
      <c r="O335" s="40">
        <v>1</v>
      </c>
      <c r="Y335">
        <f t="shared" si="34"/>
        <v>712</v>
      </c>
    </row>
    <row r="336" spans="1:25" x14ac:dyDescent="0.25">
      <c r="A336" s="7" t="s">
        <v>520</v>
      </c>
      <c r="B336" s="40">
        <v>35</v>
      </c>
      <c r="C336">
        <f t="shared" si="32"/>
        <v>634</v>
      </c>
      <c r="D336" s="7" t="s">
        <v>514</v>
      </c>
      <c r="E336">
        <f t="shared" si="31"/>
        <v>13</v>
      </c>
      <c r="G336" s="7" t="s">
        <v>510</v>
      </c>
      <c r="H336" s="40">
        <v>455</v>
      </c>
      <c r="I336">
        <f t="shared" si="33"/>
        <v>193</v>
      </c>
      <c r="J336" s="7" t="s">
        <v>510</v>
      </c>
      <c r="K336" s="7"/>
      <c r="L336">
        <f t="shared" si="35"/>
        <v>455</v>
      </c>
      <c r="M336">
        <f t="shared" si="36"/>
        <v>144</v>
      </c>
      <c r="N336" s="7" t="s">
        <v>510</v>
      </c>
      <c r="O336" s="40">
        <v>1</v>
      </c>
      <c r="Y336">
        <f t="shared" si="34"/>
        <v>712</v>
      </c>
    </row>
    <row r="337" spans="1:25" x14ac:dyDescent="0.25">
      <c r="A337" s="7" t="s">
        <v>521</v>
      </c>
      <c r="B337" s="40">
        <v>0</v>
      </c>
      <c r="C337">
        <f t="shared" si="32"/>
        <v>212</v>
      </c>
      <c r="D337" s="7" t="s">
        <v>515</v>
      </c>
      <c r="E337">
        <f t="shared" si="31"/>
        <v>140</v>
      </c>
      <c r="G337" s="7" t="s">
        <v>511</v>
      </c>
      <c r="H337" s="40">
        <v>117</v>
      </c>
      <c r="I337">
        <f t="shared" si="33"/>
        <v>427</v>
      </c>
      <c r="J337" s="7" t="s">
        <v>511</v>
      </c>
      <c r="K337" s="7"/>
      <c r="L337">
        <f t="shared" si="35"/>
        <v>117</v>
      </c>
      <c r="M337">
        <f t="shared" si="36"/>
        <v>144</v>
      </c>
      <c r="N337" s="7" t="s">
        <v>511</v>
      </c>
      <c r="O337" s="40">
        <v>1</v>
      </c>
      <c r="Y337">
        <f t="shared" si="34"/>
        <v>712</v>
      </c>
    </row>
    <row r="338" spans="1:25" x14ac:dyDescent="0.25">
      <c r="A338" s="7" t="s">
        <v>522</v>
      </c>
      <c r="B338" s="40">
        <v>0</v>
      </c>
      <c r="C338">
        <f t="shared" si="32"/>
        <v>617</v>
      </c>
      <c r="D338" s="7" t="s">
        <v>517</v>
      </c>
      <c r="E338">
        <f t="shared" si="31"/>
        <v>16</v>
      </c>
      <c r="G338" s="7" t="s">
        <v>512</v>
      </c>
      <c r="H338" s="40">
        <v>0</v>
      </c>
      <c r="I338">
        <f t="shared" si="33"/>
        <v>754</v>
      </c>
      <c r="J338" s="7" t="s">
        <v>512</v>
      </c>
      <c r="K338" s="7"/>
      <c r="L338">
        <f t="shared" si="35"/>
        <v>0</v>
      </c>
      <c r="M338">
        <f t="shared" si="36"/>
        <v>144</v>
      </c>
      <c r="N338" s="7" t="s">
        <v>512</v>
      </c>
      <c r="O338" s="40">
        <v>1</v>
      </c>
      <c r="Y338">
        <f t="shared" si="34"/>
        <v>712</v>
      </c>
    </row>
    <row r="339" spans="1:25" x14ac:dyDescent="0.25">
      <c r="A339" s="7" t="s">
        <v>523</v>
      </c>
      <c r="B339" s="40">
        <v>30</v>
      </c>
      <c r="C339">
        <f t="shared" si="32"/>
        <v>193</v>
      </c>
      <c r="D339" s="7" t="s">
        <v>518</v>
      </c>
      <c r="E339">
        <f t="shared" si="31"/>
        <v>150</v>
      </c>
      <c r="G339" s="7" t="s">
        <v>513</v>
      </c>
      <c r="H339" s="40">
        <v>736</v>
      </c>
      <c r="I339">
        <f t="shared" si="33"/>
        <v>130</v>
      </c>
      <c r="J339" s="7" t="s">
        <v>513</v>
      </c>
      <c r="K339" s="7"/>
      <c r="L339">
        <f t="shared" si="35"/>
        <v>736</v>
      </c>
      <c r="M339">
        <f t="shared" si="36"/>
        <v>28</v>
      </c>
      <c r="N339" s="7" t="s">
        <v>513</v>
      </c>
      <c r="O339" s="40">
        <v>2</v>
      </c>
      <c r="Y339">
        <f t="shared" si="34"/>
        <v>712</v>
      </c>
    </row>
    <row r="340" spans="1:25" x14ac:dyDescent="0.25">
      <c r="A340" s="7" t="s">
        <v>524</v>
      </c>
      <c r="B340" s="40">
        <v>20</v>
      </c>
      <c r="C340">
        <f t="shared" si="32"/>
        <v>298</v>
      </c>
      <c r="D340" s="7" t="s">
        <v>519</v>
      </c>
      <c r="E340">
        <f t="shared" si="31"/>
        <v>90</v>
      </c>
      <c r="G340" s="7" t="s">
        <v>514</v>
      </c>
      <c r="H340" s="40">
        <v>5</v>
      </c>
      <c r="I340">
        <f t="shared" si="33"/>
        <v>723</v>
      </c>
      <c r="J340" s="7" t="s">
        <v>514</v>
      </c>
      <c r="K340" s="7"/>
      <c r="L340">
        <f t="shared" si="35"/>
        <v>5</v>
      </c>
      <c r="M340">
        <f t="shared" si="36"/>
        <v>144</v>
      </c>
      <c r="N340" s="7" t="s">
        <v>514</v>
      </c>
      <c r="O340" s="40">
        <v>1</v>
      </c>
      <c r="Y340">
        <f t="shared" si="34"/>
        <v>712</v>
      </c>
    </row>
    <row r="341" spans="1:25" x14ac:dyDescent="0.25">
      <c r="A341" s="7" t="s">
        <v>525</v>
      </c>
      <c r="B341" s="40">
        <v>22</v>
      </c>
      <c r="C341">
        <f t="shared" si="32"/>
        <v>494</v>
      </c>
      <c r="D341" s="7" t="s">
        <v>520</v>
      </c>
      <c r="E341">
        <f t="shared" si="31"/>
        <v>35</v>
      </c>
      <c r="G341" s="7" t="s">
        <v>515</v>
      </c>
      <c r="H341" s="40">
        <v>37</v>
      </c>
      <c r="I341">
        <f t="shared" si="33"/>
        <v>596</v>
      </c>
      <c r="J341" s="7" t="s">
        <v>515</v>
      </c>
      <c r="K341" s="7"/>
      <c r="L341">
        <f t="shared" si="35"/>
        <v>37</v>
      </c>
      <c r="M341">
        <f t="shared" si="36"/>
        <v>144</v>
      </c>
      <c r="N341" s="7" t="s">
        <v>515</v>
      </c>
      <c r="O341" s="40">
        <v>1</v>
      </c>
      <c r="Y341">
        <f t="shared" si="34"/>
        <v>712</v>
      </c>
    </row>
    <row r="342" spans="1:25" x14ac:dyDescent="0.25">
      <c r="A342" s="7" t="s">
        <v>526</v>
      </c>
      <c r="B342" s="40">
        <v>0</v>
      </c>
      <c r="C342">
        <f t="shared" si="32"/>
        <v>683</v>
      </c>
      <c r="D342" s="7" t="s">
        <v>521</v>
      </c>
      <c r="E342">
        <f t="shared" si="31"/>
        <v>0</v>
      </c>
      <c r="G342" s="7" t="s">
        <v>517</v>
      </c>
      <c r="H342" s="40">
        <v>380</v>
      </c>
      <c r="I342">
        <f t="shared" si="33"/>
        <v>214</v>
      </c>
      <c r="J342" s="7" t="s">
        <v>517</v>
      </c>
      <c r="K342" s="7"/>
      <c r="L342">
        <f t="shared" si="35"/>
        <v>380</v>
      </c>
      <c r="M342">
        <f t="shared" si="36"/>
        <v>144</v>
      </c>
      <c r="N342" s="7" t="s">
        <v>517</v>
      </c>
      <c r="O342" s="40">
        <v>1</v>
      </c>
      <c r="Y342">
        <f t="shared" si="34"/>
        <v>712</v>
      </c>
    </row>
    <row r="343" spans="1:25" x14ac:dyDescent="0.25">
      <c r="A343" s="7" t="s">
        <v>527</v>
      </c>
      <c r="B343" s="40">
        <v>170</v>
      </c>
      <c r="C343">
        <f t="shared" si="32"/>
        <v>683</v>
      </c>
      <c r="D343" s="7" t="s">
        <v>522</v>
      </c>
      <c r="E343">
        <f t="shared" si="31"/>
        <v>0</v>
      </c>
      <c r="G343" s="7" t="s">
        <v>518</v>
      </c>
      <c r="H343" s="40">
        <v>280</v>
      </c>
      <c r="I343">
        <f t="shared" si="33"/>
        <v>269</v>
      </c>
      <c r="J343" s="7" t="s">
        <v>518</v>
      </c>
      <c r="K343" s="7"/>
      <c r="L343">
        <f t="shared" si="35"/>
        <v>280</v>
      </c>
      <c r="M343">
        <f t="shared" si="36"/>
        <v>144</v>
      </c>
      <c r="N343" s="7" t="s">
        <v>518</v>
      </c>
      <c r="O343" s="40">
        <v>1</v>
      </c>
      <c r="Y343">
        <f t="shared" si="34"/>
        <v>712</v>
      </c>
    </row>
    <row r="344" spans="1:25" x14ac:dyDescent="0.25">
      <c r="A344" s="7" t="s">
        <v>528</v>
      </c>
      <c r="B344" s="40">
        <v>24</v>
      </c>
      <c r="C344">
        <f t="shared" si="32"/>
        <v>512</v>
      </c>
      <c r="D344" s="7" t="s">
        <v>523</v>
      </c>
      <c r="E344">
        <f t="shared" si="31"/>
        <v>30</v>
      </c>
      <c r="G344" s="7" t="s">
        <v>519</v>
      </c>
      <c r="H344" s="40">
        <v>1765</v>
      </c>
      <c r="I344">
        <f t="shared" si="33"/>
        <v>60</v>
      </c>
      <c r="J344" s="7" t="s">
        <v>519</v>
      </c>
      <c r="K344" s="7"/>
      <c r="L344">
        <f t="shared" si="35"/>
        <v>1765</v>
      </c>
      <c r="M344">
        <f t="shared" si="36"/>
        <v>28</v>
      </c>
      <c r="N344" s="7" t="s">
        <v>519</v>
      </c>
      <c r="O344" s="40">
        <v>2</v>
      </c>
      <c r="Y344">
        <f t="shared" si="34"/>
        <v>712</v>
      </c>
    </row>
    <row r="345" spans="1:25" x14ac:dyDescent="0.25">
      <c r="A345" s="7" t="s">
        <v>529</v>
      </c>
      <c r="B345" s="40">
        <v>150</v>
      </c>
      <c r="C345">
        <f t="shared" si="32"/>
        <v>588</v>
      </c>
      <c r="D345" s="7" t="s">
        <v>524</v>
      </c>
      <c r="E345">
        <f t="shared" si="31"/>
        <v>20</v>
      </c>
      <c r="G345" s="7" t="s">
        <v>520</v>
      </c>
      <c r="H345" s="40">
        <v>102</v>
      </c>
      <c r="I345">
        <f t="shared" si="33"/>
        <v>444</v>
      </c>
      <c r="J345" s="7" t="s">
        <v>520</v>
      </c>
      <c r="K345" s="7"/>
      <c r="L345">
        <f t="shared" si="35"/>
        <v>102</v>
      </c>
      <c r="M345">
        <f t="shared" si="36"/>
        <v>144</v>
      </c>
      <c r="N345" s="7" t="s">
        <v>520</v>
      </c>
      <c r="O345" s="40">
        <v>1</v>
      </c>
      <c r="Y345">
        <f t="shared" si="34"/>
        <v>712</v>
      </c>
    </row>
    <row r="346" spans="1:25" x14ac:dyDescent="0.25">
      <c r="A346" s="7" t="s">
        <v>530</v>
      </c>
      <c r="B346" s="40">
        <v>85</v>
      </c>
      <c r="C346">
        <f t="shared" si="32"/>
        <v>581</v>
      </c>
      <c r="D346" s="7" t="s">
        <v>525</v>
      </c>
      <c r="E346">
        <f t="shared" si="31"/>
        <v>22</v>
      </c>
      <c r="G346" s="7" t="s">
        <v>521</v>
      </c>
      <c r="H346" s="40">
        <v>169</v>
      </c>
      <c r="I346">
        <f t="shared" si="33"/>
        <v>364</v>
      </c>
      <c r="J346" s="7" t="s">
        <v>521</v>
      </c>
      <c r="K346" s="7"/>
      <c r="L346">
        <f t="shared" si="35"/>
        <v>169</v>
      </c>
      <c r="M346">
        <f t="shared" si="36"/>
        <v>144</v>
      </c>
      <c r="N346" s="7" t="s">
        <v>521</v>
      </c>
      <c r="O346" s="40">
        <v>1</v>
      </c>
      <c r="Y346">
        <f t="shared" si="34"/>
        <v>712</v>
      </c>
    </row>
    <row r="347" spans="1:25" x14ac:dyDescent="0.25">
      <c r="A347" s="7" t="s">
        <v>533</v>
      </c>
      <c r="B347" s="40">
        <v>2260</v>
      </c>
      <c r="C347">
        <f t="shared" si="32"/>
        <v>683</v>
      </c>
      <c r="D347" s="7" t="s">
        <v>526</v>
      </c>
      <c r="E347">
        <f t="shared" si="31"/>
        <v>0</v>
      </c>
      <c r="G347" s="7" t="s">
        <v>522</v>
      </c>
      <c r="H347" s="40">
        <v>160</v>
      </c>
      <c r="I347">
        <f t="shared" si="33"/>
        <v>375</v>
      </c>
      <c r="J347" s="7" t="s">
        <v>522</v>
      </c>
      <c r="K347" s="7"/>
      <c r="L347">
        <f t="shared" si="35"/>
        <v>160</v>
      </c>
      <c r="M347">
        <f t="shared" si="36"/>
        <v>144</v>
      </c>
      <c r="N347" s="7" t="s">
        <v>522</v>
      </c>
      <c r="O347" s="40">
        <v>1</v>
      </c>
      <c r="Y347">
        <f t="shared" si="34"/>
        <v>712</v>
      </c>
    </row>
    <row r="348" spans="1:25" x14ac:dyDescent="0.25">
      <c r="A348" s="7" t="s">
        <v>534</v>
      </c>
      <c r="B348" s="40">
        <v>62</v>
      </c>
      <c r="C348">
        <f t="shared" si="32"/>
        <v>176</v>
      </c>
      <c r="D348" s="7" t="s">
        <v>527</v>
      </c>
      <c r="E348">
        <f t="shared" si="31"/>
        <v>170</v>
      </c>
      <c r="G348" s="7" t="s">
        <v>523</v>
      </c>
      <c r="H348" s="40">
        <v>70</v>
      </c>
      <c r="I348">
        <f t="shared" si="33"/>
        <v>506</v>
      </c>
      <c r="J348" s="7" t="s">
        <v>523</v>
      </c>
      <c r="K348" s="7"/>
      <c r="L348">
        <f t="shared" si="35"/>
        <v>70</v>
      </c>
      <c r="M348">
        <f t="shared" si="36"/>
        <v>144</v>
      </c>
      <c r="N348" s="7" t="s">
        <v>523</v>
      </c>
      <c r="O348" s="40">
        <v>1</v>
      </c>
      <c r="Y348">
        <f t="shared" si="34"/>
        <v>712</v>
      </c>
    </row>
    <row r="349" spans="1:25" x14ac:dyDescent="0.25">
      <c r="A349" s="7" t="s">
        <v>536</v>
      </c>
      <c r="B349" s="40">
        <v>30</v>
      </c>
      <c r="C349">
        <f t="shared" si="32"/>
        <v>564</v>
      </c>
      <c r="D349" s="7" t="s">
        <v>528</v>
      </c>
      <c r="E349">
        <f t="shared" si="31"/>
        <v>24</v>
      </c>
      <c r="G349" s="7" t="s">
        <v>524</v>
      </c>
      <c r="H349" s="40">
        <v>16</v>
      </c>
      <c r="I349">
        <f t="shared" si="33"/>
        <v>671</v>
      </c>
      <c r="J349" s="7" t="s">
        <v>524</v>
      </c>
      <c r="K349" s="7"/>
      <c r="L349">
        <f t="shared" si="35"/>
        <v>16</v>
      </c>
      <c r="M349">
        <f t="shared" si="36"/>
        <v>144</v>
      </c>
      <c r="N349" s="7" t="s">
        <v>524</v>
      </c>
      <c r="O349" s="40">
        <v>1</v>
      </c>
      <c r="Y349">
        <f t="shared" si="34"/>
        <v>712</v>
      </c>
    </row>
    <row r="350" spans="1:25" x14ac:dyDescent="0.25">
      <c r="A350" s="7" t="s">
        <v>537</v>
      </c>
      <c r="B350" s="40">
        <v>558</v>
      </c>
      <c r="C350">
        <f t="shared" si="32"/>
        <v>193</v>
      </c>
      <c r="D350" s="7" t="s">
        <v>529</v>
      </c>
      <c r="E350">
        <f t="shared" si="31"/>
        <v>150</v>
      </c>
      <c r="G350" s="7" t="s">
        <v>525</v>
      </c>
      <c r="H350" s="40">
        <v>120</v>
      </c>
      <c r="I350">
        <f t="shared" si="33"/>
        <v>419</v>
      </c>
      <c r="J350" s="7" t="s">
        <v>525</v>
      </c>
      <c r="K350" s="7"/>
      <c r="L350">
        <f t="shared" si="35"/>
        <v>120</v>
      </c>
      <c r="M350">
        <f t="shared" si="36"/>
        <v>144</v>
      </c>
      <c r="N350" s="7" t="s">
        <v>525</v>
      </c>
      <c r="O350" s="40">
        <v>1</v>
      </c>
      <c r="Y350">
        <f t="shared" si="34"/>
        <v>712</v>
      </c>
    </row>
    <row r="351" spans="1:25" x14ac:dyDescent="0.25">
      <c r="A351" s="7" t="s">
        <v>538</v>
      </c>
      <c r="B351" s="40">
        <v>36</v>
      </c>
      <c r="C351">
        <f t="shared" si="32"/>
        <v>314</v>
      </c>
      <c r="D351" s="7" t="s">
        <v>530</v>
      </c>
      <c r="E351">
        <f t="shared" si="31"/>
        <v>85</v>
      </c>
      <c r="G351" s="7" t="s">
        <v>526</v>
      </c>
      <c r="H351" s="40">
        <v>314</v>
      </c>
      <c r="I351">
        <f t="shared" si="33"/>
        <v>250</v>
      </c>
      <c r="J351" s="7" t="s">
        <v>526</v>
      </c>
      <c r="K351" s="7"/>
      <c r="L351">
        <f t="shared" si="35"/>
        <v>314</v>
      </c>
      <c r="M351">
        <f t="shared" si="36"/>
        <v>144</v>
      </c>
      <c r="N351" s="7" t="s">
        <v>526</v>
      </c>
      <c r="O351" s="40">
        <v>1</v>
      </c>
      <c r="Y351">
        <f t="shared" si="34"/>
        <v>712</v>
      </c>
    </row>
    <row r="352" spans="1:25" x14ac:dyDescent="0.25">
      <c r="A352" s="7" t="s">
        <v>539</v>
      </c>
      <c r="B352" s="40">
        <v>95</v>
      </c>
      <c r="C352">
        <f t="shared" si="32"/>
        <v>15</v>
      </c>
      <c r="D352" s="7" t="s">
        <v>533</v>
      </c>
      <c r="E352">
        <f t="shared" si="31"/>
        <v>2260</v>
      </c>
      <c r="G352" s="7" t="s">
        <v>527</v>
      </c>
      <c r="H352" s="40">
        <v>3</v>
      </c>
      <c r="I352">
        <f t="shared" si="33"/>
        <v>731</v>
      </c>
      <c r="J352" s="7" t="s">
        <v>527</v>
      </c>
      <c r="K352" s="7"/>
      <c r="L352">
        <f t="shared" si="35"/>
        <v>3</v>
      </c>
      <c r="M352">
        <f t="shared" si="36"/>
        <v>144</v>
      </c>
      <c r="N352" s="7" t="s">
        <v>527</v>
      </c>
      <c r="O352" s="40">
        <v>1</v>
      </c>
      <c r="Y352">
        <f t="shared" si="34"/>
        <v>712</v>
      </c>
    </row>
    <row r="353" spans="1:25" x14ac:dyDescent="0.25">
      <c r="A353" s="7" t="s">
        <v>540</v>
      </c>
      <c r="B353" s="40">
        <v>109</v>
      </c>
      <c r="C353">
        <f t="shared" si="32"/>
        <v>374</v>
      </c>
      <c r="D353" s="7" t="s">
        <v>534</v>
      </c>
      <c r="E353">
        <f t="shared" si="31"/>
        <v>62</v>
      </c>
      <c r="G353" s="7" t="s">
        <v>528</v>
      </c>
      <c r="H353" s="40">
        <v>24</v>
      </c>
      <c r="I353">
        <f t="shared" si="33"/>
        <v>633</v>
      </c>
      <c r="J353" s="7" t="s">
        <v>528</v>
      </c>
      <c r="K353" s="7"/>
      <c r="L353">
        <f t="shared" si="35"/>
        <v>24</v>
      </c>
      <c r="M353">
        <f t="shared" si="36"/>
        <v>144</v>
      </c>
      <c r="N353" s="7" t="s">
        <v>528</v>
      </c>
      <c r="O353" s="40">
        <v>1</v>
      </c>
      <c r="Y353">
        <f t="shared" si="34"/>
        <v>712</v>
      </c>
    </row>
    <row r="354" spans="1:25" x14ac:dyDescent="0.25">
      <c r="A354" s="7" t="s">
        <v>541</v>
      </c>
      <c r="B354" s="40">
        <v>920</v>
      </c>
      <c r="C354">
        <f t="shared" si="32"/>
        <v>512</v>
      </c>
      <c r="D354" s="7" t="s">
        <v>536</v>
      </c>
      <c r="E354">
        <f t="shared" si="31"/>
        <v>30</v>
      </c>
      <c r="G354" s="7" t="s">
        <v>529</v>
      </c>
      <c r="H354" s="40">
        <v>5300</v>
      </c>
      <c r="I354">
        <f t="shared" si="33"/>
        <v>21</v>
      </c>
      <c r="J354" s="7" t="s">
        <v>529</v>
      </c>
      <c r="K354" s="7"/>
      <c r="L354">
        <f t="shared" si="35"/>
        <v>5300</v>
      </c>
      <c r="M354">
        <f t="shared" si="36"/>
        <v>144</v>
      </c>
      <c r="N354" s="7" t="s">
        <v>529</v>
      </c>
      <c r="O354" s="40">
        <v>1</v>
      </c>
      <c r="Y354">
        <f t="shared" si="34"/>
        <v>712</v>
      </c>
    </row>
    <row r="355" spans="1:25" x14ac:dyDescent="0.25">
      <c r="A355" s="7" t="s">
        <v>543</v>
      </c>
      <c r="B355" s="40">
        <v>150</v>
      </c>
      <c r="C355">
        <f t="shared" si="32"/>
        <v>59</v>
      </c>
      <c r="D355" s="7" t="s">
        <v>537</v>
      </c>
      <c r="E355">
        <f t="shared" si="31"/>
        <v>558</v>
      </c>
      <c r="G355" s="7" t="s">
        <v>530</v>
      </c>
      <c r="H355" s="40">
        <v>26</v>
      </c>
      <c r="I355">
        <f t="shared" si="33"/>
        <v>624</v>
      </c>
      <c r="J355" s="7" t="s">
        <v>530</v>
      </c>
      <c r="K355" s="7"/>
      <c r="L355">
        <f t="shared" si="35"/>
        <v>26</v>
      </c>
      <c r="M355">
        <f t="shared" si="36"/>
        <v>144</v>
      </c>
      <c r="N355" s="7" t="s">
        <v>530</v>
      </c>
      <c r="O355" s="40">
        <v>1</v>
      </c>
      <c r="Y355">
        <f t="shared" si="34"/>
        <v>712</v>
      </c>
    </row>
    <row r="356" spans="1:25" x14ac:dyDescent="0.25">
      <c r="A356" s="7" t="s">
        <v>544</v>
      </c>
      <c r="B356" s="40">
        <v>65</v>
      </c>
      <c r="C356">
        <f t="shared" si="32"/>
        <v>490</v>
      </c>
      <c r="D356" s="7" t="s">
        <v>538</v>
      </c>
      <c r="E356">
        <f t="shared" si="31"/>
        <v>36</v>
      </c>
      <c r="G356" s="7" t="s">
        <v>533</v>
      </c>
      <c r="H356" s="40">
        <v>312</v>
      </c>
      <c r="I356">
        <f t="shared" si="33"/>
        <v>251</v>
      </c>
      <c r="J356" s="7" t="s">
        <v>533</v>
      </c>
      <c r="K356" s="7"/>
      <c r="L356">
        <f t="shared" si="35"/>
        <v>312</v>
      </c>
      <c r="M356">
        <f t="shared" si="36"/>
        <v>9</v>
      </c>
      <c r="N356" s="7" t="s">
        <v>533</v>
      </c>
      <c r="O356" s="40">
        <v>3</v>
      </c>
      <c r="Y356">
        <f t="shared" si="34"/>
        <v>712</v>
      </c>
    </row>
    <row r="357" spans="1:25" x14ac:dyDescent="0.25">
      <c r="A357" s="7" t="s">
        <v>545</v>
      </c>
      <c r="B357" s="40">
        <v>400</v>
      </c>
      <c r="C357">
        <f t="shared" si="32"/>
        <v>291</v>
      </c>
      <c r="D357" s="7" t="s">
        <v>539</v>
      </c>
      <c r="E357">
        <f t="shared" si="31"/>
        <v>95</v>
      </c>
      <c r="G357" s="7" t="s">
        <v>534</v>
      </c>
      <c r="H357" s="40">
        <v>233</v>
      </c>
      <c r="I357">
        <f t="shared" si="33"/>
        <v>304</v>
      </c>
      <c r="J357" s="7" t="s">
        <v>534</v>
      </c>
      <c r="K357" s="7"/>
      <c r="L357">
        <f t="shared" si="35"/>
        <v>233</v>
      </c>
      <c r="M357">
        <f t="shared" si="36"/>
        <v>144</v>
      </c>
      <c r="N357" s="7" t="s">
        <v>534</v>
      </c>
      <c r="O357" s="40">
        <v>1</v>
      </c>
      <c r="Y357">
        <f t="shared" si="34"/>
        <v>712</v>
      </c>
    </row>
    <row r="358" spans="1:25" x14ac:dyDescent="0.25">
      <c r="A358" s="7" t="s">
        <v>546</v>
      </c>
      <c r="B358" s="40">
        <v>300</v>
      </c>
      <c r="C358">
        <f t="shared" si="32"/>
        <v>250</v>
      </c>
      <c r="D358" s="7" t="s">
        <v>540</v>
      </c>
      <c r="E358">
        <f t="shared" si="31"/>
        <v>109</v>
      </c>
      <c r="G358" s="7" t="s">
        <v>536</v>
      </c>
      <c r="H358" s="40">
        <v>7</v>
      </c>
      <c r="I358">
        <f t="shared" si="33"/>
        <v>713</v>
      </c>
      <c r="J358" s="7" t="s">
        <v>536</v>
      </c>
      <c r="K358" s="7"/>
      <c r="L358">
        <f t="shared" si="35"/>
        <v>7</v>
      </c>
      <c r="M358">
        <f t="shared" si="36"/>
        <v>144</v>
      </c>
      <c r="N358" s="7" t="s">
        <v>536</v>
      </c>
      <c r="O358" s="40">
        <v>1</v>
      </c>
      <c r="Y358">
        <f t="shared" si="34"/>
        <v>712</v>
      </c>
    </row>
    <row r="359" spans="1:25" x14ac:dyDescent="0.25">
      <c r="A359" s="7" t="s">
        <v>547</v>
      </c>
      <c r="B359" s="40">
        <v>30</v>
      </c>
      <c r="C359">
        <f t="shared" si="32"/>
        <v>34</v>
      </c>
      <c r="D359" s="7" t="s">
        <v>541</v>
      </c>
      <c r="E359">
        <f t="shared" si="31"/>
        <v>920</v>
      </c>
      <c r="G359" s="7" t="s">
        <v>537</v>
      </c>
      <c r="H359" s="40">
        <v>1998</v>
      </c>
      <c r="I359">
        <f t="shared" si="33"/>
        <v>54</v>
      </c>
      <c r="J359" s="7" t="s">
        <v>537</v>
      </c>
      <c r="K359" s="7"/>
      <c r="L359">
        <f t="shared" si="35"/>
        <v>1998</v>
      </c>
      <c r="M359">
        <f t="shared" si="36"/>
        <v>28</v>
      </c>
      <c r="N359" s="7" t="s">
        <v>537</v>
      </c>
      <c r="O359" s="40">
        <v>2</v>
      </c>
      <c r="Y359">
        <f t="shared" si="34"/>
        <v>712</v>
      </c>
    </row>
    <row r="360" spans="1:25" x14ac:dyDescent="0.25">
      <c r="A360" s="7" t="s">
        <v>548</v>
      </c>
      <c r="B360" s="40">
        <v>121</v>
      </c>
      <c r="C360">
        <f t="shared" si="32"/>
        <v>193</v>
      </c>
      <c r="D360" s="7" t="s">
        <v>543</v>
      </c>
      <c r="E360">
        <f t="shared" si="31"/>
        <v>150</v>
      </c>
      <c r="G360" s="7" t="s">
        <v>538</v>
      </c>
      <c r="H360" s="40">
        <v>157</v>
      </c>
      <c r="I360">
        <f t="shared" si="33"/>
        <v>378</v>
      </c>
      <c r="J360" s="7" t="s">
        <v>538</v>
      </c>
      <c r="K360" s="7"/>
      <c r="L360">
        <f t="shared" si="35"/>
        <v>157</v>
      </c>
      <c r="M360">
        <f t="shared" si="36"/>
        <v>144</v>
      </c>
      <c r="N360" s="7" t="s">
        <v>538</v>
      </c>
      <c r="O360" s="40">
        <v>1</v>
      </c>
      <c r="Y360">
        <f t="shared" si="34"/>
        <v>712</v>
      </c>
    </row>
    <row r="361" spans="1:25" x14ac:dyDescent="0.25">
      <c r="A361" s="7" t="s">
        <v>549</v>
      </c>
      <c r="B361" s="40">
        <v>0</v>
      </c>
      <c r="C361">
        <f t="shared" si="32"/>
        <v>366</v>
      </c>
      <c r="D361" s="7" t="s">
        <v>544</v>
      </c>
      <c r="E361">
        <f t="shared" si="31"/>
        <v>65</v>
      </c>
      <c r="G361" s="7" t="s">
        <v>539</v>
      </c>
      <c r="H361" s="40">
        <v>102</v>
      </c>
      <c r="I361">
        <f t="shared" si="33"/>
        <v>444</v>
      </c>
      <c r="J361" s="7" t="s">
        <v>539</v>
      </c>
      <c r="K361" s="7"/>
      <c r="L361">
        <f t="shared" si="35"/>
        <v>102</v>
      </c>
      <c r="M361">
        <f t="shared" si="36"/>
        <v>144</v>
      </c>
      <c r="N361" s="7" t="s">
        <v>539</v>
      </c>
      <c r="O361" s="40">
        <v>1</v>
      </c>
      <c r="Y361">
        <f t="shared" si="34"/>
        <v>712</v>
      </c>
    </row>
    <row r="362" spans="1:25" x14ac:dyDescent="0.25">
      <c r="A362" s="7" t="s">
        <v>550</v>
      </c>
      <c r="B362" s="40">
        <v>34</v>
      </c>
      <c r="C362">
        <f t="shared" si="32"/>
        <v>83</v>
      </c>
      <c r="D362" s="7" t="s">
        <v>545</v>
      </c>
      <c r="E362">
        <f t="shared" si="31"/>
        <v>400</v>
      </c>
      <c r="G362" s="7" t="s">
        <v>540</v>
      </c>
      <c r="H362" s="40">
        <v>8</v>
      </c>
      <c r="I362">
        <f t="shared" si="33"/>
        <v>709</v>
      </c>
      <c r="J362" s="7" t="s">
        <v>540</v>
      </c>
      <c r="K362" s="7"/>
      <c r="L362">
        <f t="shared" si="35"/>
        <v>8</v>
      </c>
      <c r="M362">
        <f t="shared" si="36"/>
        <v>144</v>
      </c>
      <c r="N362" s="7" t="s">
        <v>540</v>
      </c>
      <c r="O362" s="40">
        <v>1</v>
      </c>
      <c r="Y362">
        <f t="shared" si="34"/>
        <v>712</v>
      </c>
    </row>
    <row r="363" spans="1:25" x14ac:dyDescent="0.25">
      <c r="A363" s="7" t="s">
        <v>551</v>
      </c>
      <c r="B363" s="40">
        <v>0</v>
      </c>
      <c r="C363">
        <f t="shared" si="32"/>
        <v>103</v>
      </c>
      <c r="D363" s="7" t="s">
        <v>546</v>
      </c>
      <c r="E363">
        <f t="shared" si="31"/>
        <v>300</v>
      </c>
      <c r="G363" s="7" t="s">
        <v>541</v>
      </c>
      <c r="H363" s="40">
        <v>809</v>
      </c>
      <c r="I363">
        <f t="shared" si="33"/>
        <v>120</v>
      </c>
      <c r="J363" s="7" t="s">
        <v>541</v>
      </c>
      <c r="K363" s="7"/>
      <c r="L363">
        <f t="shared" si="35"/>
        <v>809</v>
      </c>
      <c r="M363">
        <f t="shared" si="36"/>
        <v>28</v>
      </c>
      <c r="N363" s="7" t="s">
        <v>541</v>
      </c>
      <c r="O363" s="40">
        <v>2</v>
      </c>
      <c r="Y363">
        <f t="shared" si="34"/>
        <v>712</v>
      </c>
    </row>
    <row r="364" spans="1:25" x14ac:dyDescent="0.25">
      <c r="A364" s="7" t="s">
        <v>552</v>
      </c>
      <c r="B364" s="40">
        <v>60</v>
      </c>
      <c r="C364">
        <f t="shared" si="32"/>
        <v>512</v>
      </c>
      <c r="D364" s="7" t="s">
        <v>547</v>
      </c>
      <c r="E364">
        <f t="shared" si="31"/>
        <v>30</v>
      </c>
      <c r="G364" s="7" t="s">
        <v>543</v>
      </c>
      <c r="H364" s="40">
        <v>19</v>
      </c>
      <c r="I364">
        <f t="shared" si="33"/>
        <v>659</v>
      </c>
      <c r="J364" s="7" t="s">
        <v>543</v>
      </c>
      <c r="K364" s="7"/>
      <c r="L364">
        <f t="shared" si="35"/>
        <v>19</v>
      </c>
      <c r="M364">
        <f t="shared" si="36"/>
        <v>144</v>
      </c>
      <c r="N364" s="7" t="s">
        <v>543</v>
      </c>
      <c r="O364" s="40">
        <v>1</v>
      </c>
      <c r="Y364">
        <f t="shared" si="34"/>
        <v>712</v>
      </c>
    </row>
    <row r="365" spans="1:25" x14ac:dyDescent="0.25">
      <c r="A365" s="7" t="s">
        <v>553</v>
      </c>
      <c r="B365" s="40">
        <v>0</v>
      </c>
      <c r="C365">
        <f t="shared" si="32"/>
        <v>237</v>
      </c>
      <c r="D365" s="7" t="s">
        <v>548</v>
      </c>
      <c r="E365">
        <f t="shared" si="31"/>
        <v>121</v>
      </c>
      <c r="G365" s="7" t="s">
        <v>544</v>
      </c>
      <c r="H365" s="40">
        <v>182</v>
      </c>
      <c r="I365">
        <f t="shared" si="33"/>
        <v>353</v>
      </c>
      <c r="J365" s="7" t="s">
        <v>544</v>
      </c>
      <c r="K365" s="7"/>
      <c r="L365">
        <f t="shared" si="35"/>
        <v>182</v>
      </c>
      <c r="M365">
        <f t="shared" si="36"/>
        <v>144</v>
      </c>
      <c r="N365" s="7" t="s">
        <v>544</v>
      </c>
      <c r="O365" s="40">
        <v>1</v>
      </c>
      <c r="Y365">
        <f t="shared" si="34"/>
        <v>712</v>
      </c>
    </row>
    <row r="366" spans="1:25" x14ac:dyDescent="0.25">
      <c r="A366" s="7" t="s">
        <v>554</v>
      </c>
      <c r="B366" s="40">
        <v>40</v>
      </c>
      <c r="C366">
        <f t="shared" si="32"/>
        <v>683</v>
      </c>
      <c r="D366" s="7" t="s">
        <v>549</v>
      </c>
      <c r="E366">
        <f t="shared" si="31"/>
        <v>0</v>
      </c>
      <c r="G366" s="7" t="s">
        <v>545</v>
      </c>
      <c r="H366" s="40">
        <v>146</v>
      </c>
      <c r="I366">
        <f t="shared" si="33"/>
        <v>391</v>
      </c>
      <c r="J366" s="7" t="s">
        <v>545</v>
      </c>
      <c r="K366" s="7"/>
      <c r="L366">
        <f t="shared" si="35"/>
        <v>146</v>
      </c>
      <c r="M366">
        <f t="shared" si="36"/>
        <v>144</v>
      </c>
      <c r="N366" s="7" t="s">
        <v>545</v>
      </c>
      <c r="O366" s="40">
        <v>1</v>
      </c>
      <c r="Y366">
        <f t="shared" si="34"/>
        <v>712</v>
      </c>
    </row>
    <row r="367" spans="1:25" x14ac:dyDescent="0.25">
      <c r="A367" s="7" t="s">
        <v>555</v>
      </c>
      <c r="B367" s="40">
        <v>0</v>
      </c>
      <c r="C367">
        <f t="shared" si="32"/>
        <v>501</v>
      </c>
      <c r="D367" s="7" t="s">
        <v>550</v>
      </c>
      <c r="E367">
        <f t="shared" si="31"/>
        <v>34</v>
      </c>
      <c r="G367" s="7" t="s">
        <v>546</v>
      </c>
      <c r="H367" s="40">
        <v>1500</v>
      </c>
      <c r="I367">
        <f t="shared" si="33"/>
        <v>68</v>
      </c>
      <c r="J367" s="7" t="s">
        <v>546</v>
      </c>
      <c r="K367" s="7"/>
      <c r="L367">
        <f t="shared" si="35"/>
        <v>1500</v>
      </c>
      <c r="M367">
        <f t="shared" si="36"/>
        <v>28</v>
      </c>
      <c r="N367" s="7" t="s">
        <v>546</v>
      </c>
      <c r="O367" s="40">
        <v>2</v>
      </c>
      <c r="Y367">
        <f t="shared" si="34"/>
        <v>712</v>
      </c>
    </row>
    <row r="368" spans="1:25" x14ac:dyDescent="0.25">
      <c r="A368" s="7" t="s">
        <v>556</v>
      </c>
      <c r="B368" s="40">
        <v>200</v>
      </c>
      <c r="C368">
        <f t="shared" si="32"/>
        <v>683</v>
      </c>
      <c r="D368" s="7" t="s">
        <v>551</v>
      </c>
      <c r="E368">
        <f t="shared" si="31"/>
        <v>0</v>
      </c>
      <c r="G368" s="7" t="s">
        <v>547</v>
      </c>
      <c r="H368" s="40">
        <v>153</v>
      </c>
      <c r="I368">
        <f t="shared" si="33"/>
        <v>386</v>
      </c>
      <c r="J368" s="7" t="s">
        <v>547</v>
      </c>
      <c r="K368" s="7"/>
      <c r="L368">
        <f t="shared" si="35"/>
        <v>153</v>
      </c>
      <c r="M368">
        <f t="shared" si="36"/>
        <v>144</v>
      </c>
      <c r="N368" s="7" t="s">
        <v>547</v>
      </c>
      <c r="O368" s="40">
        <v>1</v>
      </c>
      <c r="Y368">
        <f t="shared" si="34"/>
        <v>712</v>
      </c>
    </row>
    <row r="369" spans="1:25" x14ac:dyDescent="0.25">
      <c r="A369" s="7" t="s">
        <v>557</v>
      </c>
      <c r="B369" s="40">
        <v>134</v>
      </c>
      <c r="C369">
        <f t="shared" si="32"/>
        <v>378</v>
      </c>
      <c r="D369" s="7" t="s">
        <v>552</v>
      </c>
      <c r="E369">
        <f t="shared" si="31"/>
        <v>60</v>
      </c>
      <c r="G369" s="7" t="s">
        <v>548</v>
      </c>
      <c r="H369" s="40">
        <v>161</v>
      </c>
      <c r="I369">
        <f t="shared" si="33"/>
        <v>374</v>
      </c>
      <c r="J369" s="7" t="s">
        <v>548</v>
      </c>
      <c r="K369" s="7"/>
      <c r="L369">
        <f t="shared" si="35"/>
        <v>161</v>
      </c>
      <c r="M369">
        <f t="shared" si="36"/>
        <v>144</v>
      </c>
      <c r="N369" s="7" t="s">
        <v>548</v>
      </c>
      <c r="O369" s="40">
        <v>1</v>
      </c>
      <c r="Y369">
        <f t="shared" si="34"/>
        <v>712</v>
      </c>
    </row>
    <row r="370" spans="1:25" x14ac:dyDescent="0.25">
      <c r="A370" s="7" t="s">
        <v>558</v>
      </c>
      <c r="B370" s="40">
        <v>0</v>
      </c>
      <c r="C370">
        <f t="shared" si="32"/>
        <v>683</v>
      </c>
      <c r="D370" s="7" t="s">
        <v>553</v>
      </c>
      <c r="E370">
        <f t="shared" si="31"/>
        <v>0</v>
      </c>
      <c r="G370" s="7" t="s">
        <v>549</v>
      </c>
      <c r="H370" s="40">
        <v>156</v>
      </c>
      <c r="I370">
        <f t="shared" si="33"/>
        <v>381</v>
      </c>
      <c r="J370" s="7" t="s">
        <v>549</v>
      </c>
      <c r="K370" s="7"/>
      <c r="L370">
        <f t="shared" si="35"/>
        <v>156</v>
      </c>
      <c r="M370">
        <f t="shared" si="36"/>
        <v>144</v>
      </c>
      <c r="N370" s="7" t="s">
        <v>549</v>
      </c>
      <c r="O370" s="40">
        <v>1</v>
      </c>
      <c r="Y370">
        <f t="shared" si="34"/>
        <v>712</v>
      </c>
    </row>
    <row r="371" spans="1:25" x14ac:dyDescent="0.25">
      <c r="A371" s="7" t="s">
        <v>559</v>
      </c>
      <c r="B371" s="40">
        <v>6</v>
      </c>
      <c r="C371">
        <f t="shared" si="32"/>
        <v>454</v>
      </c>
      <c r="D371" s="7" t="s">
        <v>554</v>
      </c>
      <c r="E371">
        <f t="shared" si="31"/>
        <v>40</v>
      </c>
      <c r="G371" s="7" t="s">
        <v>550</v>
      </c>
      <c r="H371" s="40">
        <v>247</v>
      </c>
      <c r="I371">
        <f t="shared" si="33"/>
        <v>289</v>
      </c>
      <c r="J371" s="7" t="s">
        <v>550</v>
      </c>
      <c r="K371" s="7"/>
      <c r="L371">
        <f t="shared" si="35"/>
        <v>247</v>
      </c>
      <c r="M371">
        <f t="shared" si="36"/>
        <v>144</v>
      </c>
      <c r="N371" s="7" t="s">
        <v>550</v>
      </c>
      <c r="O371" s="40">
        <v>1</v>
      </c>
      <c r="Y371">
        <f t="shared" si="34"/>
        <v>712</v>
      </c>
    </row>
    <row r="372" spans="1:25" x14ac:dyDescent="0.25">
      <c r="A372" s="7" t="s">
        <v>560</v>
      </c>
      <c r="B372" s="40">
        <v>30</v>
      </c>
      <c r="C372">
        <f t="shared" si="32"/>
        <v>683</v>
      </c>
      <c r="D372" s="7" t="s">
        <v>555</v>
      </c>
      <c r="E372">
        <f t="shared" si="31"/>
        <v>0</v>
      </c>
      <c r="G372" s="7" t="s">
        <v>551</v>
      </c>
      <c r="H372" s="40">
        <v>168</v>
      </c>
      <c r="I372">
        <f t="shared" si="33"/>
        <v>367</v>
      </c>
      <c r="J372" s="7" t="s">
        <v>551</v>
      </c>
      <c r="K372" s="7"/>
      <c r="L372">
        <f t="shared" si="35"/>
        <v>168</v>
      </c>
      <c r="M372">
        <f t="shared" si="36"/>
        <v>144</v>
      </c>
      <c r="N372" s="7" t="s">
        <v>551</v>
      </c>
      <c r="O372" s="40">
        <v>1</v>
      </c>
      <c r="Y372">
        <f t="shared" si="34"/>
        <v>712</v>
      </c>
    </row>
    <row r="373" spans="1:25" x14ac:dyDescent="0.25">
      <c r="A373" s="7" t="s">
        <v>561</v>
      </c>
      <c r="B373" s="40">
        <v>270</v>
      </c>
      <c r="C373">
        <f t="shared" si="32"/>
        <v>147</v>
      </c>
      <c r="D373" s="7" t="s">
        <v>556</v>
      </c>
      <c r="E373">
        <f t="shared" si="31"/>
        <v>200</v>
      </c>
      <c r="G373" s="7" t="s">
        <v>552</v>
      </c>
      <c r="H373" s="40">
        <v>240</v>
      </c>
      <c r="I373">
        <f t="shared" si="33"/>
        <v>299</v>
      </c>
      <c r="J373" s="7" t="s">
        <v>552</v>
      </c>
      <c r="K373" s="7"/>
      <c r="L373">
        <f t="shared" si="35"/>
        <v>240</v>
      </c>
      <c r="M373">
        <f t="shared" si="36"/>
        <v>28</v>
      </c>
      <c r="N373" s="7" t="s">
        <v>552</v>
      </c>
      <c r="O373" s="40">
        <v>2</v>
      </c>
      <c r="Y373">
        <f t="shared" si="34"/>
        <v>712</v>
      </c>
    </row>
    <row r="374" spans="1:25" x14ac:dyDescent="0.25">
      <c r="A374" s="7" t="s">
        <v>562</v>
      </c>
      <c r="B374" s="40">
        <v>15</v>
      </c>
      <c r="C374">
        <f t="shared" si="32"/>
        <v>225</v>
      </c>
      <c r="D374" s="7" t="s">
        <v>557</v>
      </c>
      <c r="E374">
        <f t="shared" si="31"/>
        <v>134</v>
      </c>
      <c r="G374" s="7" t="s">
        <v>553</v>
      </c>
      <c r="H374" s="40">
        <v>814</v>
      </c>
      <c r="I374">
        <f t="shared" si="33"/>
        <v>118</v>
      </c>
      <c r="J374" s="7" t="s">
        <v>553</v>
      </c>
      <c r="K374" s="7"/>
      <c r="L374">
        <f t="shared" si="35"/>
        <v>814</v>
      </c>
      <c r="M374">
        <f t="shared" si="36"/>
        <v>144</v>
      </c>
      <c r="N374" s="7" t="s">
        <v>553</v>
      </c>
      <c r="O374" s="40">
        <v>1</v>
      </c>
      <c r="Y374">
        <f t="shared" si="34"/>
        <v>712</v>
      </c>
    </row>
    <row r="375" spans="1:25" x14ac:dyDescent="0.25">
      <c r="A375" s="7" t="s">
        <v>563</v>
      </c>
      <c r="B375" s="40">
        <v>0</v>
      </c>
      <c r="C375">
        <f t="shared" si="32"/>
        <v>683</v>
      </c>
      <c r="D375" s="7" t="s">
        <v>558</v>
      </c>
      <c r="E375">
        <f t="shared" si="31"/>
        <v>0</v>
      </c>
      <c r="G375" s="7" t="s">
        <v>554</v>
      </c>
      <c r="H375" s="40">
        <v>23</v>
      </c>
      <c r="I375">
        <f t="shared" si="33"/>
        <v>640</v>
      </c>
      <c r="J375" s="7" t="s">
        <v>554</v>
      </c>
      <c r="K375" s="7"/>
      <c r="L375">
        <f t="shared" si="35"/>
        <v>23</v>
      </c>
      <c r="M375">
        <f t="shared" si="36"/>
        <v>144</v>
      </c>
      <c r="N375" s="7" t="s">
        <v>554</v>
      </c>
      <c r="O375" s="40">
        <v>1</v>
      </c>
      <c r="Y375">
        <f t="shared" si="34"/>
        <v>712</v>
      </c>
    </row>
    <row r="376" spans="1:25" x14ac:dyDescent="0.25">
      <c r="A376" s="7" t="s">
        <v>564</v>
      </c>
      <c r="B376" s="40">
        <v>50</v>
      </c>
      <c r="C376">
        <f t="shared" si="32"/>
        <v>672</v>
      </c>
      <c r="D376" s="7" t="s">
        <v>559</v>
      </c>
      <c r="E376">
        <f t="shared" si="31"/>
        <v>6</v>
      </c>
      <c r="G376" s="7" t="s">
        <v>555</v>
      </c>
      <c r="H376" s="40">
        <v>63</v>
      </c>
      <c r="I376">
        <f t="shared" si="33"/>
        <v>519</v>
      </c>
      <c r="J376" s="7" t="s">
        <v>555</v>
      </c>
      <c r="K376" s="7"/>
      <c r="L376">
        <f t="shared" si="35"/>
        <v>63</v>
      </c>
      <c r="M376">
        <f t="shared" si="36"/>
        <v>144</v>
      </c>
      <c r="N376" s="7" t="s">
        <v>555</v>
      </c>
      <c r="O376" s="40">
        <v>1</v>
      </c>
      <c r="Y376">
        <f t="shared" si="34"/>
        <v>712</v>
      </c>
    </row>
    <row r="377" spans="1:25" x14ac:dyDescent="0.25">
      <c r="A377" s="7" t="s">
        <v>565</v>
      </c>
      <c r="B377" s="40">
        <v>100</v>
      </c>
      <c r="C377">
        <f t="shared" si="32"/>
        <v>512</v>
      </c>
      <c r="D377" s="7" t="s">
        <v>560</v>
      </c>
      <c r="E377">
        <f t="shared" si="31"/>
        <v>30</v>
      </c>
      <c r="G377" s="7" t="s">
        <v>556</v>
      </c>
      <c r="H377" s="40">
        <v>0</v>
      </c>
      <c r="I377">
        <f t="shared" si="33"/>
        <v>754</v>
      </c>
      <c r="J377" s="7" t="s">
        <v>556</v>
      </c>
      <c r="K377" s="7"/>
      <c r="L377">
        <f t="shared" si="35"/>
        <v>0</v>
      </c>
      <c r="M377">
        <f t="shared" si="36"/>
        <v>144</v>
      </c>
      <c r="N377" s="7" t="s">
        <v>556</v>
      </c>
      <c r="O377" s="40">
        <v>1</v>
      </c>
      <c r="Y377">
        <f t="shared" si="34"/>
        <v>712</v>
      </c>
    </row>
    <row r="378" spans="1:25" x14ac:dyDescent="0.25">
      <c r="A378" s="7" t="s">
        <v>566</v>
      </c>
      <c r="B378" s="40">
        <v>0</v>
      </c>
      <c r="C378">
        <f t="shared" si="32"/>
        <v>113</v>
      </c>
      <c r="D378" s="7" t="s">
        <v>561</v>
      </c>
      <c r="E378">
        <f t="shared" si="31"/>
        <v>270</v>
      </c>
      <c r="G378" s="7" t="s">
        <v>557</v>
      </c>
      <c r="H378" s="40">
        <v>1214</v>
      </c>
      <c r="I378">
        <f t="shared" si="33"/>
        <v>82</v>
      </c>
      <c r="J378" s="7" t="s">
        <v>557</v>
      </c>
      <c r="K378" s="7"/>
      <c r="L378">
        <f t="shared" si="35"/>
        <v>1214</v>
      </c>
      <c r="M378">
        <f t="shared" si="36"/>
        <v>28</v>
      </c>
      <c r="N378" s="7" t="s">
        <v>557</v>
      </c>
      <c r="O378" s="40">
        <v>2</v>
      </c>
      <c r="Y378">
        <f t="shared" si="34"/>
        <v>712</v>
      </c>
    </row>
    <row r="379" spans="1:25" x14ac:dyDescent="0.25">
      <c r="A379" s="7" t="s">
        <v>567</v>
      </c>
      <c r="B379" s="40">
        <v>55</v>
      </c>
      <c r="C379">
        <f t="shared" si="32"/>
        <v>622</v>
      </c>
      <c r="D379" s="7" t="s">
        <v>562</v>
      </c>
      <c r="E379">
        <f t="shared" si="31"/>
        <v>15</v>
      </c>
      <c r="G379" s="7" t="s">
        <v>558</v>
      </c>
      <c r="H379" s="40">
        <v>0</v>
      </c>
      <c r="I379">
        <f t="shared" si="33"/>
        <v>754</v>
      </c>
      <c r="J379" s="7" t="s">
        <v>558</v>
      </c>
      <c r="K379" s="7"/>
      <c r="L379">
        <f t="shared" si="35"/>
        <v>0</v>
      </c>
      <c r="M379">
        <f t="shared" si="36"/>
        <v>144</v>
      </c>
      <c r="N379" s="7" t="s">
        <v>558</v>
      </c>
      <c r="O379" s="40">
        <v>1</v>
      </c>
      <c r="Y379">
        <f t="shared" si="34"/>
        <v>712</v>
      </c>
    </row>
    <row r="380" spans="1:25" x14ac:dyDescent="0.25">
      <c r="A380" s="7" t="s">
        <v>568</v>
      </c>
      <c r="B380" s="40">
        <v>0</v>
      </c>
      <c r="C380">
        <f t="shared" si="32"/>
        <v>683</v>
      </c>
      <c r="D380" s="7" t="s">
        <v>563</v>
      </c>
      <c r="E380">
        <f t="shared" si="31"/>
        <v>0</v>
      </c>
      <c r="G380" s="7" t="s">
        <v>559</v>
      </c>
      <c r="H380" s="40">
        <v>3</v>
      </c>
      <c r="I380">
        <f t="shared" si="33"/>
        <v>731</v>
      </c>
      <c r="J380" s="7" t="s">
        <v>559</v>
      </c>
      <c r="K380" s="7"/>
      <c r="L380">
        <f t="shared" si="35"/>
        <v>3</v>
      </c>
      <c r="M380">
        <f t="shared" si="36"/>
        <v>144</v>
      </c>
      <c r="N380" s="7" t="s">
        <v>559</v>
      </c>
      <c r="O380" s="40">
        <v>1</v>
      </c>
      <c r="Y380">
        <f t="shared" si="34"/>
        <v>712</v>
      </c>
    </row>
    <row r="381" spans="1:25" x14ac:dyDescent="0.25">
      <c r="A381" s="7" t="s">
        <v>569</v>
      </c>
      <c r="B381" s="40">
        <v>0</v>
      </c>
      <c r="C381">
        <f t="shared" si="32"/>
        <v>410</v>
      </c>
      <c r="D381" s="7" t="s">
        <v>564</v>
      </c>
      <c r="E381">
        <f t="shared" si="31"/>
        <v>50</v>
      </c>
      <c r="G381" s="7" t="s">
        <v>560</v>
      </c>
      <c r="H381" s="40">
        <v>103</v>
      </c>
      <c r="I381">
        <f t="shared" si="33"/>
        <v>442</v>
      </c>
      <c r="J381" s="7" t="s">
        <v>560</v>
      </c>
      <c r="K381" s="7"/>
      <c r="L381">
        <f t="shared" si="35"/>
        <v>103</v>
      </c>
      <c r="M381">
        <f t="shared" si="36"/>
        <v>144</v>
      </c>
      <c r="N381" s="7" t="s">
        <v>560</v>
      </c>
      <c r="O381" s="40">
        <v>1</v>
      </c>
      <c r="Y381">
        <f t="shared" si="34"/>
        <v>712</v>
      </c>
    </row>
    <row r="382" spans="1:25" x14ac:dyDescent="0.25">
      <c r="A382" s="7" t="s">
        <v>571</v>
      </c>
      <c r="B382" s="40">
        <v>669</v>
      </c>
      <c r="C382">
        <f t="shared" si="32"/>
        <v>254</v>
      </c>
      <c r="D382" s="7" t="s">
        <v>565</v>
      </c>
      <c r="E382">
        <f t="shared" si="31"/>
        <v>100</v>
      </c>
      <c r="G382" s="7" t="s">
        <v>561</v>
      </c>
      <c r="H382" s="40">
        <v>2430</v>
      </c>
      <c r="I382">
        <f t="shared" si="33"/>
        <v>41</v>
      </c>
      <c r="J382" s="7" t="s">
        <v>561</v>
      </c>
      <c r="K382" s="7"/>
      <c r="L382">
        <f t="shared" si="35"/>
        <v>2430</v>
      </c>
      <c r="M382">
        <f t="shared" si="36"/>
        <v>9</v>
      </c>
      <c r="N382" s="7" t="s">
        <v>561</v>
      </c>
      <c r="O382" s="40">
        <v>3</v>
      </c>
      <c r="Y382">
        <f t="shared" si="34"/>
        <v>712</v>
      </c>
    </row>
    <row r="383" spans="1:25" x14ac:dyDescent="0.25">
      <c r="A383" s="7" t="s">
        <v>572</v>
      </c>
      <c r="B383" s="40">
        <v>717</v>
      </c>
      <c r="C383">
        <f t="shared" si="32"/>
        <v>683</v>
      </c>
      <c r="D383" s="7" t="s">
        <v>566</v>
      </c>
      <c r="E383">
        <f t="shared" si="31"/>
        <v>0</v>
      </c>
      <c r="G383" s="7" t="s">
        <v>562</v>
      </c>
      <c r="H383" s="40">
        <v>190</v>
      </c>
      <c r="I383">
        <f t="shared" si="33"/>
        <v>342</v>
      </c>
      <c r="J383" s="7" t="s">
        <v>562</v>
      </c>
      <c r="K383" s="7"/>
      <c r="L383">
        <f t="shared" si="35"/>
        <v>190</v>
      </c>
      <c r="M383">
        <f t="shared" si="36"/>
        <v>144</v>
      </c>
      <c r="N383" s="7" t="s">
        <v>562</v>
      </c>
      <c r="O383" s="40">
        <v>1</v>
      </c>
      <c r="Y383">
        <f t="shared" si="34"/>
        <v>712</v>
      </c>
    </row>
    <row r="384" spans="1:25" x14ac:dyDescent="0.25">
      <c r="A384" s="7" t="s">
        <v>573</v>
      </c>
      <c r="B384" s="40">
        <v>120</v>
      </c>
      <c r="C384">
        <f t="shared" si="32"/>
        <v>402</v>
      </c>
      <c r="D384" s="7" t="s">
        <v>567</v>
      </c>
      <c r="E384">
        <f t="shared" si="31"/>
        <v>55</v>
      </c>
      <c r="G384" s="7" t="s">
        <v>563</v>
      </c>
      <c r="H384" s="40">
        <v>63</v>
      </c>
      <c r="I384">
        <f t="shared" si="33"/>
        <v>519</v>
      </c>
      <c r="J384" s="7" t="s">
        <v>563</v>
      </c>
      <c r="K384" s="7"/>
      <c r="L384">
        <f t="shared" si="35"/>
        <v>63</v>
      </c>
      <c r="M384">
        <f t="shared" si="36"/>
        <v>144</v>
      </c>
      <c r="N384" s="7" t="s">
        <v>563</v>
      </c>
      <c r="O384" s="40">
        <v>1</v>
      </c>
      <c r="Y384">
        <f t="shared" si="34"/>
        <v>712</v>
      </c>
    </row>
    <row r="385" spans="1:25" x14ac:dyDescent="0.25">
      <c r="A385" s="7" t="s">
        <v>574</v>
      </c>
      <c r="B385" s="40">
        <v>556</v>
      </c>
      <c r="C385">
        <f t="shared" si="32"/>
        <v>683</v>
      </c>
      <c r="D385" s="7" t="s">
        <v>568</v>
      </c>
      <c r="E385">
        <f t="shared" si="31"/>
        <v>0</v>
      </c>
      <c r="G385" s="7" t="s">
        <v>564</v>
      </c>
      <c r="H385" s="40">
        <v>0</v>
      </c>
      <c r="I385">
        <f t="shared" si="33"/>
        <v>754</v>
      </c>
      <c r="J385" s="7" t="s">
        <v>564</v>
      </c>
      <c r="K385" s="7"/>
      <c r="L385">
        <f t="shared" si="35"/>
        <v>0</v>
      </c>
      <c r="M385">
        <f t="shared" si="36"/>
        <v>144</v>
      </c>
      <c r="N385" s="7" t="s">
        <v>564</v>
      </c>
      <c r="O385" s="40">
        <v>1</v>
      </c>
      <c r="Y385">
        <f t="shared" si="34"/>
        <v>712</v>
      </c>
    </row>
    <row r="386" spans="1:25" x14ac:dyDescent="0.25">
      <c r="A386" s="7" t="s">
        <v>575</v>
      </c>
      <c r="B386" s="40">
        <v>6650</v>
      </c>
      <c r="C386">
        <f t="shared" si="32"/>
        <v>683</v>
      </c>
      <c r="D386" s="7" t="s">
        <v>569</v>
      </c>
      <c r="E386">
        <f t="shared" si="31"/>
        <v>0</v>
      </c>
      <c r="G386" s="7" t="s">
        <v>565</v>
      </c>
      <c r="H386" s="40">
        <v>390</v>
      </c>
      <c r="I386">
        <f t="shared" si="33"/>
        <v>211</v>
      </c>
      <c r="J386" s="7" t="s">
        <v>565</v>
      </c>
      <c r="K386" s="7"/>
      <c r="L386">
        <f t="shared" si="35"/>
        <v>390</v>
      </c>
      <c r="M386">
        <f t="shared" si="36"/>
        <v>144</v>
      </c>
      <c r="N386" s="7" t="s">
        <v>565</v>
      </c>
      <c r="O386" s="40">
        <v>1</v>
      </c>
      <c r="Y386">
        <f t="shared" si="34"/>
        <v>712</v>
      </c>
    </row>
    <row r="387" spans="1:25" x14ac:dyDescent="0.25">
      <c r="A387" s="7" t="s">
        <v>576</v>
      </c>
      <c r="B387" s="40">
        <v>27</v>
      </c>
      <c r="C387">
        <f t="shared" si="32"/>
        <v>51</v>
      </c>
      <c r="D387" s="7" t="s">
        <v>571</v>
      </c>
      <c r="E387">
        <f t="shared" si="31"/>
        <v>669</v>
      </c>
      <c r="G387" s="7" t="s">
        <v>566</v>
      </c>
      <c r="H387" s="40">
        <v>259</v>
      </c>
      <c r="I387">
        <f t="shared" si="33"/>
        <v>282</v>
      </c>
      <c r="J387" s="7" t="s">
        <v>566</v>
      </c>
      <c r="K387" s="7"/>
      <c r="L387">
        <f t="shared" si="35"/>
        <v>259</v>
      </c>
      <c r="M387">
        <f t="shared" si="36"/>
        <v>144</v>
      </c>
      <c r="N387" s="7" t="s">
        <v>566</v>
      </c>
      <c r="O387" s="40">
        <v>1</v>
      </c>
      <c r="Y387">
        <f t="shared" si="34"/>
        <v>712</v>
      </c>
    </row>
    <row r="388" spans="1:25" x14ac:dyDescent="0.25">
      <c r="A388" s="7" t="s">
        <v>577</v>
      </c>
      <c r="B388" s="40">
        <v>60</v>
      </c>
      <c r="C388">
        <f t="shared" si="32"/>
        <v>45</v>
      </c>
      <c r="D388" s="7" t="s">
        <v>572</v>
      </c>
      <c r="E388">
        <f t="shared" si="31"/>
        <v>717</v>
      </c>
      <c r="G388" s="7" t="s">
        <v>567</v>
      </c>
      <c r="H388" s="40">
        <v>0</v>
      </c>
      <c r="I388">
        <f t="shared" si="33"/>
        <v>754</v>
      </c>
      <c r="J388" s="7" t="s">
        <v>567</v>
      </c>
      <c r="K388" s="7"/>
      <c r="L388">
        <f t="shared" si="35"/>
        <v>0</v>
      </c>
      <c r="M388">
        <f t="shared" si="36"/>
        <v>144</v>
      </c>
      <c r="N388" s="7" t="s">
        <v>567</v>
      </c>
      <c r="O388" s="40">
        <v>1</v>
      </c>
      <c r="Y388">
        <f t="shared" si="34"/>
        <v>712</v>
      </c>
    </row>
    <row r="389" spans="1:25" x14ac:dyDescent="0.25">
      <c r="A389" s="7" t="s">
        <v>578</v>
      </c>
      <c r="B389" s="40">
        <v>12</v>
      </c>
      <c r="C389">
        <f t="shared" si="32"/>
        <v>238</v>
      </c>
      <c r="D389" s="7" t="s">
        <v>573</v>
      </c>
      <c r="E389">
        <f t="shared" si="31"/>
        <v>120</v>
      </c>
      <c r="G389" s="7" t="s">
        <v>568</v>
      </c>
      <c r="H389" s="40">
        <v>411</v>
      </c>
      <c r="I389">
        <f t="shared" si="33"/>
        <v>203</v>
      </c>
      <c r="J389" s="7" t="s">
        <v>568</v>
      </c>
      <c r="K389" s="7"/>
      <c r="L389">
        <f t="shared" si="35"/>
        <v>411</v>
      </c>
      <c r="M389">
        <f t="shared" si="36"/>
        <v>144</v>
      </c>
      <c r="N389" s="7" t="s">
        <v>568</v>
      </c>
      <c r="O389" s="40">
        <v>1</v>
      </c>
      <c r="Y389">
        <f t="shared" si="34"/>
        <v>712</v>
      </c>
    </row>
    <row r="390" spans="1:25" x14ac:dyDescent="0.25">
      <c r="A390" s="7" t="s">
        <v>580</v>
      </c>
      <c r="B390" s="40">
        <v>0</v>
      </c>
      <c r="C390">
        <f t="shared" si="32"/>
        <v>60</v>
      </c>
      <c r="D390" s="7" t="s">
        <v>574</v>
      </c>
      <c r="E390">
        <f t="shared" si="31"/>
        <v>556</v>
      </c>
      <c r="G390" s="7" t="s">
        <v>569</v>
      </c>
      <c r="H390" s="40">
        <v>254</v>
      </c>
      <c r="I390">
        <f t="shared" si="33"/>
        <v>286</v>
      </c>
      <c r="J390" s="7" t="s">
        <v>569</v>
      </c>
      <c r="K390" s="7"/>
      <c r="L390">
        <f t="shared" si="35"/>
        <v>254</v>
      </c>
      <c r="M390">
        <f t="shared" si="36"/>
        <v>144</v>
      </c>
      <c r="N390" s="7" t="s">
        <v>569</v>
      </c>
      <c r="O390" s="40">
        <v>1</v>
      </c>
      <c r="Y390">
        <f t="shared" si="34"/>
        <v>712</v>
      </c>
    </row>
    <row r="391" spans="1:25" x14ac:dyDescent="0.25">
      <c r="A391" s="7" t="s">
        <v>581</v>
      </c>
      <c r="B391" s="40">
        <v>0</v>
      </c>
      <c r="C391">
        <f t="shared" si="32"/>
        <v>4</v>
      </c>
      <c r="D391" s="7" t="s">
        <v>575</v>
      </c>
      <c r="E391">
        <f t="shared" si="31"/>
        <v>6650</v>
      </c>
      <c r="G391" s="7" t="s">
        <v>571</v>
      </c>
      <c r="H391" s="40">
        <v>80</v>
      </c>
      <c r="I391">
        <f t="shared" si="33"/>
        <v>486</v>
      </c>
      <c r="J391" s="7" t="s">
        <v>571</v>
      </c>
      <c r="K391" s="7"/>
      <c r="L391">
        <f t="shared" si="35"/>
        <v>80</v>
      </c>
      <c r="M391">
        <f t="shared" si="36"/>
        <v>144</v>
      </c>
      <c r="N391" s="7" t="s">
        <v>571</v>
      </c>
      <c r="O391" s="40">
        <v>1</v>
      </c>
      <c r="Y391">
        <f t="shared" si="34"/>
        <v>712</v>
      </c>
    </row>
    <row r="392" spans="1:25" x14ac:dyDescent="0.25">
      <c r="A392" s="7" t="s">
        <v>582</v>
      </c>
      <c r="B392" s="40">
        <v>5</v>
      </c>
      <c r="C392">
        <f t="shared" si="32"/>
        <v>546</v>
      </c>
      <c r="D392" s="7" t="s">
        <v>576</v>
      </c>
      <c r="E392">
        <f t="shared" si="31"/>
        <v>27</v>
      </c>
      <c r="G392" s="7" t="s">
        <v>572</v>
      </c>
      <c r="H392" s="40">
        <v>3200</v>
      </c>
      <c r="I392">
        <f t="shared" si="33"/>
        <v>31</v>
      </c>
      <c r="J392" s="7" t="s">
        <v>572</v>
      </c>
      <c r="K392" s="7"/>
      <c r="L392">
        <f t="shared" si="35"/>
        <v>3200</v>
      </c>
      <c r="M392">
        <f t="shared" si="36"/>
        <v>28</v>
      </c>
      <c r="N392" s="7" t="s">
        <v>572</v>
      </c>
      <c r="O392" s="40">
        <v>2</v>
      </c>
      <c r="Y392">
        <f t="shared" si="34"/>
        <v>712</v>
      </c>
    </row>
    <row r="393" spans="1:25" x14ac:dyDescent="0.25">
      <c r="A393" s="7" t="s">
        <v>584</v>
      </c>
      <c r="B393" s="40">
        <v>10</v>
      </c>
      <c r="C393">
        <f t="shared" si="32"/>
        <v>378</v>
      </c>
      <c r="D393" s="7" t="s">
        <v>577</v>
      </c>
      <c r="E393">
        <f t="shared" ref="E393:E456" si="37">VLOOKUP(D:D,A388:B1212,2,0)</f>
        <v>60</v>
      </c>
      <c r="G393" s="7" t="s">
        <v>573</v>
      </c>
      <c r="H393" s="40">
        <v>1700</v>
      </c>
      <c r="I393">
        <f t="shared" si="33"/>
        <v>61</v>
      </c>
      <c r="J393" s="7" t="s">
        <v>573</v>
      </c>
      <c r="K393" s="7"/>
      <c r="L393">
        <f t="shared" si="35"/>
        <v>1700</v>
      </c>
      <c r="M393">
        <f t="shared" si="36"/>
        <v>144</v>
      </c>
      <c r="N393" s="7" t="s">
        <v>573</v>
      </c>
      <c r="O393" s="40">
        <v>1</v>
      </c>
      <c r="Y393">
        <f t="shared" si="34"/>
        <v>712</v>
      </c>
    </row>
    <row r="394" spans="1:25" x14ac:dyDescent="0.25">
      <c r="A394" s="7" t="s">
        <v>586</v>
      </c>
      <c r="B394" s="40">
        <v>0</v>
      </c>
      <c r="C394">
        <f t="shared" ref="C394:C457" si="38">RANK(E:E,E:E)</f>
        <v>640</v>
      </c>
      <c r="D394" s="7" t="s">
        <v>578</v>
      </c>
      <c r="E394">
        <f t="shared" si="37"/>
        <v>12</v>
      </c>
      <c r="G394" s="7" t="s">
        <v>574</v>
      </c>
      <c r="H394" s="40">
        <v>26500</v>
      </c>
      <c r="I394">
        <f t="shared" si="33"/>
        <v>3</v>
      </c>
      <c r="J394" s="7" t="s">
        <v>574</v>
      </c>
      <c r="K394" s="7"/>
      <c r="L394">
        <f t="shared" si="35"/>
        <v>26500</v>
      </c>
      <c r="M394">
        <f t="shared" si="36"/>
        <v>9</v>
      </c>
      <c r="N394" s="7" t="s">
        <v>574</v>
      </c>
      <c r="O394" s="40">
        <v>3</v>
      </c>
      <c r="Y394">
        <f t="shared" si="34"/>
        <v>712</v>
      </c>
    </row>
    <row r="395" spans="1:25" x14ac:dyDescent="0.25">
      <c r="A395" s="7" t="s">
        <v>587</v>
      </c>
      <c r="B395" s="40">
        <v>200</v>
      </c>
      <c r="C395">
        <f t="shared" si="38"/>
        <v>683</v>
      </c>
      <c r="D395" s="7" t="s">
        <v>580</v>
      </c>
      <c r="E395">
        <f t="shared" si="37"/>
        <v>0</v>
      </c>
      <c r="G395" s="7" t="s">
        <v>575</v>
      </c>
      <c r="H395" s="40">
        <v>0</v>
      </c>
      <c r="I395">
        <f t="shared" si="33"/>
        <v>754</v>
      </c>
      <c r="J395" s="7" t="s">
        <v>575</v>
      </c>
      <c r="K395" s="7"/>
      <c r="L395">
        <f t="shared" si="35"/>
        <v>0</v>
      </c>
      <c r="M395">
        <f t="shared" si="36"/>
        <v>144</v>
      </c>
      <c r="N395" s="7" t="s">
        <v>575</v>
      </c>
      <c r="O395" s="40">
        <v>1</v>
      </c>
      <c r="Y395">
        <f t="shared" si="34"/>
        <v>712</v>
      </c>
    </row>
    <row r="396" spans="1:25" x14ac:dyDescent="0.25">
      <c r="A396" s="7" t="s">
        <v>588</v>
      </c>
      <c r="B396" s="40">
        <v>75</v>
      </c>
      <c r="C396">
        <f t="shared" si="38"/>
        <v>683</v>
      </c>
      <c r="D396" s="7" t="s">
        <v>581</v>
      </c>
      <c r="E396">
        <f t="shared" si="37"/>
        <v>0</v>
      </c>
      <c r="G396" s="7" t="s">
        <v>576</v>
      </c>
      <c r="H396" s="40">
        <v>143</v>
      </c>
      <c r="I396">
        <f t="shared" si="33"/>
        <v>394</v>
      </c>
      <c r="J396" s="7" t="s">
        <v>576</v>
      </c>
      <c r="K396" s="7"/>
      <c r="L396">
        <f t="shared" si="35"/>
        <v>143</v>
      </c>
      <c r="M396">
        <f t="shared" si="36"/>
        <v>144</v>
      </c>
      <c r="N396" s="7" t="s">
        <v>576</v>
      </c>
      <c r="O396" s="40">
        <v>1</v>
      </c>
      <c r="Y396">
        <f t="shared" si="34"/>
        <v>712</v>
      </c>
    </row>
    <row r="397" spans="1:25" x14ac:dyDescent="0.25">
      <c r="A397" s="7" t="s">
        <v>589</v>
      </c>
      <c r="B397" s="40">
        <v>0</v>
      </c>
      <c r="C397">
        <f t="shared" si="38"/>
        <v>676</v>
      </c>
      <c r="D397" s="7" t="s">
        <v>582</v>
      </c>
      <c r="E397">
        <f t="shared" si="37"/>
        <v>5</v>
      </c>
      <c r="G397" s="7" t="s">
        <v>577</v>
      </c>
      <c r="H397" s="40">
        <v>106</v>
      </c>
      <c r="I397">
        <f t="shared" ref="I397:I460" si="39">RANK(L:L,L:L)</f>
        <v>440</v>
      </c>
      <c r="J397" s="7" t="s">
        <v>577</v>
      </c>
      <c r="K397" s="7"/>
      <c r="L397">
        <f t="shared" si="35"/>
        <v>106</v>
      </c>
      <c r="M397">
        <f t="shared" si="36"/>
        <v>144</v>
      </c>
      <c r="N397" s="7" t="s">
        <v>577</v>
      </c>
      <c r="O397" s="40">
        <v>1</v>
      </c>
      <c r="Y397">
        <f t="shared" ref="Y397:Y460" si="40">RANK(AA:AA,AA:AA)</f>
        <v>712</v>
      </c>
    </row>
    <row r="398" spans="1:25" x14ac:dyDescent="0.25">
      <c r="A398" s="7" t="s">
        <v>590</v>
      </c>
      <c r="B398" s="40">
        <v>57</v>
      </c>
      <c r="C398">
        <f t="shared" si="38"/>
        <v>653</v>
      </c>
      <c r="D398" s="7" t="s">
        <v>584</v>
      </c>
      <c r="E398">
        <f t="shared" si="37"/>
        <v>10</v>
      </c>
      <c r="G398" s="7" t="s">
        <v>578</v>
      </c>
      <c r="H398" s="40">
        <v>58</v>
      </c>
      <c r="I398">
        <f t="shared" si="39"/>
        <v>533</v>
      </c>
      <c r="J398" s="7" t="s">
        <v>578</v>
      </c>
      <c r="K398" s="7"/>
      <c r="L398">
        <f t="shared" ref="L398:L461" si="41">VLOOKUP(G398,G397:H1220,2,0)</f>
        <v>58</v>
      </c>
      <c r="M398">
        <f t="shared" ref="M398:M461" si="42">RANK(O:O,O:O)</f>
        <v>144</v>
      </c>
      <c r="N398" s="7" t="s">
        <v>578</v>
      </c>
      <c r="O398" s="40">
        <v>1</v>
      </c>
      <c r="Y398">
        <f t="shared" si="40"/>
        <v>712</v>
      </c>
    </row>
    <row r="399" spans="1:25" x14ac:dyDescent="0.25">
      <c r="A399" s="7" t="s">
        <v>591</v>
      </c>
      <c r="B399" s="40">
        <v>40</v>
      </c>
      <c r="C399">
        <f t="shared" si="38"/>
        <v>683</v>
      </c>
      <c r="D399" s="7" t="s">
        <v>586</v>
      </c>
      <c r="E399">
        <f t="shared" si="37"/>
        <v>0</v>
      </c>
      <c r="G399" s="7" t="s">
        <v>580</v>
      </c>
      <c r="H399" s="40">
        <v>811</v>
      </c>
      <c r="I399">
        <f t="shared" si="39"/>
        <v>119</v>
      </c>
      <c r="J399" s="7" t="s">
        <v>580</v>
      </c>
      <c r="K399" s="7"/>
      <c r="L399">
        <f t="shared" si="41"/>
        <v>811</v>
      </c>
      <c r="M399">
        <f t="shared" si="42"/>
        <v>144</v>
      </c>
      <c r="N399" s="7" t="s">
        <v>580</v>
      </c>
      <c r="O399" s="40">
        <v>1</v>
      </c>
      <c r="Y399">
        <f t="shared" si="40"/>
        <v>712</v>
      </c>
    </row>
    <row r="400" spans="1:25" x14ac:dyDescent="0.25">
      <c r="A400" s="7" t="s">
        <v>592</v>
      </c>
      <c r="B400" s="40">
        <v>62</v>
      </c>
      <c r="C400">
        <f t="shared" si="38"/>
        <v>147</v>
      </c>
      <c r="D400" s="7" t="s">
        <v>587</v>
      </c>
      <c r="E400">
        <f t="shared" si="37"/>
        <v>200</v>
      </c>
      <c r="G400" s="7" t="s">
        <v>581</v>
      </c>
      <c r="H400" s="40">
        <v>481</v>
      </c>
      <c r="I400">
        <f t="shared" si="39"/>
        <v>184</v>
      </c>
      <c r="J400" s="7" t="s">
        <v>581</v>
      </c>
      <c r="K400" s="7"/>
      <c r="L400">
        <f t="shared" si="41"/>
        <v>481</v>
      </c>
      <c r="M400">
        <f t="shared" si="42"/>
        <v>144</v>
      </c>
      <c r="N400" s="7" t="s">
        <v>581</v>
      </c>
      <c r="O400" s="40">
        <v>1</v>
      </c>
      <c r="Y400">
        <f t="shared" si="40"/>
        <v>712</v>
      </c>
    </row>
    <row r="401" spans="1:25" x14ac:dyDescent="0.25">
      <c r="A401" s="7" t="s">
        <v>594</v>
      </c>
      <c r="B401" s="40">
        <v>190</v>
      </c>
      <c r="C401">
        <f t="shared" si="38"/>
        <v>341</v>
      </c>
      <c r="D401" s="7" t="s">
        <v>588</v>
      </c>
      <c r="E401">
        <f t="shared" si="37"/>
        <v>75</v>
      </c>
      <c r="G401" s="7" t="s">
        <v>582</v>
      </c>
      <c r="H401" s="40">
        <v>26</v>
      </c>
      <c r="I401">
        <f t="shared" si="39"/>
        <v>624</v>
      </c>
      <c r="J401" s="7" t="s">
        <v>582</v>
      </c>
      <c r="K401" s="7"/>
      <c r="L401">
        <f t="shared" si="41"/>
        <v>26</v>
      </c>
      <c r="M401">
        <f t="shared" si="42"/>
        <v>144</v>
      </c>
      <c r="N401" s="7" t="s">
        <v>582</v>
      </c>
      <c r="O401" s="40">
        <v>1</v>
      </c>
      <c r="Y401">
        <f t="shared" si="40"/>
        <v>712</v>
      </c>
    </row>
    <row r="402" spans="1:25" x14ac:dyDescent="0.25">
      <c r="A402" s="7" t="s">
        <v>595</v>
      </c>
      <c r="B402" s="40">
        <v>8</v>
      </c>
      <c r="C402">
        <f t="shared" si="38"/>
        <v>683</v>
      </c>
      <c r="D402" s="7" t="s">
        <v>589</v>
      </c>
      <c r="E402">
        <f t="shared" si="37"/>
        <v>0</v>
      </c>
      <c r="G402" s="7" t="s">
        <v>584</v>
      </c>
      <c r="H402" s="40">
        <v>0</v>
      </c>
      <c r="I402">
        <f t="shared" si="39"/>
        <v>754</v>
      </c>
      <c r="J402" s="7" t="s">
        <v>584</v>
      </c>
      <c r="K402" s="7"/>
      <c r="L402">
        <f t="shared" si="41"/>
        <v>0</v>
      </c>
      <c r="M402">
        <f t="shared" si="42"/>
        <v>144</v>
      </c>
      <c r="N402" s="7" t="s">
        <v>584</v>
      </c>
      <c r="O402" s="40">
        <v>1</v>
      </c>
      <c r="Y402">
        <f t="shared" si="40"/>
        <v>712</v>
      </c>
    </row>
    <row r="403" spans="1:25" x14ac:dyDescent="0.25">
      <c r="A403" s="7" t="s">
        <v>596</v>
      </c>
      <c r="B403" s="40">
        <v>1351</v>
      </c>
      <c r="C403">
        <f t="shared" si="38"/>
        <v>400</v>
      </c>
      <c r="D403" s="7" t="s">
        <v>590</v>
      </c>
      <c r="E403">
        <f t="shared" si="37"/>
        <v>57</v>
      </c>
      <c r="G403" s="7" t="s">
        <v>586</v>
      </c>
      <c r="H403" s="40">
        <v>0</v>
      </c>
      <c r="I403">
        <f t="shared" si="39"/>
        <v>754</v>
      </c>
      <c r="J403" s="7" t="s">
        <v>586</v>
      </c>
      <c r="K403" s="7"/>
      <c r="L403">
        <f t="shared" si="41"/>
        <v>0</v>
      </c>
      <c r="M403">
        <f t="shared" si="42"/>
        <v>144</v>
      </c>
      <c r="N403" s="7" t="s">
        <v>586</v>
      </c>
      <c r="O403" s="40">
        <v>1</v>
      </c>
      <c r="Y403">
        <f t="shared" si="40"/>
        <v>712</v>
      </c>
    </row>
    <row r="404" spans="1:25" x14ac:dyDescent="0.25">
      <c r="A404" s="7" t="s">
        <v>597</v>
      </c>
      <c r="B404" s="40">
        <v>1075</v>
      </c>
      <c r="C404">
        <f t="shared" si="38"/>
        <v>454</v>
      </c>
      <c r="D404" s="7" t="s">
        <v>591</v>
      </c>
      <c r="E404">
        <f t="shared" si="37"/>
        <v>40</v>
      </c>
      <c r="G404" s="7" t="s">
        <v>587</v>
      </c>
      <c r="H404" s="40">
        <v>491</v>
      </c>
      <c r="I404">
        <f t="shared" si="39"/>
        <v>178</v>
      </c>
      <c r="J404" s="7" t="s">
        <v>587</v>
      </c>
      <c r="K404" s="7"/>
      <c r="L404">
        <f t="shared" si="41"/>
        <v>491</v>
      </c>
      <c r="M404">
        <f t="shared" si="42"/>
        <v>144</v>
      </c>
      <c r="N404" s="7" t="s">
        <v>587</v>
      </c>
      <c r="O404" s="40">
        <v>1</v>
      </c>
      <c r="Y404">
        <f t="shared" si="40"/>
        <v>712</v>
      </c>
    </row>
    <row r="405" spans="1:25" x14ac:dyDescent="0.25">
      <c r="A405" s="7" t="s">
        <v>598</v>
      </c>
      <c r="B405" s="40">
        <v>150</v>
      </c>
      <c r="C405">
        <f t="shared" si="38"/>
        <v>374</v>
      </c>
      <c r="D405" s="7" t="s">
        <v>592</v>
      </c>
      <c r="E405">
        <f t="shared" si="37"/>
        <v>62</v>
      </c>
      <c r="G405" s="7" t="s">
        <v>588</v>
      </c>
      <c r="H405" s="40">
        <v>133</v>
      </c>
      <c r="I405">
        <f t="shared" si="39"/>
        <v>403</v>
      </c>
      <c r="J405" s="7" t="s">
        <v>588</v>
      </c>
      <c r="K405" s="7"/>
      <c r="L405">
        <f t="shared" si="41"/>
        <v>133</v>
      </c>
      <c r="M405">
        <f t="shared" si="42"/>
        <v>144</v>
      </c>
      <c r="N405" s="7" t="s">
        <v>588</v>
      </c>
      <c r="O405" s="40">
        <v>1</v>
      </c>
      <c r="Y405">
        <f t="shared" si="40"/>
        <v>712</v>
      </c>
    </row>
    <row r="406" spans="1:25" x14ac:dyDescent="0.25">
      <c r="A406" s="7" t="s">
        <v>599</v>
      </c>
      <c r="B406" s="40">
        <v>0</v>
      </c>
      <c r="C406">
        <f t="shared" si="38"/>
        <v>165</v>
      </c>
      <c r="D406" s="7" t="s">
        <v>594</v>
      </c>
      <c r="E406">
        <f t="shared" si="37"/>
        <v>190</v>
      </c>
      <c r="G406" s="7" t="s">
        <v>589</v>
      </c>
      <c r="H406" s="40">
        <v>18</v>
      </c>
      <c r="I406">
        <f t="shared" si="39"/>
        <v>661</v>
      </c>
      <c r="J406" s="7" t="s">
        <v>589</v>
      </c>
      <c r="K406" s="7"/>
      <c r="L406">
        <f t="shared" si="41"/>
        <v>18</v>
      </c>
      <c r="M406">
        <f t="shared" si="42"/>
        <v>144</v>
      </c>
      <c r="N406" s="7" t="s">
        <v>589</v>
      </c>
      <c r="O406" s="40">
        <v>1</v>
      </c>
      <c r="Y406">
        <f t="shared" si="40"/>
        <v>712</v>
      </c>
    </row>
    <row r="407" spans="1:25" x14ac:dyDescent="0.25">
      <c r="A407" s="7" t="s">
        <v>600</v>
      </c>
      <c r="B407" s="40">
        <v>0</v>
      </c>
      <c r="C407">
        <f t="shared" si="38"/>
        <v>666</v>
      </c>
      <c r="D407" s="7" t="s">
        <v>595</v>
      </c>
      <c r="E407">
        <f t="shared" si="37"/>
        <v>8</v>
      </c>
      <c r="G407" s="7" t="s">
        <v>590</v>
      </c>
      <c r="H407" s="40">
        <v>88</v>
      </c>
      <c r="I407">
        <f t="shared" si="39"/>
        <v>473</v>
      </c>
      <c r="J407" s="7" t="s">
        <v>590</v>
      </c>
      <c r="K407" s="7"/>
      <c r="L407">
        <f t="shared" si="41"/>
        <v>88</v>
      </c>
      <c r="M407">
        <f t="shared" si="42"/>
        <v>144</v>
      </c>
      <c r="N407" s="7" t="s">
        <v>590</v>
      </c>
      <c r="O407" s="40">
        <v>1</v>
      </c>
      <c r="Y407">
        <f t="shared" si="40"/>
        <v>712</v>
      </c>
    </row>
    <row r="408" spans="1:25" x14ac:dyDescent="0.25">
      <c r="A408" s="7" t="s">
        <v>601</v>
      </c>
      <c r="B408" s="40">
        <v>90</v>
      </c>
      <c r="C408">
        <f t="shared" si="38"/>
        <v>20</v>
      </c>
      <c r="D408" s="7" t="s">
        <v>596</v>
      </c>
      <c r="E408">
        <f t="shared" si="37"/>
        <v>1351</v>
      </c>
      <c r="G408" s="7" t="s">
        <v>591</v>
      </c>
      <c r="H408" s="40">
        <v>360</v>
      </c>
      <c r="I408">
        <f t="shared" si="39"/>
        <v>222</v>
      </c>
      <c r="J408" s="7" t="s">
        <v>591</v>
      </c>
      <c r="K408" s="7"/>
      <c r="L408">
        <f t="shared" si="41"/>
        <v>360</v>
      </c>
      <c r="M408">
        <f t="shared" si="42"/>
        <v>28</v>
      </c>
      <c r="N408" s="7" t="s">
        <v>591</v>
      </c>
      <c r="O408" s="40">
        <v>2</v>
      </c>
      <c r="Y408">
        <f t="shared" si="40"/>
        <v>712</v>
      </c>
    </row>
    <row r="409" spans="1:25" x14ac:dyDescent="0.25">
      <c r="A409" s="7" t="s">
        <v>602</v>
      </c>
      <c r="B409" s="40">
        <v>12</v>
      </c>
      <c r="C409">
        <f t="shared" si="38"/>
        <v>29</v>
      </c>
      <c r="D409" s="7" t="s">
        <v>597</v>
      </c>
      <c r="E409">
        <f t="shared" si="37"/>
        <v>1075</v>
      </c>
      <c r="G409" s="7" t="s">
        <v>592</v>
      </c>
      <c r="H409" s="40">
        <v>0</v>
      </c>
      <c r="I409">
        <f t="shared" si="39"/>
        <v>754</v>
      </c>
      <c r="J409" s="7" t="s">
        <v>592</v>
      </c>
      <c r="K409" s="7"/>
      <c r="L409">
        <f t="shared" si="41"/>
        <v>0</v>
      </c>
      <c r="M409">
        <f t="shared" si="42"/>
        <v>144</v>
      </c>
      <c r="N409" s="7" t="s">
        <v>592</v>
      </c>
      <c r="O409" s="40">
        <v>1</v>
      </c>
      <c r="Y409">
        <f t="shared" si="40"/>
        <v>712</v>
      </c>
    </row>
    <row r="410" spans="1:25" x14ac:dyDescent="0.25">
      <c r="A410" s="7" t="s">
        <v>603</v>
      </c>
      <c r="B410" s="40">
        <v>1250</v>
      </c>
      <c r="C410">
        <f t="shared" si="38"/>
        <v>193</v>
      </c>
      <c r="D410" s="7" t="s">
        <v>598</v>
      </c>
      <c r="E410">
        <f t="shared" si="37"/>
        <v>150</v>
      </c>
      <c r="G410" s="7" t="s">
        <v>594</v>
      </c>
      <c r="H410" s="40">
        <v>280</v>
      </c>
      <c r="I410">
        <f t="shared" si="39"/>
        <v>269</v>
      </c>
      <c r="J410" s="7" t="s">
        <v>594</v>
      </c>
      <c r="K410" s="7"/>
      <c r="L410">
        <f t="shared" si="41"/>
        <v>280</v>
      </c>
      <c r="M410">
        <f t="shared" si="42"/>
        <v>144</v>
      </c>
      <c r="N410" s="7" t="s">
        <v>594</v>
      </c>
      <c r="O410" s="40">
        <v>1</v>
      </c>
      <c r="Y410">
        <f t="shared" si="40"/>
        <v>712</v>
      </c>
    </row>
    <row r="411" spans="1:25" x14ac:dyDescent="0.25">
      <c r="A411" s="7" t="s">
        <v>604</v>
      </c>
      <c r="B411" s="40">
        <v>10</v>
      </c>
      <c r="C411">
        <f t="shared" si="38"/>
        <v>683</v>
      </c>
      <c r="D411" s="7" t="s">
        <v>599</v>
      </c>
      <c r="E411">
        <f t="shared" si="37"/>
        <v>0</v>
      </c>
      <c r="G411" s="7" t="s">
        <v>595</v>
      </c>
      <c r="H411" s="40">
        <v>16</v>
      </c>
      <c r="I411">
        <f t="shared" si="39"/>
        <v>671</v>
      </c>
      <c r="J411" s="7" t="s">
        <v>595</v>
      </c>
      <c r="K411" s="7"/>
      <c r="L411">
        <f t="shared" si="41"/>
        <v>16</v>
      </c>
      <c r="M411">
        <f t="shared" si="42"/>
        <v>144</v>
      </c>
      <c r="N411" s="7" t="s">
        <v>595</v>
      </c>
      <c r="O411" s="40">
        <v>1</v>
      </c>
      <c r="Y411">
        <f t="shared" si="40"/>
        <v>712</v>
      </c>
    </row>
    <row r="412" spans="1:25" x14ac:dyDescent="0.25">
      <c r="A412" s="7" t="s">
        <v>605</v>
      </c>
      <c r="B412" s="40">
        <v>23</v>
      </c>
      <c r="C412">
        <f t="shared" si="38"/>
        <v>683</v>
      </c>
      <c r="D412" s="7" t="s">
        <v>600</v>
      </c>
      <c r="E412">
        <f t="shared" si="37"/>
        <v>0</v>
      </c>
      <c r="G412" s="7" t="s">
        <v>596</v>
      </c>
      <c r="H412" s="40">
        <v>1072</v>
      </c>
      <c r="I412">
        <f t="shared" si="39"/>
        <v>95</v>
      </c>
      <c r="J412" s="7" t="s">
        <v>596</v>
      </c>
      <c r="K412" s="7"/>
      <c r="L412">
        <f t="shared" si="41"/>
        <v>1072</v>
      </c>
      <c r="M412">
        <f t="shared" si="42"/>
        <v>28</v>
      </c>
      <c r="N412" s="7" t="s">
        <v>596</v>
      </c>
      <c r="O412" s="40">
        <v>2</v>
      </c>
      <c r="Y412">
        <f t="shared" si="40"/>
        <v>712</v>
      </c>
    </row>
    <row r="413" spans="1:25" x14ac:dyDescent="0.25">
      <c r="A413" s="7" t="s">
        <v>606</v>
      </c>
      <c r="B413" s="40">
        <v>140</v>
      </c>
      <c r="C413">
        <f t="shared" si="38"/>
        <v>298</v>
      </c>
      <c r="D413" s="7" t="s">
        <v>601</v>
      </c>
      <c r="E413">
        <f t="shared" si="37"/>
        <v>90</v>
      </c>
      <c r="G413" s="7" t="s">
        <v>597</v>
      </c>
      <c r="H413" s="40">
        <v>2037</v>
      </c>
      <c r="I413">
        <f t="shared" si="39"/>
        <v>50</v>
      </c>
      <c r="J413" s="7" t="s">
        <v>597</v>
      </c>
      <c r="K413" s="7"/>
      <c r="L413">
        <f t="shared" si="41"/>
        <v>2037</v>
      </c>
      <c r="M413">
        <f t="shared" si="42"/>
        <v>9</v>
      </c>
      <c r="N413" s="7" t="s">
        <v>597</v>
      </c>
      <c r="O413" s="40">
        <v>3</v>
      </c>
      <c r="Y413">
        <f t="shared" si="40"/>
        <v>712</v>
      </c>
    </row>
    <row r="414" spans="1:25" x14ac:dyDescent="0.25">
      <c r="A414" s="7" t="s">
        <v>607</v>
      </c>
      <c r="B414" s="40">
        <v>59</v>
      </c>
      <c r="C414">
        <f t="shared" si="38"/>
        <v>640</v>
      </c>
      <c r="D414" s="7" t="s">
        <v>602</v>
      </c>
      <c r="E414">
        <f t="shared" si="37"/>
        <v>12</v>
      </c>
      <c r="G414" s="7" t="s">
        <v>598</v>
      </c>
      <c r="H414" s="40">
        <v>130</v>
      </c>
      <c r="I414">
        <f t="shared" si="39"/>
        <v>408</v>
      </c>
      <c r="J414" s="7" t="s">
        <v>598</v>
      </c>
      <c r="K414" s="7"/>
      <c r="L414">
        <f t="shared" si="41"/>
        <v>130</v>
      </c>
      <c r="M414">
        <f t="shared" si="42"/>
        <v>144</v>
      </c>
      <c r="N414" s="7" t="s">
        <v>598</v>
      </c>
      <c r="O414" s="40">
        <v>1</v>
      </c>
      <c r="Y414">
        <f t="shared" si="40"/>
        <v>712</v>
      </c>
    </row>
    <row r="415" spans="1:25" x14ac:dyDescent="0.25">
      <c r="A415" s="7" t="s">
        <v>608</v>
      </c>
      <c r="B415" s="40">
        <v>20</v>
      </c>
      <c r="C415">
        <f t="shared" si="38"/>
        <v>25</v>
      </c>
      <c r="D415" s="7" t="s">
        <v>603</v>
      </c>
      <c r="E415">
        <f t="shared" si="37"/>
        <v>1250</v>
      </c>
      <c r="G415" s="7" t="s">
        <v>599</v>
      </c>
      <c r="H415" s="40">
        <v>223</v>
      </c>
      <c r="I415">
        <f t="shared" si="39"/>
        <v>314</v>
      </c>
      <c r="J415" s="7" t="s">
        <v>599</v>
      </c>
      <c r="K415" s="7"/>
      <c r="L415">
        <f t="shared" si="41"/>
        <v>223</v>
      </c>
      <c r="M415">
        <f t="shared" si="42"/>
        <v>144</v>
      </c>
      <c r="N415" s="7" t="s">
        <v>599</v>
      </c>
      <c r="O415" s="40">
        <v>1</v>
      </c>
      <c r="Y415">
        <f t="shared" si="40"/>
        <v>712</v>
      </c>
    </row>
    <row r="416" spans="1:25" x14ac:dyDescent="0.25">
      <c r="A416" s="7" t="s">
        <v>609</v>
      </c>
      <c r="B416" s="40">
        <v>0</v>
      </c>
      <c r="C416">
        <f t="shared" si="38"/>
        <v>653</v>
      </c>
      <c r="D416" s="7" t="s">
        <v>604</v>
      </c>
      <c r="E416">
        <f t="shared" si="37"/>
        <v>10</v>
      </c>
      <c r="G416" s="7" t="s">
        <v>600</v>
      </c>
      <c r="H416" s="40">
        <v>232</v>
      </c>
      <c r="I416">
        <f t="shared" si="39"/>
        <v>306</v>
      </c>
      <c r="J416" s="7" t="s">
        <v>600</v>
      </c>
      <c r="K416" s="7"/>
      <c r="L416">
        <f t="shared" si="41"/>
        <v>232</v>
      </c>
      <c r="M416">
        <f t="shared" si="42"/>
        <v>28</v>
      </c>
      <c r="N416" s="7" t="s">
        <v>600</v>
      </c>
      <c r="O416" s="40">
        <v>2</v>
      </c>
      <c r="Y416">
        <f t="shared" si="40"/>
        <v>712</v>
      </c>
    </row>
    <row r="417" spans="1:25" x14ac:dyDescent="0.25">
      <c r="A417" s="7" t="s">
        <v>611</v>
      </c>
      <c r="B417" s="40">
        <v>24</v>
      </c>
      <c r="C417">
        <f t="shared" si="38"/>
        <v>570</v>
      </c>
      <c r="D417" s="7" t="s">
        <v>605</v>
      </c>
      <c r="E417">
        <f t="shared" si="37"/>
        <v>23</v>
      </c>
      <c r="G417" s="7" t="s">
        <v>601</v>
      </c>
      <c r="H417" s="40">
        <v>689</v>
      </c>
      <c r="I417">
        <f t="shared" si="39"/>
        <v>141</v>
      </c>
      <c r="J417" s="7" t="s">
        <v>601</v>
      </c>
      <c r="K417" s="7"/>
      <c r="L417">
        <f t="shared" si="41"/>
        <v>689</v>
      </c>
      <c r="M417">
        <f t="shared" si="42"/>
        <v>144</v>
      </c>
      <c r="N417" s="7" t="s">
        <v>601</v>
      </c>
      <c r="O417" s="40">
        <v>1</v>
      </c>
      <c r="Y417">
        <f t="shared" si="40"/>
        <v>712</v>
      </c>
    </row>
    <row r="418" spans="1:25" x14ac:dyDescent="0.25">
      <c r="A418" s="7" t="s">
        <v>612</v>
      </c>
      <c r="B418" s="40">
        <v>315</v>
      </c>
      <c r="C418">
        <f t="shared" si="38"/>
        <v>212</v>
      </c>
      <c r="D418" s="7" t="s">
        <v>606</v>
      </c>
      <c r="E418">
        <f t="shared" si="37"/>
        <v>140</v>
      </c>
      <c r="G418" s="7" t="s">
        <v>602</v>
      </c>
      <c r="H418" s="40">
        <v>102</v>
      </c>
      <c r="I418">
        <f t="shared" si="39"/>
        <v>444</v>
      </c>
      <c r="J418" s="7" t="s">
        <v>602</v>
      </c>
      <c r="K418" s="7"/>
      <c r="L418">
        <f t="shared" si="41"/>
        <v>102</v>
      </c>
      <c r="M418">
        <f t="shared" si="42"/>
        <v>144</v>
      </c>
      <c r="N418" s="7" t="s">
        <v>602</v>
      </c>
      <c r="O418" s="40">
        <v>1</v>
      </c>
      <c r="Y418">
        <f t="shared" si="40"/>
        <v>712</v>
      </c>
    </row>
    <row r="419" spans="1:25" x14ac:dyDescent="0.25">
      <c r="A419" s="7" t="s">
        <v>613</v>
      </c>
      <c r="B419" s="40">
        <v>12</v>
      </c>
      <c r="C419">
        <f t="shared" si="38"/>
        <v>393</v>
      </c>
      <c r="D419" s="7" t="s">
        <v>607</v>
      </c>
      <c r="E419">
        <f t="shared" si="37"/>
        <v>59</v>
      </c>
      <c r="G419" s="7" t="s">
        <v>603</v>
      </c>
      <c r="H419" s="40">
        <v>2500</v>
      </c>
      <c r="I419">
        <f t="shared" si="39"/>
        <v>40</v>
      </c>
      <c r="J419" s="7" t="s">
        <v>603</v>
      </c>
      <c r="K419" s="7"/>
      <c r="L419">
        <f t="shared" si="41"/>
        <v>2500</v>
      </c>
      <c r="M419">
        <f t="shared" si="42"/>
        <v>144</v>
      </c>
      <c r="N419" s="7" t="s">
        <v>603</v>
      </c>
      <c r="O419" s="40">
        <v>1</v>
      </c>
      <c r="Y419">
        <f t="shared" si="40"/>
        <v>712</v>
      </c>
    </row>
    <row r="420" spans="1:25" x14ac:dyDescent="0.25">
      <c r="A420" s="7" t="s">
        <v>614</v>
      </c>
      <c r="B420" s="40">
        <v>0</v>
      </c>
      <c r="C420">
        <f t="shared" si="38"/>
        <v>588</v>
      </c>
      <c r="D420" s="7" t="s">
        <v>608</v>
      </c>
      <c r="E420">
        <f t="shared" si="37"/>
        <v>20</v>
      </c>
      <c r="G420" s="7" t="s">
        <v>604</v>
      </c>
      <c r="H420" s="40">
        <v>0</v>
      </c>
      <c r="I420">
        <f t="shared" si="39"/>
        <v>754</v>
      </c>
      <c r="J420" s="7" t="s">
        <v>604</v>
      </c>
      <c r="K420" s="7"/>
      <c r="L420">
        <f t="shared" si="41"/>
        <v>0</v>
      </c>
      <c r="M420">
        <f t="shared" si="42"/>
        <v>144</v>
      </c>
      <c r="N420" s="7" t="s">
        <v>604</v>
      </c>
      <c r="O420" s="40">
        <v>1</v>
      </c>
      <c r="Y420">
        <f t="shared" si="40"/>
        <v>712</v>
      </c>
    </row>
    <row r="421" spans="1:25" x14ac:dyDescent="0.25">
      <c r="A421" s="7" t="s">
        <v>616</v>
      </c>
      <c r="B421" s="40">
        <v>23</v>
      </c>
      <c r="C421">
        <f t="shared" si="38"/>
        <v>683</v>
      </c>
      <c r="D421" s="7" t="s">
        <v>609</v>
      </c>
      <c r="E421">
        <f t="shared" si="37"/>
        <v>0</v>
      </c>
      <c r="G421" s="7" t="s">
        <v>605</v>
      </c>
      <c r="H421" s="40">
        <v>22</v>
      </c>
      <c r="I421">
        <f t="shared" si="39"/>
        <v>644</v>
      </c>
      <c r="J421" s="7" t="s">
        <v>605</v>
      </c>
      <c r="K421" s="7"/>
      <c r="L421">
        <f t="shared" si="41"/>
        <v>22</v>
      </c>
      <c r="M421">
        <f t="shared" si="42"/>
        <v>144</v>
      </c>
      <c r="N421" s="7" t="s">
        <v>605</v>
      </c>
      <c r="O421" s="40">
        <v>1</v>
      </c>
      <c r="Y421">
        <f t="shared" si="40"/>
        <v>712</v>
      </c>
    </row>
    <row r="422" spans="1:25" x14ac:dyDescent="0.25">
      <c r="A422" s="7" t="s">
        <v>617</v>
      </c>
      <c r="B422" s="40">
        <v>0</v>
      </c>
      <c r="C422">
        <f t="shared" si="38"/>
        <v>564</v>
      </c>
      <c r="D422" s="7" t="s">
        <v>611</v>
      </c>
      <c r="E422">
        <f t="shared" si="37"/>
        <v>24</v>
      </c>
      <c r="G422" s="7" t="s">
        <v>606</v>
      </c>
      <c r="H422" s="40">
        <v>719</v>
      </c>
      <c r="I422">
        <f t="shared" si="39"/>
        <v>132</v>
      </c>
      <c r="J422" s="7" t="s">
        <v>606</v>
      </c>
      <c r="K422" s="7"/>
      <c r="L422">
        <f t="shared" si="41"/>
        <v>719</v>
      </c>
      <c r="M422">
        <f t="shared" si="42"/>
        <v>144</v>
      </c>
      <c r="N422" s="7" t="s">
        <v>606</v>
      </c>
      <c r="O422" s="40">
        <v>1</v>
      </c>
      <c r="Y422">
        <f t="shared" si="40"/>
        <v>712</v>
      </c>
    </row>
    <row r="423" spans="1:25" x14ac:dyDescent="0.25">
      <c r="A423" s="7" t="s">
        <v>618</v>
      </c>
      <c r="B423" s="40">
        <v>50</v>
      </c>
      <c r="C423">
        <f t="shared" si="38"/>
        <v>100</v>
      </c>
      <c r="D423" s="7" t="s">
        <v>612</v>
      </c>
      <c r="E423">
        <f t="shared" si="37"/>
        <v>315</v>
      </c>
      <c r="G423" s="7" t="s">
        <v>607</v>
      </c>
      <c r="H423" s="40">
        <v>107</v>
      </c>
      <c r="I423">
        <f t="shared" si="39"/>
        <v>439</v>
      </c>
      <c r="J423" s="7" t="s">
        <v>607</v>
      </c>
      <c r="K423" s="7"/>
      <c r="L423">
        <f t="shared" si="41"/>
        <v>107</v>
      </c>
      <c r="M423">
        <f t="shared" si="42"/>
        <v>144</v>
      </c>
      <c r="N423" s="7" t="s">
        <v>607</v>
      </c>
      <c r="O423" s="40">
        <v>1</v>
      </c>
      <c r="Y423">
        <f t="shared" si="40"/>
        <v>712</v>
      </c>
    </row>
    <row r="424" spans="1:25" x14ac:dyDescent="0.25">
      <c r="A424" s="7" t="s">
        <v>620</v>
      </c>
      <c r="B424" s="40">
        <v>0</v>
      </c>
      <c r="C424">
        <f t="shared" si="38"/>
        <v>640</v>
      </c>
      <c r="D424" s="7" t="s">
        <v>613</v>
      </c>
      <c r="E424">
        <f t="shared" si="37"/>
        <v>12</v>
      </c>
      <c r="G424" s="7" t="s">
        <v>608</v>
      </c>
      <c r="H424" s="40">
        <v>0</v>
      </c>
      <c r="I424">
        <f t="shared" si="39"/>
        <v>754</v>
      </c>
      <c r="J424" s="7" t="s">
        <v>608</v>
      </c>
      <c r="K424" s="7"/>
      <c r="L424">
        <f t="shared" si="41"/>
        <v>0</v>
      </c>
      <c r="M424">
        <f t="shared" si="42"/>
        <v>144</v>
      </c>
      <c r="N424" s="7" t="s">
        <v>608</v>
      </c>
      <c r="O424" s="40">
        <v>1</v>
      </c>
      <c r="Y424">
        <f t="shared" si="40"/>
        <v>712</v>
      </c>
    </row>
    <row r="425" spans="1:25" x14ac:dyDescent="0.25">
      <c r="A425" s="7" t="s">
        <v>621</v>
      </c>
      <c r="B425" s="40">
        <v>35</v>
      </c>
      <c r="C425">
        <f t="shared" si="38"/>
        <v>683</v>
      </c>
      <c r="D425" s="7" t="s">
        <v>614</v>
      </c>
      <c r="E425">
        <f t="shared" si="37"/>
        <v>0</v>
      </c>
      <c r="G425" s="7" t="s">
        <v>609</v>
      </c>
      <c r="H425" s="40">
        <v>550</v>
      </c>
      <c r="I425">
        <f t="shared" si="39"/>
        <v>164</v>
      </c>
      <c r="J425" s="7" t="s">
        <v>609</v>
      </c>
      <c r="K425" s="7"/>
      <c r="L425">
        <f t="shared" si="41"/>
        <v>550</v>
      </c>
      <c r="M425">
        <f t="shared" si="42"/>
        <v>144</v>
      </c>
      <c r="N425" s="7" t="s">
        <v>609</v>
      </c>
      <c r="O425" s="40">
        <v>1</v>
      </c>
      <c r="Y425">
        <f t="shared" si="40"/>
        <v>712</v>
      </c>
    </row>
    <row r="426" spans="1:25" x14ac:dyDescent="0.25">
      <c r="A426" s="7" t="s">
        <v>622</v>
      </c>
      <c r="B426" s="40">
        <v>50</v>
      </c>
      <c r="C426">
        <f t="shared" si="38"/>
        <v>570</v>
      </c>
      <c r="D426" s="7" t="s">
        <v>616</v>
      </c>
      <c r="E426">
        <f t="shared" si="37"/>
        <v>23</v>
      </c>
      <c r="G426" s="7" t="s">
        <v>611</v>
      </c>
      <c r="H426" s="40">
        <v>56</v>
      </c>
      <c r="I426">
        <f t="shared" si="39"/>
        <v>542</v>
      </c>
      <c r="J426" s="7" t="s">
        <v>611</v>
      </c>
      <c r="K426" s="7"/>
      <c r="L426">
        <f t="shared" si="41"/>
        <v>56</v>
      </c>
      <c r="M426">
        <f t="shared" si="42"/>
        <v>144</v>
      </c>
      <c r="N426" s="7" t="s">
        <v>611</v>
      </c>
      <c r="O426" s="40">
        <v>1</v>
      </c>
      <c r="Y426">
        <f t="shared" si="40"/>
        <v>712</v>
      </c>
    </row>
    <row r="427" spans="1:25" x14ac:dyDescent="0.25">
      <c r="A427" s="7" t="s">
        <v>623</v>
      </c>
      <c r="B427" s="40">
        <v>0</v>
      </c>
      <c r="C427">
        <f t="shared" si="38"/>
        <v>683</v>
      </c>
      <c r="D427" s="7" t="s">
        <v>617</v>
      </c>
      <c r="E427">
        <f t="shared" si="37"/>
        <v>0</v>
      </c>
      <c r="G427" s="7" t="s">
        <v>612</v>
      </c>
      <c r="H427" s="40">
        <v>1700</v>
      </c>
      <c r="I427">
        <f t="shared" si="39"/>
        <v>61</v>
      </c>
      <c r="J427" s="7" t="s">
        <v>612</v>
      </c>
      <c r="K427" s="7"/>
      <c r="L427">
        <f t="shared" si="41"/>
        <v>1700</v>
      </c>
      <c r="M427">
        <f t="shared" si="42"/>
        <v>144</v>
      </c>
      <c r="N427" s="7" t="s">
        <v>612</v>
      </c>
      <c r="O427" s="40">
        <v>1</v>
      </c>
      <c r="Y427">
        <f t="shared" si="40"/>
        <v>712</v>
      </c>
    </row>
    <row r="428" spans="1:25" x14ac:dyDescent="0.25">
      <c r="A428" s="7" t="s">
        <v>624</v>
      </c>
      <c r="B428" s="40">
        <v>125</v>
      </c>
      <c r="C428">
        <f t="shared" si="38"/>
        <v>410</v>
      </c>
      <c r="D428" s="7" t="s">
        <v>618</v>
      </c>
      <c r="E428">
        <f t="shared" si="37"/>
        <v>50</v>
      </c>
      <c r="G428" s="7" t="s">
        <v>613</v>
      </c>
      <c r="H428" s="40">
        <v>4</v>
      </c>
      <c r="I428">
        <f t="shared" si="39"/>
        <v>725</v>
      </c>
      <c r="J428" s="7" t="s">
        <v>613</v>
      </c>
      <c r="K428" s="7"/>
      <c r="L428">
        <f t="shared" si="41"/>
        <v>4</v>
      </c>
      <c r="M428">
        <f t="shared" si="42"/>
        <v>144</v>
      </c>
      <c r="N428" s="7" t="s">
        <v>613</v>
      </c>
      <c r="O428" s="40">
        <v>1</v>
      </c>
      <c r="Y428">
        <f t="shared" si="40"/>
        <v>712</v>
      </c>
    </row>
    <row r="429" spans="1:25" x14ac:dyDescent="0.25">
      <c r="A429" s="7" t="s">
        <v>625</v>
      </c>
      <c r="B429" s="40">
        <v>40</v>
      </c>
      <c r="C429">
        <f t="shared" si="38"/>
        <v>683</v>
      </c>
      <c r="D429" s="7" t="s">
        <v>620</v>
      </c>
      <c r="E429">
        <f t="shared" si="37"/>
        <v>0</v>
      </c>
      <c r="G429" s="7" t="s">
        <v>614</v>
      </c>
      <c r="H429" s="40">
        <v>100</v>
      </c>
      <c r="I429">
        <f t="shared" si="39"/>
        <v>451</v>
      </c>
      <c r="J429" s="7" t="s">
        <v>614</v>
      </c>
      <c r="K429" s="7"/>
      <c r="L429">
        <f t="shared" si="41"/>
        <v>100</v>
      </c>
      <c r="M429">
        <f t="shared" si="42"/>
        <v>144</v>
      </c>
      <c r="N429" s="7" t="s">
        <v>614</v>
      </c>
      <c r="O429" s="40">
        <v>1</v>
      </c>
      <c r="Y429">
        <f t="shared" si="40"/>
        <v>712</v>
      </c>
    </row>
    <row r="430" spans="1:25" x14ac:dyDescent="0.25">
      <c r="A430" s="7" t="s">
        <v>626</v>
      </c>
      <c r="B430" s="40">
        <v>20</v>
      </c>
      <c r="C430">
        <f t="shared" si="38"/>
        <v>494</v>
      </c>
      <c r="D430" s="7" t="s">
        <v>621</v>
      </c>
      <c r="E430">
        <f t="shared" si="37"/>
        <v>35</v>
      </c>
      <c r="G430" s="7" t="s">
        <v>616</v>
      </c>
      <c r="H430" s="40">
        <v>17</v>
      </c>
      <c r="I430">
        <f t="shared" si="39"/>
        <v>665</v>
      </c>
      <c r="J430" s="7" t="s">
        <v>616</v>
      </c>
      <c r="K430" s="7"/>
      <c r="L430">
        <f t="shared" si="41"/>
        <v>17</v>
      </c>
      <c r="M430">
        <f t="shared" si="42"/>
        <v>144</v>
      </c>
      <c r="N430" s="7" t="s">
        <v>616</v>
      </c>
      <c r="O430" s="40">
        <v>1</v>
      </c>
      <c r="Y430">
        <f t="shared" si="40"/>
        <v>712</v>
      </c>
    </row>
    <row r="431" spans="1:25" x14ac:dyDescent="0.25">
      <c r="A431" s="7" t="s">
        <v>627</v>
      </c>
      <c r="B431" s="40">
        <v>25</v>
      </c>
      <c r="C431">
        <f t="shared" si="38"/>
        <v>410</v>
      </c>
      <c r="D431" s="7" t="s">
        <v>622</v>
      </c>
      <c r="E431">
        <f t="shared" si="37"/>
        <v>50</v>
      </c>
      <c r="G431" s="7" t="s">
        <v>617</v>
      </c>
      <c r="H431" s="40">
        <v>382</v>
      </c>
      <c r="I431">
        <f t="shared" si="39"/>
        <v>213</v>
      </c>
      <c r="J431" s="7" t="s">
        <v>617</v>
      </c>
      <c r="K431" s="7"/>
      <c r="L431">
        <f t="shared" si="41"/>
        <v>382</v>
      </c>
      <c r="M431">
        <f t="shared" si="42"/>
        <v>144</v>
      </c>
      <c r="N431" s="7" t="s">
        <v>617</v>
      </c>
      <c r="O431" s="40">
        <v>1</v>
      </c>
      <c r="Y431">
        <f t="shared" si="40"/>
        <v>712</v>
      </c>
    </row>
    <row r="432" spans="1:25" x14ac:dyDescent="0.25">
      <c r="A432" s="7" t="s">
        <v>628</v>
      </c>
      <c r="B432" s="40">
        <v>402</v>
      </c>
      <c r="C432">
        <f t="shared" si="38"/>
        <v>683</v>
      </c>
      <c r="D432" s="7" t="s">
        <v>623</v>
      </c>
      <c r="E432">
        <f t="shared" si="37"/>
        <v>0</v>
      </c>
      <c r="G432" s="7" t="s">
        <v>618</v>
      </c>
      <c r="H432" s="40">
        <v>603</v>
      </c>
      <c r="I432">
        <f t="shared" si="39"/>
        <v>152</v>
      </c>
      <c r="J432" s="7" t="s">
        <v>618</v>
      </c>
      <c r="K432" s="7"/>
      <c r="L432">
        <f t="shared" si="41"/>
        <v>603</v>
      </c>
      <c r="M432">
        <f t="shared" si="42"/>
        <v>144</v>
      </c>
      <c r="N432" s="7" t="s">
        <v>618</v>
      </c>
      <c r="O432" s="40">
        <v>1</v>
      </c>
      <c r="Y432">
        <f t="shared" si="40"/>
        <v>712</v>
      </c>
    </row>
    <row r="433" spans="1:25" x14ac:dyDescent="0.25">
      <c r="A433" s="7" t="s">
        <v>630</v>
      </c>
      <c r="B433" s="40">
        <v>500</v>
      </c>
      <c r="C433">
        <f t="shared" si="38"/>
        <v>236</v>
      </c>
      <c r="D433" s="7" t="s">
        <v>624</v>
      </c>
      <c r="E433">
        <f t="shared" si="37"/>
        <v>125</v>
      </c>
      <c r="G433" s="7" t="s">
        <v>620</v>
      </c>
      <c r="H433" s="40">
        <v>0</v>
      </c>
      <c r="I433">
        <f t="shared" si="39"/>
        <v>754</v>
      </c>
      <c r="J433" s="7" t="s">
        <v>620</v>
      </c>
      <c r="K433" s="7"/>
      <c r="L433">
        <f t="shared" si="41"/>
        <v>0</v>
      </c>
      <c r="M433">
        <f t="shared" si="42"/>
        <v>144</v>
      </c>
      <c r="N433" s="7" t="s">
        <v>620</v>
      </c>
      <c r="O433" s="40">
        <v>1</v>
      </c>
      <c r="Y433">
        <f t="shared" si="40"/>
        <v>712</v>
      </c>
    </row>
    <row r="434" spans="1:25" x14ac:dyDescent="0.25">
      <c r="A434" s="7" t="s">
        <v>631</v>
      </c>
      <c r="B434" s="40">
        <v>47</v>
      </c>
      <c r="C434">
        <f t="shared" si="38"/>
        <v>454</v>
      </c>
      <c r="D434" s="7" t="s">
        <v>625</v>
      </c>
      <c r="E434">
        <f t="shared" si="37"/>
        <v>40</v>
      </c>
      <c r="G434" s="7" t="s">
        <v>621</v>
      </c>
      <c r="H434" s="40">
        <v>114</v>
      </c>
      <c r="I434">
        <f t="shared" si="39"/>
        <v>429</v>
      </c>
      <c r="J434" s="7" t="s">
        <v>621</v>
      </c>
      <c r="K434" s="7"/>
      <c r="L434">
        <f t="shared" si="41"/>
        <v>114</v>
      </c>
      <c r="M434">
        <f t="shared" si="42"/>
        <v>144</v>
      </c>
      <c r="N434" s="7" t="s">
        <v>621</v>
      </c>
      <c r="O434" s="40">
        <v>1</v>
      </c>
      <c r="Y434">
        <f t="shared" si="40"/>
        <v>712</v>
      </c>
    </row>
    <row r="435" spans="1:25" x14ac:dyDescent="0.25">
      <c r="A435" s="7" t="s">
        <v>632</v>
      </c>
      <c r="B435" s="40">
        <v>40</v>
      </c>
      <c r="C435">
        <f t="shared" si="38"/>
        <v>588</v>
      </c>
      <c r="D435" s="7" t="s">
        <v>626</v>
      </c>
      <c r="E435">
        <f t="shared" si="37"/>
        <v>20</v>
      </c>
      <c r="G435" s="7" t="s">
        <v>622</v>
      </c>
      <c r="H435" s="40">
        <v>190</v>
      </c>
      <c r="I435">
        <f t="shared" si="39"/>
        <v>342</v>
      </c>
      <c r="J435" s="7" t="s">
        <v>622</v>
      </c>
      <c r="K435" s="7"/>
      <c r="L435">
        <f t="shared" si="41"/>
        <v>190</v>
      </c>
      <c r="M435">
        <f t="shared" si="42"/>
        <v>144</v>
      </c>
      <c r="N435" s="7" t="s">
        <v>622</v>
      </c>
      <c r="O435" s="40">
        <v>1</v>
      </c>
      <c r="Y435">
        <f t="shared" si="40"/>
        <v>712</v>
      </c>
    </row>
    <row r="436" spans="1:25" x14ac:dyDescent="0.25">
      <c r="A436" s="7" t="s">
        <v>633</v>
      </c>
      <c r="B436" s="40">
        <v>95</v>
      </c>
      <c r="C436">
        <f t="shared" si="38"/>
        <v>554</v>
      </c>
      <c r="D436" s="7" t="s">
        <v>627</v>
      </c>
      <c r="E436">
        <f t="shared" si="37"/>
        <v>25</v>
      </c>
      <c r="G436" s="7" t="s">
        <v>623</v>
      </c>
      <c r="H436" s="40">
        <v>2</v>
      </c>
      <c r="I436">
        <f t="shared" si="39"/>
        <v>737</v>
      </c>
      <c r="J436" s="7" t="s">
        <v>623</v>
      </c>
      <c r="K436" s="7"/>
      <c r="L436">
        <f t="shared" si="41"/>
        <v>2</v>
      </c>
      <c r="M436">
        <f t="shared" si="42"/>
        <v>144</v>
      </c>
      <c r="N436" s="7" t="s">
        <v>623</v>
      </c>
      <c r="O436" s="40">
        <v>1</v>
      </c>
      <c r="Y436">
        <f t="shared" si="40"/>
        <v>712</v>
      </c>
    </row>
    <row r="437" spans="1:25" x14ac:dyDescent="0.25">
      <c r="A437" s="7" t="s">
        <v>634</v>
      </c>
      <c r="B437" s="40">
        <v>30</v>
      </c>
      <c r="C437">
        <f t="shared" si="38"/>
        <v>82</v>
      </c>
      <c r="D437" s="7" t="s">
        <v>628</v>
      </c>
      <c r="E437">
        <f t="shared" si="37"/>
        <v>402</v>
      </c>
      <c r="G437" s="7" t="s">
        <v>624</v>
      </c>
      <c r="H437" s="40">
        <v>24</v>
      </c>
      <c r="I437">
        <f t="shared" si="39"/>
        <v>633</v>
      </c>
      <c r="J437" s="7" t="s">
        <v>624</v>
      </c>
      <c r="K437" s="7"/>
      <c r="L437">
        <f t="shared" si="41"/>
        <v>24</v>
      </c>
      <c r="M437">
        <f t="shared" si="42"/>
        <v>28</v>
      </c>
      <c r="N437" s="7" t="s">
        <v>624</v>
      </c>
      <c r="O437" s="40">
        <v>2</v>
      </c>
      <c r="Y437">
        <f t="shared" si="40"/>
        <v>712</v>
      </c>
    </row>
    <row r="438" spans="1:25" x14ac:dyDescent="0.25">
      <c r="A438" s="7" t="s">
        <v>635</v>
      </c>
      <c r="B438" s="40">
        <v>0</v>
      </c>
      <c r="C438">
        <f t="shared" si="38"/>
        <v>66</v>
      </c>
      <c r="D438" s="7" t="s">
        <v>630</v>
      </c>
      <c r="E438">
        <f t="shared" si="37"/>
        <v>500</v>
      </c>
      <c r="G438" s="7" t="s">
        <v>625</v>
      </c>
      <c r="H438" s="40">
        <v>465</v>
      </c>
      <c r="I438">
        <f t="shared" si="39"/>
        <v>190</v>
      </c>
      <c r="J438" s="7" t="s">
        <v>625</v>
      </c>
      <c r="K438" s="7"/>
      <c r="L438">
        <f t="shared" si="41"/>
        <v>465</v>
      </c>
      <c r="M438">
        <f t="shared" si="42"/>
        <v>144</v>
      </c>
      <c r="N438" s="7" t="s">
        <v>625</v>
      </c>
      <c r="O438" s="40">
        <v>1</v>
      </c>
      <c r="Y438">
        <f t="shared" si="40"/>
        <v>712</v>
      </c>
    </row>
    <row r="439" spans="1:25" x14ac:dyDescent="0.25">
      <c r="A439" s="7" t="s">
        <v>636</v>
      </c>
      <c r="B439" s="40">
        <v>0</v>
      </c>
      <c r="C439">
        <f t="shared" si="38"/>
        <v>435</v>
      </c>
      <c r="D439" s="7" t="s">
        <v>631</v>
      </c>
      <c r="E439">
        <f t="shared" si="37"/>
        <v>47</v>
      </c>
      <c r="G439" s="7" t="s">
        <v>626</v>
      </c>
      <c r="H439" s="40">
        <v>1</v>
      </c>
      <c r="I439">
        <f t="shared" si="39"/>
        <v>747</v>
      </c>
      <c r="J439" s="7" t="s">
        <v>626</v>
      </c>
      <c r="K439" s="7"/>
      <c r="L439">
        <f t="shared" si="41"/>
        <v>1</v>
      </c>
      <c r="M439">
        <f t="shared" si="42"/>
        <v>144</v>
      </c>
      <c r="N439" s="7" t="s">
        <v>626</v>
      </c>
      <c r="O439" s="40">
        <v>1</v>
      </c>
      <c r="Y439">
        <f t="shared" si="40"/>
        <v>712</v>
      </c>
    </row>
    <row r="440" spans="1:25" x14ac:dyDescent="0.25">
      <c r="A440" s="7" t="s">
        <v>637</v>
      </c>
      <c r="B440" s="40">
        <v>100</v>
      </c>
      <c r="C440">
        <f t="shared" si="38"/>
        <v>454</v>
      </c>
      <c r="D440" s="7" t="s">
        <v>632</v>
      </c>
      <c r="E440">
        <f t="shared" si="37"/>
        <v>40</v>
      </c>
      <c r="G440" s="7" t="s">
        <v>627</v>
      </c>
      <c r="H440" s="40">
        <v>202</v>
      </c>
      <c r="I440">
        <f t="shared" si="39"/>
        <v>330</v>
      </c>
      <c r="J440" s="7" t="s">
        <v>627</v>
      </c>
      <c r="K440" s="7"/>
      <c r="L440">
        <f t="shared" si="41"/>
        <v>202</v>
      </c>
      <c r="M440">
        <f t="shared" si="42"/>
        <v>144</v>
      </c>
      <c r="N440" s="7" t="s">
        <v>627</v>
      </c>
      <c r="O440" s="40">
        <v>1</v>
      </c>
      <c r="Y440">
        <f t="shared" si="40"/>
        <v>712</v>
      </c>
    </row>
    <row r="441" spans="1:25" x14ac:dyDescent="0.25">
      <c r="A441" s="7" t="s">
        <v>638</v>
      </c>
      <c r="B441" s="40">
        <v>0</v>
      </c>
      <c r="C441">
        <f t="shared" si="38"/>
        <v>291</v>
      </c>
      <c r="D441" s="7" t="s">
        <v>633</v>
      </c>
      <c r="E441">
        <f t="shared" si="37"/>
        <v>95</v>
      </c>
      <c r="G441" s="7" t="s">
        <v>628</v>
      </c>
      <c r="H441" s="40">
        <v>490</v>
      </c>
      <c r="I441">
        <f t="shared" si="39"/>
        <v>180</v>
      </c>
      <c r="J441" s="7" t="s">
        <v>628</v>
      </c>
      <c r="K441" s="7"/>
      <c r="L441">
        <f t="shared" si="41"/>
        <v>490</v>
      </c>
      <c r="M441">
        <f t="shared" si="42"/>
        <v>28</v>
      </c>
      <c r="N441" s="7" t="s">
        <v>628</v>
      </c>
      <c r="O441" s="40">
        <v>2</v>
      </c>
      <c r="Y441">
        <f t="shared" si="40"/>
        <v>712</v>
      </c>
    </row>
    <row r="442" spans="1:25" x14ac:dyDescent="0.25">
      <c r="A442" s="7" t="s">
        <v>639</v>
      </c>
      <c r="B442" s="40">
        <v>84</v>
      </c>
      <c r="C442">
        <f t="shared" si="38"/>
        <v>512</v>
      </c>
      <c r="D442" s="7" t="s">
        <v>634</v>
      </c>
      <c r="E442">
        <f t="shared" si="37"/>
        <v>30</v>
      </c>
      <c r="G442" s="7" t="s">
        <v>630</v>
      </c>
      <c r="H442" s="40">
        <v>1200</v>
      </c>
      <c r="I442">
        <f t="shared" si="39"/>
        <v>84</v>
      </c>
      <c r="J442" s="7" t="s">
        <v>630</v>
      </c>
      <c r="K442" s="7"/>
      <c r="L442">
        <f t="shared" si="41"/>
        <v>1200</v>
      </c>
      <c r="M442">
        <f t="shared" si="42"/>
        <v>144</v>
      </c>
      <c r="N442" s="7" t="s">
        <v>630</v>
      </c>
      <c r="O442" s="40">
        <v>1</v>
      </c>
      <c r="Y442">
        <f t="shared" si="40"/>
        <v>712</v>
      </c>
    </row>
    <row r="443" spans="1:25" x14ac:dyDescent="0.25">
      <c r="A443" s="7" t="s">
        <v>640</v>
      </c>
      <c r="B443" s="40">
        <v>0</v>
      </c>
      <c r="C443">
        <f t="shared" si="38"/>
        <v>683</v>
      </c>
      <c r="D443" s="7" t="s">
        <v>635</v>
      </c>
      <c r="E443">
        <f t="shared" si="37"/>
        <v>0</v>
      </c>
      <c r="G443" s="7" t="s">
        <v>631</v>
      </c>
      <c r="H443" s="40">
        <v>149</v>
      </c>
      <c r="I443">
        <f t="shared" si="39"/>
        <v>388</v>
      </c>
      <c r="J443" s="7" t="s">
        <v>631</v>
      </c>
      <c r="K443" s="7"/>
      <c r="L443">
        <f t="shared" si="41"/>
        <v>149</v>
      </c>
      <c r="M443">
        <f t="shared" si="42"/>
        <v>144</v>
      </c>
      <c r="N443" s="7" t="s">
        <v>631</v>
      </c>
      <c r="O443" s="40">
        <v>1</v>
      </c>
      <c r="Y443">
        <f t="shared" si="40"/>
        <v>712</v>
      </c>
    </row>
    <row r="444" spans="1:25" x14ac:dyDescent="0.25">
      <c r="A444" s="7" t="s">
        <v>641</v>
      </c>
      <c r="B444" s="40">
        <v>222</v>
      </c>
      <c r="C444">
        <f t="shared" si="38"/>
        <v>683</v>
      </c>
      <c r="D444" s="7" t="s">
        <v>636</v>
      </c>
      <c r="E444">
        <f t="shared" si="37"/>
        <v>0</v>
      </c>
      <c r="G444" s="7" t="s">
        <v>632</v>
      </c>
      <c r="H444" s="40">
        <v>40</v>
      </c>
      <c r="I444">
        <f t="shared" si="39"/>
        <v>587</v>
      </c>
      <c r="J444" s="7" t="s">
        <v>632</v>
      </c>
      <c r="K444" s="7"/>
      <c r="L444">
        <f t="shared" si="41"/>
        <v>40</v>
      </c>
      <c r="M444">
        <f t="shared" si="42"/>
        <v>144</v>
      </c>
      <c r="N444" s="7" t="s">
        <v>632</v>
      </c>
      <c r="O444" s="40">
        <v>1</v>
      </c>
      <c r="Y444">
        <f t="shared" si="40"/>
        <v>712</v>
      </c>
    </row>
    <row r="445" spans="1:25" x14ac:dyDescent="0.25">
      <c r="A445" s="7" t="s">
        <v>642</v>
      </c>
      <c r="B445" s="40">
        <v>200</v>
      </c>
      <c r="C445">
        <f t="shared" si="38"/>
        <v>254</v>
      </c>
      <c r="D445" s="7" t="s">
        <v>637</v>
      </c>
      <c r="E445">
        <f t="shared" si="37"/>
        <v>100</v>
      </c>
      <c r="G445" s="7" t="s">
        <v>633</v>
      </c>
      <c r="H445" s="40">
        <v>462</v>
      </c>
      <c r="I445">
        <f t="shared" si="39"/>
        <v>191</v>
      </c>
      <c r="J445" s="7" t="s">
        <v>633</v>
      </c>
      <c r="K445" s="7"/>
      <c r="L445">
        <f t="shared" si="41"/>
        <v>462</v>
      </c>
      <c r="M445">
        <f t="shared" si="42"/>
        <v>144</v>
      </c>
      <c r="N445" s="7" t="s">
        <v>633</v>
      </c>
      <c r="O445" s="40">
        <v>1</v>
      </c>
      <c r="Y445">
        <f t="shared" si="40"/>
        <v>712</v>
      </c>
    </row>
    <row r="446" spans="1:25" x14ac:dyDescent="0.25">
      <c r="A446" s="7" t="s">
        <v>644</v>
      </c>
      <c r="B446" s="40">
        <v>0</v>
      </c>
      <c r="C446">
        <f t="shared" si="38"/>
        <v>683</v>
      </c>
      <c r="D446" s="7" t="s">
        <v>638</v>
      </c>
      <c r="E446">
        <f t="shared" si="37"/>
        <v>0</v>
      </c>
      <c r="G446" s="7" t="s">
        <v>634</v>
      </c>
      <c r="H446" s="40">
        <v>1</v>
      </c>
      <c r="I446">
        <f t="shared" si="39"/>
        <v>747</v>
      </c>
      <c r="J446" s="7" t="s">
        <v>634</v>
      </c>
      <c r="K446" s="7"/>
      <c r="L446">
        <f t="shared" si="41"/>
        <v>1</v>
      </c>
      <c r="M446">
        <f t="shared" si="42"/>
        <v>144</v>
      </c>
      <c r="N446" s="7" t="s">
        <v>634</v>
      </c>
      <c r="O446" s="40">
        <v>1</v>
      </c>
      <c r="Y446">
        <f t="shared" si="40"/>
        <v>712</v>
      </c>
    </row>
    <row r="447" spans="1:25" x14ac:dyDescent="0.25">
      <c r="A447" s="7" t="s">
        <v>645</v>
      </c>
      <c r="B447" s="40">
        <v>62</v>
      </c>
      <c r="C447">
        <f t="shared" si="38"/>
        <v>316</v>
      </c>
      <c r="D447" s="7" t="s">
        <v>639</v>
      </c>
      <c r="E447">
        <f t="shared" si="37"/>
        <v>84</v>
      </c>
      <c r="G447" s="7" t="s">
        <v>635</v>
      </c>
      <c r="H447" s="40">
        <v>656</v>
      </c>
      <c r="I447">
        <f t="shared" si="39"/>
        <v>144</v>
      </c>
      <c r="J447" s="7" t="s">
        <v>635</v>
      </c>
      <c r="K447" s="7"/>
      <c r="L447">
        <f t="shared" si="41"/>
        <v>656</v>
      </c>
      <c r="M447">
        <f t="shared" si="42"/>
        <v>144</v>
      </c>
      <c r="N447" s="7" t="s">
        <v>635</v>
      </c>
      <c r="O447" s="40">
        <v>1</v>
      </c>
      <c r="Y447">
        <f t="shared" si="40"/>
        <v>712</v>
      </c>
    </row>
    <row r="448" spans="1:25" x14ac:dyDescent="0.25">
      <c r="A448" s="7" t="s">
        <v>646</v>
      </c>
      <c r="B448" s="40">
        <v>10</v>
      </c>
      <c r="C448">
        <f t="shared" si="38"/>
        <v>683</v>
      </c>
      <c r="D448" s="7" t="s">
        <v>640</v>
      </c>
      <c r="E448">
        <f t="shared" si="37"/>
        <v>0</v>
      </c>
      <c r="G448" s="7" t="s">
        <v>636</v>
      </c>
      <c r="H448" s="40">
        <v>77</v>
      </c>
      <c r="I448">
        <f t="shared" si="39"/>
        <v>492</v>
      </c>
      <c r="J448" s="7" t="s">
        <v>636</v>
      </c>
      <c r="K448" s="7"/>
      <c r="L448">
        <f t="shared" si="41"/>
        <v>77</v>
      </c>
      <c r="M448">
        <f t="shared" si="42"/>
        <v>144</v>
      </c>
      <c r="N448" s="7" t="s">
        <v>636</v>
      </c>
      <c r="O448" s="40">
        <v>1</v>
      </c>
      <c r="Y448">
        <f t="shared" si="40"/>
        <v>712</v>
      </c>
    </row>
    <row r="449" spans="1:25" x14ac:dyDescent="0.25">
      <c r="A449" s="7" t="s">
        <v>647</v>
      </c>
      <c r="B449" s="40">
        <v>60</v>
      </c>
      <c r="C449">
        <f t="shared" si="38"/>
        <v>138</v>
      </c>
      <c r="D449" s="7" t="s">
        <v>641</v>
      </c>
      <c r="E449">
        <f t="shared" si="37"/>
        <v>222</v>
      </c>
      <c r="G449" s="7" t="s">
        <v>637</v>
      </c>
      <c r="H449" s="40">
        <v>109</v>
      </c>
      <c r="I449">
        <f t="shared" si="39"/>
        <v>436</v>
      </c>
      <c r="J449" s="7" t="s">
        <v>637</v>
      </c>
      <c r="K449" s="7"/>
      <c r="L449">
        <f t="shared" si="41"/>
        <v>109</v>
      </c>
      <c r="M449">
        <f t="shared" si="42"/>
        <v>144</v>
      </c>
      <c r="N449" s="7" t="s">
        <v>637</v>
      </c>
      <c r="O449" s="40">
        <v>1</v>
      </c>
      <c r="Y449">
        <f t="shared" si="40"/>
        <v>712</v>
      </c>
    </row>
    <row r="450" spans="1:25" x14ac:dyDescent="0.25">
      <c r="A450" s="7" t="s">
        <v>648</v>
      </c>
      <c r="B450" s="40">
        <v>43</v>
      </c>
      <c r="C450">
        <f t="shared" si="38"/>
        <v>147</v>
      </c>
      <c r="D450" s="7" t="s">
        <v>642</v>
      </c>
      <c r="E450">
        <f t="shared" si="37"/>
        <v>200</v>
      </c>
      <c r="G450" s="7" t="s">
        <v>638</v>
      </c>
      <c r="H450" s="40">
        <v>70</v>
      </c>
      <c r="I450">
        <f t="shared" si="39"/>
        <v>506</v>
      </c>
      <c r="J450" s="7" t="s">
        <v>638</v>
      </c>
      <c r="K450" s="7"/>
      <c r="L450">
        <f t="shared" si="41"/>
        <v>70</v>
      </c>
      <c r="M450">
        <f t="shared" si="42"/>
        <v>144</v>
      </c>
      <c r="N450" s="7" t="s">
        <v>638</v>
      </c>
      <c r="O450" s="40">
        <v>1</v>
      </c>
      <c r="Y450">
        <f t="shared" si="40"/>
        <v>712</v>
      </c>
    </row>
    <row r="451" spans="1:25" x14ac:dyDescent="0.25">
      <c r="A451" s="7" t="s">
        <v>649</v>
      </c>
      <c r="B451" s="40">
        <v>0</v>
      </c>
      <c r="C451">
        <f t="shared" si="38"/>
        <v>683</v>
      </c>
      <c r="D451" s="7" t="s">
        <v>644</v>
      </c>
      <c r="E451">
        <f t="shared" si="37"/>
        <v>0</v>
      </c>
      <c r="G451" s="7" t="s">
        <v>639</v>
      </c>
      <c r="H451" s="40">
        <v>0</v>
      </c>
      <c r="I451">
        <f t="shared" si="39"/>
        <v>754</v>
      </c>
      <c r="J451" s="7" t="s">
        <v>639</v>
      </c>
      <c r="K451" s="7"/>
      <c r="L451">
        <f t="shared" si="41"/>
        <v>0</v>
      </c>
      <c r="M451">
        <f t="shared" si="42"/>
        <v>144</v>
      </c>
      <c r="N451" s="7" t="s">
        <v>639</v>
      </c>
      <c r="O451" s="40">
        <v>1</v>
      </c>
      <c r="Y451">
        <f t="shared" si="40"/>
        <v>712</v>
      </c>
    </row>
    <row r="452" spans="1:25" x14ac:dyDescent="0.25">
      <c r="A452" s="7" t="s">
        <v>650</v>
      </c>
      <c r="B452" s="40">
        <v>41</v>
      </c>
      <c r="C452">
        <f t="shared" si="38"/>
        <v>374</v>
      </c>
      <c r="D452" s="7" t="s">
        <v>645</v>
      </c>
      <c r="E452">
        <f t="shared" si="37"/>
        <v>62</v>
      </c>
      <c r="G452" s="7" t="s">
        <v>640</v>
      </c>
      <c r="H452" s="40">
        <v>162</v>
      </c>
      <c r="I452">
        <f t="shared" si="39"/>
        <v>372</v>
      </c>
      <c r="J452" s="7" t="s">
        <v>640</v>
      </c>
      <c r="K452" s="7"/>
      <c r="L452">
        <f t="shared" si="41"/>
        <v>162</v>
      </c>
      <c r="M452">
        <f t="shared" si="42"/>
        <v>144</v>
      </c>
      <c r="N452" s="7" t="s">
        <v>640</v>
      </c>
      <c r="O452" s="40">
        <v>1</v>
      </c>
      <c r="Y452">
        <f t="shared" si="40"/>
        <v>712</v>
      </c>
    </row>
    <row r="453" spans="1:25" x14ac:dyDescent="0.25">
      <c r="A453" s="7" t="s">
        <v>651</v>
      </c>
      <c r="B453" s="40">
        <v>230</v>
      </c>
      <c r="C453">
        <f t="shared" si="38"/>
        <v>653</v>
      </c>
      <c r="D453" s="7" t="s">
        <v>646</v>
      </c>
      <c r="E453">
        <f t="shared" si="37"/>
        <v>10</v>
      </c>
      <c r="G453" s="7" t="s">
        <v>641</v>
      </c>
      <c r="H453" s="40">
        <v>424</v>
      </c>
      <c r="I453">
        <f t="shared" si="39"/>
        <v>199</v>
      </c>
      <c r="J453" s="7" t="s">
        <v>641</v>
      </c>
      <c r="K453" s="7"/>
      <c r="L453">
        <f t="shared" si="41"/>
        <v>424</v>
      </c>
      <c r="M453">
        <f t="shared" si="42"/>
        <v>28</v>
      </c>
      <c r="N453" s="7" t="s">
        <v>641</v>
      </c>
      <c r="O453" s="40">
        <v>2</v>
      </c>
      <c r="Y453">
        <f t="shared" si="40"/>
        <v>712</v>
      </c>
    </row>
    <row r="454" spans="1:25" x14ac:dyDescent="0.25">
      <c r="A454" s="7" t="s">
        <v>652</v>
      </c>
      <c r="B454" s="40">
        <v>30</v>
      </c>
      <c r="C454">
        <f t="shared" si="38"/>
        <v>378</v>
      </c>
      <c r="D454" s="7" t="s">
        <v>647</v>
      </c>
      <c r="E454">
        <f t="shared" si="37"/>
        <v>60</v>
      </c>
      <c r="G454" s="7" t="s">
        <v>642</v>
      </c>
      <c r="H454" s="40">
        <v>2</v>
      </c>
      <c r="I454">
        <f t="shared" si="39"/>
        <v>737</v>
      </c>
      <c r="J454" s="7" t="s">
        <v>642</v>
      </c>
      <c r="K454" s="7"/>
      <c r="L454">
        <f t="shared" si="41"/>
        <v>2</v>
      </c>
      <c r="M454">
        <f t="shared" si="42"/>
        <v>144</v>
      </c>
      <c r="N454" s="7" t="s">
        <v>642</v>
      </c>
      <c r="O454" s="40">
        <v>1</v>
      </c>
      <c r="Y454">
        <f t="shared" si="40"/>
        <v>712</v>
      </c>
    </row>
    <row r="455" spans="1:25" x14ac:dyDescent="0.25">
      <c r="A455" s="7" t="s">
        <v>653</v>
      </c>
      <c r="B455" s="40">
        <v>30</v>
      </c>
      <c r="C455">
        <f t="shared" si="38"/>
        <v>448</v>
      </c>
      <c r="D455" s="7" t="s">
        <v>648</v>
      </c>
      <c r="E455">
        <f t="shared" si="37"/>
        <v>43</v>
      </c>
      <c r="G455" s="7" t="s">
        <v>644</v>
      </c>
      <c r="H455" s="40">
        <v>96</v>
      </c>
      <c r="I455">
        <f t="shared" si="39"/>
        <v>460</v>
      </c>
      <c r="J455" s="7" t="s">
        <v>644</v>
      </c>
      <c r="K455" s="7"/>
      <c r="L455">
        <f t="shared" si="41"/>
        <v>96</v>
      </c>
      <c r="M455">
        <f t="shared" si="42"/>
        <v>144</v>
      </c>
      <c r="N455" s="7" t="s">
        <v>644</v>
      </c>
      <c r="O455" s="40">
        <v>1</v>
      </c>
      <c r="Y455">
        <f t="shared" si="40"/>
        <v>712</v>
      </c>
    </row>
    <row r="456" spans="1:25" x14ac:dyDescent="0.25">
      <c r="A456" s="7" t="s">
        <v>654</v>
      </c>
      <c r="B456" s="40">
        <v>100</v>
      </c>
      <c r="C456">
        <f t="shared" si="38"/>
        <v>683</v>
      </c>
      <c r="D456" s="7" t="s">
        <v>649</v>
      </c>
      <c r="E456">
        <f t="shared" si="37"/>
        <v>0</v>
      </c>
      <c r="G456" s="7" t="s">
        <v>645</v>
      </c>
      <c r="H456" s="40">
        <v>257</v>
      </c>
      <c r="I456">
        <f t="shared" si="39"/>
        <v>284</v>
      </c>
      <c r="J456" s="7" t="s">
        <v>645</v>
      </c>
      <c r="K456" s="7"/>
      <c r="L456">
        <f t="shared" si="41"/>
        <v>257</v>
      </c>
      <c r="M456">
        <f t="shared" si="42"/>
        <v>144</v>
      </c>
      <c r="N456" s="7" t="s">
        <v>645</v>
      </c>
      <c r="O456" s="40">
        <v>1</v>
      </c>
      <c r="Y456">
        <f t="shared" si="40"/>
        <v>712</v>
      </c>
    </row>
    <row r="457" spans="1:25" x14ac:dyDescent="0.25">
      <c r="A457" s="7" t="s">
        <v>655</v>
      </c>
      <c r="B457" s="40">
        <v>0</v>
      </c>
      <c r="C457">
        <f t="shared" si="38"/>
        <v>451</v>
      </c>
      <c r="D457" s="7" t="s">
        <v>650</v>
      </c>
      <c r="E457">
        <f t="shared" ref="E457:E520" si="43">VLOOKUP(D:D,A452:B1276,2,0)</f>
        <v>41</v>
      </c>
      <c r="G457" s="7" t="s">
        <v>646</v>
      </c>
      <c r="H457" s="40">
        <v>22</v>
      </c>
      <c r="I457">
        <f t="shared" si="39"/>
        <v>644</v>
      </c>
      <c r="J457" s="7" t="s">
        <v>646</v>
      </c>
      <c r="K457" s="7"/>
      <c r="L457">
        <f t="shared" si="41"/>
        <v>22</v>
      </c>
      <c r="M457">
        <f t="shared" si="42"/>
        <v>144</v>
      </c>
      <c r="N457" s="7" t="s">
        <v>646</v>
      </c>
      <c r="O457" s="40">
        <v>1</v>
      </c>
      <c r="Y457">
        <f t="shared" si="40"/>
        <v>712</v>
      </c>
    </row>
    <row r="458" spans="1:25" x14ac:dyDescent="0.25">
      <c r="A458" s="7" t="s">
        <v>657</v>
      </c>
      <c r="B458" s="40">
        <v>31</v>
      </c>
      <c r="C458">
        <f t="shared" ref="C458:C521" si="44">RANK(E:E,E:E)</f>
        <v>132</v>
      </c>
      <c r="D458" s="7" t="s">
        <v>651</v>
      </c>
      <c r="E458">
        <f t="shared" si="43"/>
        <v>230</v>
      </c>
      <c r="G458" s="7" t="s">
        <v>647</v>
      </c>
      <c r="H458" s="40">
        <v>65</v>
      </c>
      <c r="I458">
        <f t="shared" si="39"/>
        <v>515</v>
      </c>
      <c r="J458" s="7" t="s">
        <v>647</v>
      </c>
      <c r="K458" s="7"/>
      <c r="L458">
        <f t="shared" si="41"/>
        <v>65</v>
      </c>
      <c r="M458">
        <f t="shared" si="42"/>
        <v>144</v>
      </c>
      <c r="N458" s="7" t="s">
        <v>647</v>
      </c>
      <c r="O458" s="40">
        <v>1</v>
      </c>
      <c r="Y458">
        <f t="shared" si="40"/>
        <v>712</v>
      </c>
    </row>
    <row r="459" spans="1:25" x14ac:dyDescent="0.25">
      <c r="A459" s="7" t="s">
        <v>658</v>
      </c>
      <c r="B459" s="40">
        <v>400</v>
      </c>
      <c r="C459">
        <f t="shared" si="44"/>
        <v>512</v>
      </c>
      <c r="D459" s="7" t="s">
        <v>652</v>
      </c>
      <c r="E459">
        <f t="shared" si="43"/>
        <v>30</v>
      </c>
      <c r="G459" s="7" t="s">
        <v>648</v>
      </c>
      <c r="H459" s="40">
        <v>30</v>
      </c>
      <c r="I459">
        <f t="shared" si="39"/>
        <v>613</v>
      </c>
      <c r="J459" s="7" t="s">
        <v>648</v>
      </c>
      <c r="K459" s="7"/>
      <c r="L459">
        <f t="shared" si="41"/>
        <v>30</v>
      </c>
      <c r="M459">
        <f t="shared" si="42"/>
        <v>144</v>
      </c>
      <c r="N459" s="7" t="s">
        <v>648</v>
      </c>
      <c r="O459" s="40">
        <v>1</v>
      </c>
      <c r="Y459">
        <f t="shared" si="40"/>
        <v>712</v>
      </c>
    </row>
    <row r="460" spans="1:25" x14ac:dyDescent="0.25">
      <c r="A460" s="7" t="s">
        <v>659</v>
      </c>
      <c r="B460" s="40">
        <v>100</v>
      </c>
      <c r="C460">
        <f t="shared" si="44"/>
        <v>512</v>
      </c>
      <c r="D460" s="7" t="s">
        <v>653</v>
      </c>
      <c r="E460">
        <f t="shared" si="43"/>
        <v>30</v>
      </c>
      <c r="G460" s="7" t="s">
        <v>649</v>
      </c>
      <c r="H460" s="40">
        <v>40</v>
      </c>
      <c r="I460">
        <f t="shared" si="39"/>
        <v>587</v>
      </c>
      <c r="J460" s="7" t="s">
        <v>649</v>
      </c>
      <c r="K460" s="7"/>
      <c r="L460">
        <f t="shared" si="41"/>
        <v>40</v>
      </c>
      <c r="M460">
        <f t="shared" si="42"/>
        <v>144</v>
      </c>
      <c r="N460" s="7" t="s">
        <v>649</v>
      </c>
      <c r="O460" s="40">
        <v>1</v>
      </c>
      <c r="Y460">
        <f t="shared" si="40"/>
        <v>712</v>
      </c>
    </row>
    <row r="461" spans="1:25" x14ac:dyDescent="0.25">
      <c r="A461" s="7" t="s">
        <v>660</v>
      </c>
      <c r="B461" s="40">
        <v>58</v>
      </c>
      <c r="C461">
        <f t="shared" si="44"/>
        <v>254</v>
      </c>
      <c r="D461" s="7" t="s">
        <v>654</v>
      </c>
      <c r="E461">
        <f t="shared" si="43"/>
        <v>100</v>
      </c>
      <c r="G461" s="7" t="s">
        <v>650</v>
      </c>
      <c r="H461" s="40">
        <v>94</v>
      </c>
      <c r="I461">
        <f t="shared" ref="I461:I524" si="45">RANK(L:L,L:L)</f>
        <v>463</v>
      </c>
      <c r="J461" s="7" t="s">
        <v>650</v>
      </c>
      <c r="K461" s="7"/>
      <c r="L461">
        <f t="shared" si="41"/>
        <v>94</v>
      </c>
      <c r="M461">
        <f t="shared" si="42"/>
        <v>144</v>
      </c>
      <c r="N461" s="7" t="s">
        <v>650</v>
      </c>
      <c r="O461" s="40">
        <v>1</v>
      </c>
      <c r="Y461">
        <f t="shared" ref="Y461:Y524" si="46">RANK(AA:AA,AA:AA)</f>
        <v>712</v>
      </c>
    </row>
    <row r="462" spans="1:25" x14ac:dyDescent="0.25">
      <c r="A462" s="7" t="s">
        <v>661</v>
      </c>
      <c r="B462" s="40">
        <v>49</v>
      </c>
      <c r="C462">
        <f t="shared" si="44"/>
        <v>683</v>
      </c>
      <c r="D462" s="7" t="s">
        <v>655</v>
      </c>
      <c r="E462">
        <f t="shared" si="43"/>
        <v>0</v>
      </c>
      <c r="G462" s="7" t="s">
        <v>651</v>
      </c>
      <c r="H462" s="40">
        <v>317</v>
      </c>
      <c r="I462">
        <f t="shared" si="45"/>
        <v>248</v>
      </c>
      <c r="J462" s="7" t="s">
        <v>651</v>
      </c>
      <c r="K462" s="7"/>
      <c r="L462">
        <f t="shared" ref="L462:L525" si="47">VLOOKUP(G462,G461:H1284,2,0)</f>
        <v>317</v>
      </c>
      <c r="M462">
        <f t="shared" ref="M462:M525" si="48">RANK(O:O,O:O)</f>
        <v>144</v>
      </c>
      <c r="N462" s="7" t="s">
        <v>651</v>
      </c>
      <c r="O462" s="40">
        <v>1</v>
      </c>
      <c r="Y462">
        <f t="shared" si="46"/>
        <v>712</v>
      </c>
    </row>
    <row r="463" spans="1:25" x14ac:dyDescent="0.25">
      <c r="A463" s="7" t="s">
        <v>662</v>
      </c>
      <c r="B463" s="40">
        <v>30</v>
      </c>
      <c r="C463">
        <f t="shared" si="44"/>
        <v>508</v>
      </c>
      <c r="D463" s="7" t="s">
        <v>657</v>
      </c>
      <c r="E463">
        <f t="shared" si="43"/>
        <v>31</v>
      </c>
      <c r="G463" s="7" t="s">
        <v>652</v>
      </c>
      <c r="H463" s="40">
        <v>142</v>
      </c>
      <c r="I463">
        <f t="shared" si="45"/>
        <v>396</v>
      </c>
      <c r="J463" s="7" t="s">
        <v>652</v>
      </c>
      <c r="K463" s="7"/>
      <c r="L463">
        <f t="shared" si="47"/>
        <v>142</v>
      </c>
      <c r="M463">
        <f t="shared" si="48"/>
        <v>144</v>
      </c>
      <c r="N463" s="7" t="s">
        <v>652</v>
      </c>
      <c r="O463" s="40">
        <v>1</v>
      </c>
      <c r="Y463">
        <f t="shared" si="46"/>
        <v>712</v>
      </c>
    </row>
    <row r="464" spans="1:25" x14ac:dyDescent="0.25">
      <c r="A464" s="7" t="s">
        <v>663</v>
      </c>
      <c r="B464" s="40">
        <v>8500</v>
      </c>
      <c r="C464">
        <f t="shared" si="44"/>
        <v>83</v>
      </c>
      <c r="D464" s="7" t="s">
        <v>658</v>
      </c>
      <c r="E464">
        <f t="shared" si="43"/>
        <v>400</v>
      </c>
      <c r="G464" s="7" t="s">
        <v>653</v>
      </c>
      <c r="H464" s="40">
        <v>78</v>
      </c>
      <c r="I464">
        <f t="shared" si="45"/>
        <v>489</v>
      </c>
      <c r="J464" s="7" t="s">
        <v>653</v>
      </c>
      <c r="K464" s="7"/>
      <c r="L464">
        <f t="shared" si="47"/>
        <v>78</v>
      </c>
      <c r="M464">
        <f t="shared" si="48"/>
        <v>144</v>
      </c>
      <c r="N464" s="7" t="s">
        <v>653</v>
      </c>
      <c r="O464" s="40">
        <v>1</v>
      </c>
      <c r="Y464">
        <f t="shared" si="46"/>
        <v>712</v>
      </c>
    </row>
    <row r="465" spans="1:25" x14ac:dyDescent="0.25">
      <c r="A465" s="7" t="s">
        <v>664</v>
      </c>
      <c r="B465" s="40">
        <v>30</v>
      </c>
      <c r="C465">
        <f t="shared" si="44"/>
        <v>254</v>
      </c>
      <c r="D465" s="7" t="s">
        <v>659</v>
      </c>
      <c r="E465">
        <f t="shared" si="43"/>
        <v>100</v>
      </c>
      <c r="G465" s="7" t="s">
        <v>654</v>
      </c>
      <c r="H465" s="40">
        <v>0</v>
      </c>
      <c r="I465">
        <f t="shared" si="45"/>
        <v>754</v>
      </c>
      <c r="J465" s="7" t="s">
        <v>654</v>
      </c>
      <c r="K465" s="7"/>
      <c r="L465">
        <f t="shared" si="47"/>
        <v>0</v>
      </c>
      <c r="M465">
        <f t="shared" si="48"/>
        <v>144</v>
      </c>
      <c r="N465" s="7" t="s">
        <v>654</v>
      </c>
      <c r="O465" s="40">
        <v>1</v>
      </c>
      <c r="Y465">
        <f t="shared" si="46"/>
        <v>712</v>
      </c>
    </row>
    <row r="466" spans="1:25" x14ac:dyDescent="0.25">
      <c r="A466" s="7" t="s">
        <v>665</v>
      </c>
      <c r="B466" s="40">
        <v>40</v>
      </c>
      <c r="C466">
        <f t="shared" si="44"/>
        <v>396</v>
      </c>
      <c r="D466" s="7" t="s">
        <v>660</v>
      </c>
      <c r="E466">
        <f t="shared" si="43"/>
        <v>58</v>
      </c>
      <c r="G466" s="7" t="s">
        <v>655</v>
      </c>
      <c r="H466" s="40">
        <v>4</v>
      </c>
      <c r="I466">
        <f t="shared" si="45"/>
        <v>725</v>
      </c>
      <c r="J466" s="7" t="s">
        <v>655</v>
      </c>
      <c r="K466" s="7"/>
      <c r="L466">
        <f t="shared" si="47"/>
        <v>4</v>
      </c>
      <c r="M466">
        <f t="shared" si="48"/>
        <v>144</v>
      </c>
      <c r="N466" s="7" t="s">
        <v>655</v>
      </c>
      <c r="O466" s="40">
        <v>1</v>
      </c>
      <c r="Y466">
        <f t="shared" si="46"/>
        <v>712</v>
      </c>
    </row>
    <row r="467" spans="1:25" x14ac:dyDescent="0.25">
      <c r="A467" s="7" t="s">
        <v>666</v>
      </c>
      <c r="B467" s="40">
        <v>0</v>
      </c>
      <c r="C467">
        <f t="shared" si="44"/>
        <v>433</v>
      </c>
      <c r="D467" s="7" t="s">
        <v>661</v>
      </c>
      <c r="E467">
        <f t="shared" si="43"/>
        <v>49</v>
      </c>
      <c r="G467" s="7" t="s">
        <v>657</v>
      </c>
      <c r="H467" s="40">
        <v>14</v>
      </c>
      <c r="I467">
        <f t="shared" si="45"/>
        <v>683</v>
      </c>
      <c r="J467" s="7" t="s">
        <v>657</v>
      </c>
      <c r="K467" s="7"/>
      <c r="L467">
        <f t="shared" si="47"/>
        <v>14</v>
      </c>
      <c r="M467">
        <f t="shared" si="48"/>
        <v>144</v>
      </c>
      <c r="N467" s="7" t="s">
        <v>657</v>
      </c>
      <c r="O467" s="40">
        <v>1</v>
      </c>
      <c r="Y467">
        <f t="shared" si="46"/>
        <v>712</v>
      </c>
    </row>
    <row r="468" spans="1:25" x14ac:dyDescent="0.25">
      <c r="A468" s="7" t="s">
        <v>667</v>
      </c>
      <c r="B468" s="40">
        <v>40</v>
      </c>
      <c r="C468">
        <f t="shared" si="44"/>
        <v>512</v>
      </c>
      <c r="D468" s="7" t="s">
        <v>662</v>
      </c>
      <c r="E468">
        <f t="shared" si="43"/>
        <v>30</v>
      </c>
      <c r="G468" s="7" t="s">
        <v>658</v>
      </c>
      <c r="H468" s="40">
        <v>310</v>
      </c>
      <c r="I468">
        <f t="shared" si="45"/>
        <v>252</v>
      </c>
      <c r="J468" s="7" t="s">
        <v>658</v>
      </c>
      <c r="K468" s="7"/>
      <c r="L468">
        <f t="shared" si="47"/>
        <v>310</v>
      </c>
      <c r="M468">
        <f t="shared" si="48"/>
        <v>144</v>
      </c>
      <c r="N468" s="7" t="s">
        <v>658</v>
      </c>
      <c r="O468" s="40">
        <v>1</v>
      </c>
      <c r="Y468">
        <f t="shared" si="46"/>
        <v>712</v>
      </c>
    </row>
    <row r="469" spans="1:25" x14ac:dyDescent="0.25">
      <c r="A469" s="7" t="s">
        <v>668</v>
      </c>
      <c r="B469" s="40">
        <v>108</v>
      </c>
      <c r="C469">
        <f t="shared" si="44"/>
        <v>3</v>
      </c>
      <c r="D469" s="7" t="s">
        <v>663</v>
      </c>
      <c r="E469">
        <f t="shared" si="43"/>
        <v>8500</v>
      </c>
      <c r="G469" s="7" t="s">
        <v>659</v>
      </c>
      <c r="H469" s="40">
        <v>0</v>
      </c>
      <c r="I469">
        <f t="shared" si="45"/>
        <v>754</v>
      </c>
      <c r="J469" s="7" t="s">
        <v>659</v>
      </c>
      <c r="K469" s="7"/>
      <c r="L469">
        <f t="shared" si="47"/>
        <v>0</v>
      </c>
      <c r="M469">
        <f t="shared" si="48"/>
        <v>144</v>
      </c>
      <c r="N469" s="7" t="s">
        <v>659</v>
      </c>
      <c r="O469" s="40">
        <v>1</v>
      </c>
      <c r="Y469">
        <f t="shared" si="46"/>
        <v>712</v>
      </c>
    </row>
    <row r="470" spans="1:25" x14ac:dyDescent="0.25">
      <c r="A470" s="7" t="s">
        <v>669</v>
      </c>
      <c r="B470" s="40">
        <v>100</v>
      </c>
      <c r="C470">
        <f t="shared" si="44"/>
        <v>512</v>
      </c>
      <c r="D470" s="7" t="s">
        <v>664</v>
      </c>
      <c r="E470">
        <f t="shared" si="43"/>
        <v>30</v>
      </c>
      <c r="G470" s="7" t="s">
        <v>660</v>
      </c>
      <c r="H470" s="40">
        <v>59</v>
      </c>
      <c r="I470">
        <f t="shared" si="45"/>
        <v>530</v>
      </c>
      <c r="J470" s="7" t="s">
        <v>660</v>
      </c>
      <c r="K470" s="7"/>
      <c r="L470">
        <f t="shared" si="47"/>
        <v>59</v>
      </c>
      <c r="M470">
        <f t="shared" si="48"/>
        <v>144</v>
      </c>
      <c r="N470" s="7" t="s">
        <v>660</v>
      </c>
      <c r="O470" s="40">
        <v>1</v>
      </c>
      <c r="Y470">
        <f t="shared" si="46"/>
        <v>712</v>
      </c>
    </row>
    <row r="471" spans="1:25" x14ac:dyDescent="0.25">
      <c r="A471" s="7" t="s">
        <v>670</v>
      </c>
      <c r="B471" s="40">
        <v>50</v>
      </c>
      <c r="C471">
        <f t="shared" si="44"/>
        <v>454</v>
      </c>
      <c r="D471" s="7" t="s">
        <v>665</v>
      </c>
      <c r="E471">
        <f t="shared" si="43"/>
        <v>40</v>
      </c>
      <c r="G471" s="7" t="s">
        <v>661</v>
      </c>
      <c r="H471" s="40">
        <v>170</v>
      </c>
      <c r="I471">
        <f t="shared" si="45"/>
        <v>362</v>
      </c>
      <c r="J471" s="7" t="s">
        <v>661</v>
      </c>
      <c r="K471" s="7"/>
      <c r="L471">
        <f t="shared" si="47"/>
        <v>170</v>
      </c>
      <c r="M471">
        <f t="shared" si="48"/>
        <v>28</v>
      </c>
      <c r="N471" s="7" t="s">
        <v>661</v>
      </c>
      <c r="O471" s="40">
        <v>2</v>
      </c>
      <c r="Y471">
        <f t="shared" si="46"/>
        <v>712</v>
      </c>
    </row>
    <row r="472" spans="1:25" x14ac:dyDescent="0.25">
      <c r="A472" s="7" t="s">
        <v>671</v>
      </c>
      <c r="B472" s="40">
        <v>580</v>
      </c>
      <c r="C472">
        <f t="shared" si="44"/>
        <v>683</v>
      </c>
      <c r="D472" s="7" t="s">
        <v>666</v>
      </c>
      <c r="E472">
        <f t="shared" si="43"/>
        <v>0</v>
      </c>
      <c r="G472" s="7" t="s">
        <v>662</v>
      </c>
      <c r="H472" s="40">
        <v>11</v>
      </c>
      <c r="I472">
        <f t="shared" si="45"/>
        <v>695</v>
      </c>
      <c r="J472" s="7" t="s">
        <v>662</v>
      </c>
      <c r="K472" s="7"/>
      <c r="L472">
        <f t="shared" si="47"/>
        <v>11</v>
      </c>
      <c r="M472">
        <f t="shared" si="48"/>
        <v>144</v>
      </c>
      <c r="N472" s="7" t="s">
        <v>662</v>
      </c>
      <c r="O472" s="40">
        <v>1</v>
      </c>
      <c r="Y472">
        <f t="shared" si="46"/>
        <v>712</v>
      </c>
    </row>
    <row r="473" spans="1:25" x14ac:dyDescent="0.25">
      <c r="A473" s="7" t="s">
        <v>672</v>
      </c>
      <c r="B473" s="40">
        <v>200</v>
      </c>
      <c r="C473">
        <f t="shared" si="44"/>
        <v>454</v>
      </c>
      <c r="D473" s="7" t="s">
        <v>667</v>
      </c>
      <c r="E473">
        <f t="shared" si="43"/>
        <v>40</v>
      </c>
      <c r="G473" s="7" t="s">
        <v>663</v>
      </c>
      <c r="H473" s="40">
        <v>663</v>
      </c>
      <c r="I473">
        <f t="shared" si="45"/>
        <v>142</v>
      </c>
      <c r="J473" s="7" t="s">
        <v>663</v>
      </c>
      <c r="K473" s="7"/>
      <c r="L473">
        <f t="shared" si="47"/>
        <v>663</v>
      </c>
      <c r="M473">
        <f t="shared" si="48"/>
        <v>144</v>
      </c>
      <c r="N473" s="7" t="s">
        <v>663</v>
      </c>
      <c r="O473" s="40">
        <v>1</v>
      </c>
      <c r="Y473">
        <f t="shared" si="46"/>
        <v>712</v>
      </c>
    </row>
    <row r="474" spans="1:25" x14ac:dyDescent="0.25">
      <c r="A474" s="7" t="s">
        <v>673</v>
      </c>
      <c r="B474" s="40">
        <v>257</v>
      </c>
      <c r="C474">
        <f t="shared" si="44"/>
        <v>251</v>
      </c>
      <c r="D474" s="7" t="s">
        <v>668</v>
      </c>
      <c r="E474">
        <f t="shared" si="43"/>
        <v>108</v>
      </c>
      <c r="G474" s="7" t="s">
        <v>664</v>
      </c>
      <c r="H474" s="40">
        <v>97</v>
      </c>
      <c r="I474">
        <f t="shared" si="45"/>
        <v>458</v>
      </c>
      <c r="J474" s="7" t="s">
        <v>664</v>
      </c>
      <c r="K474" s="7"/>
      <c r="L474">
        <f t="shared" si="47"/>
        <v>97</v>
      </c>
      <c r="M474">
        <f t="shared" si="48"/>
        <v>144</v>
      </c>
      <c r="N474" s="7" t="s">
        <v>664</v>
      </c>
      <c r="O474" s="40">
        <v>1</v>
      </c>
      <c r="Y474">
        <f t="shared" si="46"/>
        <v>712</v>
      </c>
    </row>
    <row r="475" spans="1:25" x14ac:dyDescent="0.25">
      <c r="A475" s="7" t="s">
        <v>674</v>
      </c>
      <c r="B475" s="40">
        <v>129</v>
      </c>
      <c r="C475">
        <f t="shared" si="44"/>
        <v>254</v>
      </c>
      <c r="D475" s="7" t="s">
        <v>669</v>
      </c>
      <c r="E475">
        <f t="shared" si="43"/>
        <v>100</v>
      </c>
      <c r="G475" s="7" t="s">
        <v>665</v>
      </c>
      <c r="H475" s="40">
        <v>1200</v>
      </c>
      <c r="I475">
        <f t="shared" si="45"/>
        <v>84</v>
      </c>
      <c r="J475" s="7" t="s">
        <v>665</v>
      </c>
      <c r="K475" s="7"/>
      <c r="L475">
        <f t="shared" si="47"/>
        <v>1200</v>
      </c>
      <c r="M475">
        <f t="shared" si="48"/>
        <v>144</v>
      </c>
      <c r="N475" s="7" t="s">
        <v>665</v>
      </c>
      <c r="O475" s="40">
        <v>1</v>
      </c>
      <c r="Y475">
        <f t="shared" si="46"/>
        <v>712</v>
      </c>
    </row>
    <row r="476" spans="1:25" x14ac:dyDescent="0.25">
      <c r="A476" s="7" t="s">
        <v>675</v>
      </c>
      <c r="B476" s="40">
        <v>40</v>
      </c>
      <c r="C476">
        <f t="shared" si="44"/>
        <v>410</v>
      </c>
      <c r="D476" s="7" t="s">
        <v>670</v>
      </c>
      <c r="E476">
        <f t="shared" si="43"/>
        <v>50</v>
      </c>
      <c r="G476" s="7" t="s">
        <v>666</v>
      </c>
      <c r="H476" s="40">
        <v>20</v>
      </c>
      <c r="I476">
        <f t="shared" si="45"/>
        <v>652</v>
      </c>
      <c r="J476" s="7" t="s">
        <v>666</v>
      </c>
      <c r="K476" s="7"/>
      <c r="L476">
        <f t="shared" si="47"/>
        <v>20</v>
      </c>
      <c r="M476">
        <f t="shared" si="48"/>
        <v>28</v>
      </c>
      <c r="N476" s="7" t="s">
        <v>666</v>
      </c>
      <c r="O476" s="40">
        <v>2</v>
      </c>
      <c r="Y476">
        <f t="shared" si="46"/>
        <v>712</v>
      </c>
    </row>
    <row r="477" spans="1:25" x14ac:dyDescent="0.25">
      <c r="A477" s="7" t="s">
        <v>676</v>
      </c>
      <c r="B477" s="40">
        <v>59</v>
      </c>
      <c r="C477">
        <f t="shared" si="44"/>
        <v>57</v>
      </c>
      <c r="D477" s="7" t="s">
        <v>671</v>
      </c>
      <c r="E477">
        <f t="shared" si="43"/>
        <v>580</v>
      </c>
      <c r="G477" s="7" t="s">
        <v>667</v>
      </c>
      <c r="H477" s="40">
        <v>0</v>
      </c>
      <c r="I477">
        <f t="shared" si="45"/>
        <v>754</v>
      </c>
      <c r="J477" s="7" t="s">
        <v>667</v>
      </c>
      <c r="K477" s="7"/>
      <c r="L477">
        <f t="shared" si="47"/>
        <v>0</v>
      </c>
      <c r="M477">
        <f t="shared" si="48"/>
        <v>144</v>
      </c>
      <c r="N477" s="7" t="s">
        <v>667</v>
      </c>
      <c r="O477" s="40">
        <v>1</v>
      </c>
      <c r="Y477">
        <f t="shared" si="46"/>
        <v>712</v>
      </c>
    </row>
    <row r="478" spans="1:25" x14ac:dyDescent="0.25">
      <c r="A478" s="7" t="s">
        <v>678</v>
      </c>
      <c r="B478" s="40">
        <v>142</v>
      </c>
      <c r="C478">
        <f t="shared" si="44"/>
        <v>147</v>
      </c>
      <c r="D478" s="7" t="s">
        <v>672</v>
      </c>
      <c r="E478">
        <f t="shared" si="43"/>
        <v>200</v>
      </c>
      <c r="G478" s="7" t="s">
        <v>668</v>
      </c>
      <c r="H478" s="40">
        <v>918</v>
      </c>
      <c r="I478">
        <f t="shared" si="45"/>
        <v>108</v>
      </c>
      <c r="J478" s="7" t="s">
        <v>668</v>
      </c>
      <c r="K478" s="7"/>
      <c r="L478">
        <f t="shared" si="47"/>
        <v>918</v>
      </c>
      <c r="M478">
        <f t="shared" si="48"/>
        <v>9</v>
      </c>
      <c r="N478" s="7" t="s">
        <v>668</v>
      </c>
      <c r="O478" s="40">
        <v>3</v>
      </c>
      <c r="Y478">
        <f t="shared" si="46"/>
        <v>712</v>
      </c>
    </row>
    <row r="479" spans="1:25" x14ac:dyDescent="0.25">
      <c r="A479" s="7" t="s">
        <v>679</v>
      </c>
      <c r="B479" s="40">
        <v>7</v>
      </c>
      <c r="C479">
        <f t="shared" si="44"/>
        <v>119</v>
      </c>
      <c r="D479" s="7" t="s">
        <v>673</v>
      </c>
      <c r="E479">
        <f t="shared" si="43"/>
        <v>257</v>
      </c>
      <c r="G479" s="7" t="s">
        <v>669</v>
      </c>
      <c r="H479" s="40">
        <v>322</v>
      </c>
      <c r="I479">
        <f t="shared" si="45"/>
        <v>245</v>
      </c>
      <c r="J479" s="7" t="s">
        <v>669</v>
      </c>
      <c r="K479" s="7"/>
      <c r="L479">
        <f t="shared" si="47"/>
        <v>322</v>
      </c>
      <c r="M479">
        <f t="shared" si="48"/>
        <v>144</v>
      </c>
      <c r="N479" s="7" t="s">
        <v>669</v>
      </c>
      <c r="O479" s="40">
        <v>1</v>
      </c>
      <c r="Y479">
        <f t="shared" si="46"/>
        <v>712</v>
      </c>
    </row>
    <row r="480" spans="1:25" x14ac:dyDescent="0.25">
      <c r="A480" s="7" t="s">
        <v>680</v>
      </c>
      <c r="B480" s="40">
        <v>24</v>
      </c>
      <c r="C480">
        <f t="shared" si="44"/>
        <v>233</v>
      </c>
      <c r="D480" s="7" t="s">
        <v>674</v>
      </c>
      <c r="E480">
        <f t="shared" si="43"/>
        <v>129</v>
      </c>
      <c r="G480" s="7" t="s">
        <v>670</v>
      </c>
      <c r="H480" s="40">
        <v>69</v>
      </c>
      <c r="I480">
        <f t="shared" si="45"/>
        <v>510</v>
      </c>
      <c r="J480" s="7" t="s">
        <v>670</v>
      </c>
      <c r="K480" s="7"/>
      <c r="L480">
        <f t="shared" si="47"/>
        <v>69</v>
      </c>
      <c r="M480">
        <f t="shared" si="48"/>
        <v>144</v>
      </c>
      <c r="N480" s="7" t="s">
        <v>670</v>
      </c>
      <c r="O480" s="40">
        <v>1</v>
      </c>
      <c r="Y480">
        <f t="shared" si="46"/>
        <v>712</v>
      </c>
    </row>
    <row r="481" spans="1:25" x14ac:dyDescent="0.25">
      <c r="A481" s="7" t="s">
        <v>681</v>
      </c>
      <c r="B481" s="40">
        <v>400</v>
      </c>
      <c r="C481">
        <f t="shared" si="44"/>
        <v>454</v>
      </c>
      <c r="D481" s="7" t="s">
        <v>675</v>
      </c>
      <c r="E481">
        <f t="shared" si="43"/>
        <v>40</v>
      </c>
      <c r="G481" s="7" t="s">
        <v>671</v>
      </c>
      <c r="H481" s="40">
        <v>889</v>
      </c>
      <c r="I481">
        <f t="shared" si="45"/>
        <v>112</v>
      </c>
      <c r="J481" s="7" t="s">
        <v>671</v>
      </c>
      <c r="K481" s="7"/>
      <c r="L481">
        <f t="shared" si="47"/>
        <v>889</v>
      </c>
      <c r="M481">
        <f t="shared" si="48"/>
        <v>28</v>
      </c>
      <c r="N481" s="7" t="s">
        <v>671</v>
      </c>
      <c r="O481" s="40">
        <v>2</v>
      </c>
      <c r="Y481">
        <f t="shared" si="46"/>
        <v>712</v>
      </c>
    </row>
    <row r="482" spans="1:25" x14ac:dyDescent="0.25">
      <c r="A482" s="7" t="s">
        <v>682</v>
      </c>
      <c r="B482" s="40">
        <v>100</v>
      </c>
      <c r="C482">
        <f t="shared" si="44"/>
        <v>393</v>
      </c>
      <c r="D482" s="7" t="s">
        <v>676</v>
      </c>
      <c r="E482">
        <f t="shared" si="43"/>
        <v>59</v>
      </c>
      <c r="G482" s="7" t="s">
        <v>672</v>
      </c>
      <c r="H482" s="40">
        <v>476</v>
      </c>
      <c r="I482">
        <f t="shared" si="45"/>
        <v>186</v>
      </c>
      <c r="J482" s="7" t="s">
        <v>672</v>
      </c>
      <c r="K482" s="7"/>
      <c r="L482">
        <f t="shared" si="47"/>
        <v>476</v>
      </c>
      <c r="M482">
        <f t="shared" si="48"/>
        <v>144</v>
      </c>
      <c r="N482" s="7" t="s">
        <v>672</v>
      </c>
      <c r="O482" s="40">
        <v>1</v>
      </c>
      <c r="Y482">
        <f t="shared" si="46"/>
        <v>712</v>
      </c>
    </row>
    <row r="483" spans="1:25" x14ac:dyDescent="0.25">
      <c r="A483" s="7" t="s">
        <v>683</v>
      </c>
      <c r="B483" s="40">
        <v>80</v>
      </c>
      <c r="C483">
        <f t="shared" si="44"/>
        <v>210</v>
      </c>
      <c r="D483" s="7" t="s">
        <v>678</v>
      </c>
      <c r="E483">
        <f t="shared" si="43"/>
        <v>142</v>
      </c>
      <c r="G483" s="7" t="s">
        <v>673</v>
      </c>
      <c r="H483" s="40">
        <v>194</v>
      </c>
      <c r="I483">
        <f t="shared" si="45"/>
        <v>339</v>
      </c>
      <c r="J483" s="7" t="s">
        <v>673</v>
      </c>
      <c r="K483" s="7"/>
      <c r="L483">
        <f t="shared" si="47"/>
        <v>194</v>
      </c>
      <c r="M483">
        <f t="shared" si="48"/>
        <v>28</v>
      </c>
      <c r="N483" s="7" t="s">
        <v>673</v>
      </c>
      <c r="O483" s="40">
        <v>2</v>
      </c>
      <c r="Y483">
        <f t="shared" si="46"/>
        <v>712</v>
      </c>
    </row>
    <row r="484" spans="1:25" x14ac:dyDescent="0.25">
      <c r="A484" s="7" t="s">
        <v>684</v>
      </c>
      <c r="B484" s="40">
        <v>120</v>
      </c>
      <c r="C484">
        <f t="shared" si="44"/>
        <v>670</v>
      </c>
      <c r="D484" s="7" t="s">
        <v>679</v>
      </c>
      <c r="E484">
        <f t="shared" si="43"/>
        <v>7</v>
      </c>
      <c r="G484" s="7" t="s">
        <v>674</v>
      </c>
      <c r="H484" s="40">
        <v>290</v>
      </c>
      <c r="I484">
        <f t="shared" si="45"/>
        <v>263</v>
      </c>
      <c r="J484" s="7" t="s">
        <v>674</v>
      </c>
      <c r="K484" s="7"/>
      <c r="L484">
        <f t="shared" si="47"/>
        <v>290</v>
      </c>
      <c r="M484">
        <f t="shared" si="48"/>
        <v>144</v>
      </c>
      <c r="N484" s="7" t="s">
        <v>674</v>
      </c>
      <c r="O484" s="40">
        <v>1</v>
      </c>
      <c r="Y484">
        <f t="shared" si="46"/>
        <v>712</v>
      </c>
    </row>
    <row r="485" spans="1:25" x14ac:dyDescent="0.25">
      <c r="A485" s="7" t="s">
        <v>685</v>
      </c>
      <c r="B485" s="40">
        <v>260</v>
      </c>
      <c r="C485">
        <f t="shared" si="44"/>
        <v>564</v>
      </c>
      <c r="D485" s="7" t="s">
        <v>680</v>
      </c>
      <c r="E485">
        <f t="shared" si="43"/>
        <v>24</v>
      </c>
      <c r="G485" s="7" t="s">
        <v>675</v>
      </c>
      <c r="H485" s="40">
        <v>400</v>
      </c>
      <c r="I485">
        <f t="shared" si="45"/>
        <v>209</v>
      </c>
      <c r="J485" s="7" t="s">
        <v>675</v>
      </c>
      <c r="K485" s="7"/>
      <c r="L485">
        <f t="shared" si="47"/>
        <v>400</v>
      </c>
      <c r="M485">
        <f t="shared" si="48"/>
        <v>144</v>
      </c>
      <c r="N485" s="7" t="s">
        <v>675</v>
      </c>
      <c r="O485" s="40">
        <v>1</v>
      </c>
      <c r="Y485">
        <f t="shared" si="46"/>
        <v>712</v>
      </c>
    </row>
    <row r="486" spans="1:25" x14ac:dyDescent="0.25">
      <c r="A486" s="7" t="s">
        <v>686</v>
      </c>
      <c r="B486" s="40">
        <v>84</v>
      </c>
      <c r="C486">
        <f t="shared" si="44"/>
        <v>83</v>
      </c>
      <c r="D486" s="7" t="s">
        <v>681</v>
      </c>
      <c r="E486">
        <f t="shared" si="43"/>
        <v>400</v>
      </c>
      <c r="G486" s="7" t="s">
        <v>676</v>
      </c>
      <c r="H486" s="40">
        <v>60</v>
      </c>
      <c r="I486">
        <f t="shared" si="45"/>
        <v>525</v>
      </c>
      <c r="J486" s="7" t="s">
        <v>676</v>
      </c>
      <c r="K486" s="7"/>
      <c r="L486">
        <f t="shared" si="47"/>
        <v>60</v>
      </c>
      <c r="M486">
        <f t="shared" si="48"/>
        <v>144</v>
      </c>
      <c r="N486" s="7" t="s">
        <v>676</v>
      </c>
      <c r="O486" s="40">
        <v>1</v>
      </c>
      <c r="Y486">
        <f t="shared" si="46"/>
        <v>712</v>
      </c>
    </row>
    <row r="487" spans="1:25" x14ac:dyDescent="0.25">
      <c r="A487" s="7" t="s">
        <v>687</v>
      </c>
      <c r="B487" s="40">
        <v>0</v>
      </c>
      <c r="C487">
        <f t="shared" si="44"/>
        <v>254</v>
      </c>
      <c r="D487" s="7" t="s">
        <v>682</v>
      </c>
      <c r="E487">
        <f t="shared" si="43"/>
        <v>100</v>
      </c>
      <c r="G487" s="7" t="s">
        <v>678</v>
      </c>
      <c r="H487" s="40">
        <v>87</v>
      </c>
      <c r="I487">
        <f t="shared" si="45"/>
        <v>476</v>
      </c>
      <c r="J487" s="7" t="s">
        <v>678</v>
      </c>
      <c r="K487" s="7"/>
      <c r="L487">
        <f t="shared" si="47"/>
        <v>87</v>
      </c>
      <c r="M487">
        <f t="shared" si="48"/>
        <v>144</v>
      </c>
      <c r="N487" s="7" t="s">
        <v>678</v>
      </c>
      <c r="O487" s="40">
        <v>1</v>
      </c>
      <c r="Y487">
        <f t="shared" si="46"/>
        <v>712</v>
      </c>
    </row>
    <row r="488" spans="1:25" x14ac:dyDescent="0.25">
      <c r="A488" s="7" t="s">
        <v>688</v>
      </c>
      <c r="B488" s="40">
        <v>200</v>
      </c>
      <c r="C488">
        <f t="shared" si="44"/>
        <v>322</v>
      </c>
      <c r="D488" s="7" t="s">
        <v>683</v>
      </c>
      <c r="E488">
        <f t="shared" si="43"/>
        <v>80</v>
      </c>
      <c r="G488" s="7" t="s">
        <v>679</v>
      </c>
      <c r="H488" s="40">
        <v>26</v>
      </c>
      <c r="I488">
        <f t="shared" si="45"/>
        <v>624</v>
      </c>
      <c r="J488" s="7" t="s">
        <v>679</v>
      </c>
      <c r="K488" s="7"/>
      <c r="L488">
        <f t="shared" si="47"/>
        <v>26</v>
      </c>
      <c r="M488">
        <f t="shared" si="48"/>
        <v>144</v>
      </c>
      <c r="N488" s="7" t="s">
        <v>679</v>
      </c>
      <c r="O488" s="40">
        <v>1</v>
      </c>
      <c r="Y488">
        <f t="shared" si="46"/>
        <v>712</v>
      </c>
    </row>
    <row r="489" spans="1:25" x14ac:dyDescent="0.25">
      <c r="A489" s="7" t="s">
        <v>689</v>
      </c>
      <c r="B489" s="40">
        <v>340</v>
      </c>
      <c r="C489">
        <f t="shared" si="44"/>
        <v>238</v>
      </c>
      <c r="D489" s="7" t="s">
        <v>684</v>
      </c>
      <c r="E489">
        <f t="shared" si="43"/>
        <v>120</v>
      </c>
      <c r="G489" s="7" t="s">
        <v>680</v>
      </c>
      <c r="H489" s="40">
        <v>100</v>
      </c>
      <c r="I489">
        <f t="shared" si="45"/>
        <v>451</v>
      </c>
      <c r="J489" s="7" t="s">
        <v>680</v>
      </c>
      <c r="K489" s="7"/>
      <c r="L489">
        <f t="shared" si="47"/>
        <v>100</v>
      </c>
      <c r="M489">
        <f t="shared" si="48"/>
        <v>144</v>
      </c>
      <c r="N489" s="7" t="s">
        <v>680</v>
      </c>
      <c r="O489" s="40">
        <v>1</v>
      </c>
      <c r="Y489">
        <f t="shared" si="46"/>
        <v>712</v>
      </c>
    </row>
    <row r="490" spans="1:25" x14ac:dyDescent="0.25">
      <c r="A490" s="7" t="s">
        <v>690</v>
      </c>
      <c r="B490" s="40">
        <v>0</v>
      </c>
      <c r="C490">
        <f t="shared" si="44"/>
        <v>116</v>
      </c>
      <c r="D490" s="7" t="s">
        <v>685</v>
      </c>
      <c r="E490">
        <f t="shared" si="43"/>
        <v>260</v>
      </c>
      <c r="G490" s="7" t="s">
        <v>681</v>
      </c>
      <c r="H490" s="40">
        <v>319</v>
      </c>
      <c r="I490">
        <f t="shared" si="45"/>
        <v>247</v>
      </c>
      <c r="J490" s="7" t="s">
        <v>681</v>
      </c>
      <c r="K490" s="7"/>
      <c r="L490">
        <f t="shared" si="47"/>
        <v>319</v>
      </c>
      <c r="M490">
        <f t="shared" si="48"/>
        <v>144</v>
      </c>
      <c r="N490" s="7" t="s">
        <v>681</v>
      </c>
      <c r="O490" s="40">
        <v>1</v>
      </c>
      <c r="Y490">
        <f t="shared" si="46"/>
        <v>712</v>
      </c>
    </row>
    <row r="491" spans="1:25" x14ac:dyDescent="0.25">
      <c r="A491" s="7" t="s">
        <v>691</v>
      </c>
      <c r="B491" s="40">
        <v>315</v>
      </c>
      <c r="C491">
        <f t="shared" si="44"/>
        <v>316</v>
      </c>
      <c r="D491" s="7" t="s">
        <v>686</v>
      </c>
      <c r="E491">
        <f t="shared" si="43"/>
        <v>84</v>
      </c>
      <c r="G491" s="7" t="s">
        <v>682</v>
      </c>
      <c r="H491" s="40">
        <v>0</v>
      </c>
      <c r="I491">
        <f t="shared" si="45"/>
        <v>754</v>
      </c>
      <c r="J491" s="7" t="s">
        <v>682</v>
      </c>
      <c r="K491" s="7"/>
      <c r="L491">
        <f t="shared" si="47"/>
        <v>0</v>
      </c>
      <c r="M491">
        <f t="shared" si="48"/>
        <v>144</v>
      </c>
      <c r="N491" s="7" t="s">
        <v>682</v>
      </c>
      <c r="O491" s="40">
        <v>1</v>
      </c>
      <c r="Y491">
        <f t="shared" si="46"/>
        <v>712</v>
      </c>
    </row>
    <row r="492" spans="1:25" x14ac:dyDescent="0.25">
      <c r="A492" s="7" t="s">
        <v>692</v>
      </c>
      <c r="B492" s="40">
        <v>170</v>
      </c>
      <c r="C492">
        <f t="shared" si="44"/>
        <v>683</v>
      </c>
      <c r="D492" s="7" t="s">
        <v>687</v>
      </c>
      <c r="E492">
        <f t="shared" si="43"/>
        <v>0</v>
      </c>
      <c r="G492" s="7" t="s">
        <v>683</v>
      </c>
      <c r="H492" s="40">
        <v>48</v>
      </c>
      <c r="I492">
        <f t="shared" si="45"/>
        <v>561</v>
      </c>
      <c r="J492" s="7" t="s">
        <v>683</v>
      </c>
      <c r="K492" s="7"/>
      <c r="L492">
        <f t="shared" si="47"/>
        <v>48</v>
      </c>
      <c r="M492">
        <f t="shared" si="48"/>
        <v>144</v>
      </c>
      <c r="N492" s="7" t="s">
        <v>683</v>
      </c>
      <c r="O492" s="40">
        <v>1</v>
      </c>
      <c r="Y492">
        <f t="shared" si="46"/>
        <v>712</v>
      </c>
    </row>
    <row r="493" spans="1:25" x14ac:dyDescent="0.25">
      <c r="A493" s="7" t="s">
        <v>693</v>
      </c>
      <c r="B493" s="40">
        <v>0</v>
      </c>
      <c r="C493">
        <f t="shared" si="44"/>
        <v>147</v>
      </c>
      <c r="D493" s="7" t="s">
        <v>688</v>
      </c>
      <c r="E493">
        <f t="shared" si="43"/>
        <v>200</v>
      </c>
      <c r="G493" s="7" t="s">
        <v>684</v>
      </c>
      <c r="H493" s="40">
        <v>336</v>
      </c>
      <c r="I493">
        <f t="shared" si="45"/>
        <v>236</v>
      </c>
      <c r="J493" s="7" t="s">
        <v>684</v>
      </c>
      <c r="K493" s="7"/>
      <c r="L493">
        <f t="shared" si="47"/>
        <v>336</v>
      </c>
      <c r="M493">
        <f t="shared" si="48"/>
        <v>144</v>
      </c>
      <c r="N493" s="7" t="s">
        <v>684</v>
      </c>
      <c r="O493" s="40">
        <v>1</v>
      </c>
      <c r="Y493">
        <f t="shared" si="46"/>
        <v>712</v>
      </c>
    </row>
    <row r="494" spans="1:25" x14ac:dyDescent="0.25">
      <c r="A494" s="7" t="s">
        <v>694</v>
      </c>
      <c r="B494" s="40">
        <v>100</v>
      </c>
      <c r="C494">
        <f t="shared" si="44"/>
        <v>96</v>
      </c>
      <c r="D494" s="7" t="s">
        <v>689</v>
      </c>
      <c r="E494">
        <f t="shared" si="43"/>
        <v>340</v>
      </c>
      <c r="G494" s="7" t="s">
        <v>685</v>
      </c>
      <c r="H494" s="40">
        <v>502</v>
      </c>
      <c r="I494">
        <f t="shared" si="45"/>
        <v>175</v>
      </c>
      <c r="J494" s="7" t="s">
        <v>685</v>
      </c>
      <c r="K494" s="7"/>
      <c r="L494">
        <f t="shared" si="47"/>
        <v>502</v>
      </c>
      <c r="M494">
        <f t="shared" si="48"/>
        <v>144</v>
      </c>
      <c r="N494" s="7" t="s">
        <v>685</v>
      </c>
      <c r="O494" s="40">
        <v>1</v>
      </c>
      <c r="Y494">
        <f t="shared" si="46"/>
        <v>712</v>
      </c>
    </row>
    <row r="495" spans="1:25" x14ac:dyDescent="0.25">
      <c r="A495" s="7" t="s">
        <v>695</v>
      </c>
      <c r="B495" s="40">
        <v>0</v>
      </c>
      <c r="C495">
        <f t="shared" si="44"/>
        <v>683</v>
      </c>
      <c r="D495" s="7" t="s">
        <v>690</v>
      </c>
      <c r="E495">
        <f t="shared" si="43"/>
        <v>0</v>
      </c>
      <c r="G495" s="7" t="s">
        <v>686</v>
      </c>
      <c r="H495" s="40">
        <v>1700</v>
      </c>
      <c r="I495">
        <f t="shared" si="45"/>
        <v>61</v>
      </c>
      <c r="J495" s="7" t="s">
        <v>686</v>
      </c>
      <c r="K495" s="7"/>
      <c r="L495">
        <f t="shared" si="47"/>
        <v>1700</v>
      </c>
      <c r="M495">
        <f t="shared" si="48"/>
        <v>144</v>
      </c>
      <c r="N495" s="7" t="s">
        <v>686</v>
      </c>
      <c r="O495" s="40">
        <v>1</v>
      </c>
      <c r="Y495">
        <f t="shared" si="46"/>
        <v>712</v>
      </c>
    </row>
    <row r="496" spans="1:25" x14ac:dyDescent="0.25">
      <c r="A496" s="7" t="s">
        <v>696</v>
      </c>
      <c r="B496" s="40">
        <v>16</v>
      </c>
      <c r="C496">
        <f t="shared" si="44"/>
        <v>100</v>
      </c>
      <c r="D496" s="7" t="s">
        <v>691</v>
      </c>
      <c r="E496">
        <f t="shared" si="43"/>
        <v>315</v>
      </c>
      <c r="G496" s="7" t="s">
        <v>687</v>
      </c>
      <c r="H496" s="40">
        <v>145</v>
      </c>
      <c r="I496">
        <f t="shared" si="45"/>
        <v>392</v>
      </c>
      <c r="J496" s="7" t="s">
        <v>687</v>
      </c>
      <c r="K496" s="7"/>
      <c r="L496">
        <f t="shared" si="47"/>
        <v>145</v>
      </c>
      <c r="M496">
        <f t="shared" si="48"/>
        <v>144</v>
      </c>
      <c r="N496" s="7" t="s">
        <v>687</v>
      </c>
      <c r="O496" s="40">
        <v>1</v>
      </c>
      <c r="Y496">
        <f t="shared" si="46"/>
        <v>712</v>
      </c>
    </row>
    <row r="497" spans="1:25" x14ac:dyDescent="0.25">
      <c r="A497" s="7" t="s">
        <v>697</v>
      </c>
      <c r="B497" s="40">
        <v>14</v>
      </c>
      <c r="C497">
        <f t="shared" si="44"/>
        <v>176</v>
      </c>
      <c r="D497" s="7" t="s">
        <v>692</v>
      </c>
      <c r="E497">
        <f t="shared" si="43"/>
        <v>170</v>
      </c>
      <c r="G497" s="7" t="s">
        <v>688</v>
      </c>
      <c r="H497" s="40">
        <v>0</v>
      </c>
      <c r="I497">
        <f t="shared" si="45"/>
        <v>754</v>
      </c>
      <c r="J497" s="7" t="s">
        <v>688</v>
      </c>
      <c r="K497" s="7"/>
      <c r="L497">
        <f t="shared" si="47"/>
        <v>0</v>
      </c>
      <c r="M497">
        <f t="shared" si="48"/>
        <v>144</v>
      </c>
      <c r="N497" s="7" t="s">
        <v>688</v>
      </c>
      <c r="O497" s="40">
        <v>1</v>
      </c>
      <c r="Y497">
        <f t="shared" si="46"/>
        <v>712</v>
      </c>
    </row>
    <row r="498" spans="1:25" x14ac:dyDescent="0.25">
      <c r="A498" s="7" t="s">
        <v>699</v>
      </c>
      <c r="B498" s="40">
        <v>0</v>
      </c>
      <c r="C498">
        <f t="shared" si="44"/>
        <v>683</v>
      </c>
      <c r="D498" s="7" t="s">
        <v>693</v>
      </c>
      <c r="E498">
        <f t="shared" si="43"/>
        <v>0</v>
      </c>
      <c r="G498" s="7" t="s">
        <v>689</v>
      </c>
      <c r="H498" s="40">
        <v>300</v>
      </c>
      <c r="I498">
        <f t="shared" si="45"/>
        <v>255</v>
      </c>
      <c r="J498" s="7" t="s">
        <v>689</v>
      </c>
      <c r="K498" s="7"/>
      <c r="L498">
        <f t="shared" si="47"/>
        <v>300</v>
      </c>
      <c r="M498">
        <f t="shared" si="48"/>
        <v>28</v>
      </c>
      <c r="N498" s="7" t="s">
        <v>689</v>
      </c>
      <c r="O498" s="40">
        <v>2</v>
      </c>
      <c r="Y498">
        <f t="shared" si="46"/>
        <v>712</v>
      </c>
    </row>
    <row r="499" spans="1:25" x14ac:dyDescent="0.25">
      <c r="A499" s="7" t="s">
        <v>700</v>
      </c>
      <c r="B499" s="40">
        <v>30</v>
      </c>
      <c r="C499">
        <f t="shared" si="44"/>
        <v>254</v>
      </c>
      <c r="D499" s="7" t="s">
        <v>694</v>
      </c>
      <c r="E499">
        <f t="shared" si="43"/>
        <v>100</v>
      </c>
      <c r="G499" s="7" t="s">
        <v>690</v>
      </c>
      <c r="H499" s="40">
        <v>124</v>
      </c>
      <c r="I499">
        <f t="shared" si="45"/>
        <v>417</v>
      </c>
      <c r="J499" s="7" t="s">
        <v>690</v>
      </c>
      <c r="K499" s="7"/>
      <c r="L499">
        <f t="shared" si="47"/>
        <v>124</v>
      </c>
      <c r="M499">
        <f t="shared" si="48"/>
        <v>144</v>
      </c>
      <c r="N499" s="7" t="s">
        <v>690</v>
      </c>
      <c r="O499" s="40">
        <v>1</v>
      </c>
      <c r="Y499">
        <f t="shared" si="46"/>
        <v>712</v>
      </c>
    </row>
    <row r="500" spans="1:25" x14ac:dyDescent="0.25">
      <c r="A500" s="7" t="s">
        <v>701</v>
      </c>
      <c r="B500" s="40">
        <v>0</v>
      </c>
      <c r="C500">
        <f t="shared" si="44"/>
        <v>683</v>
      </c>
      <c r="D500" s="7" t="s">
        <v>695</v>
      </c>
      <c r="E500">
        <f t="shared" si="43"/>
        <v>0</v>
      </c>
      <c r="G500" s="7" t="s">
        <v>691</v>
      </c>
      <c r="H500" s="40">
        <v>1200</v>
      </c>
      <c r="I500">
        <f t="shared" si="45"/>
        <v>84</v>
      </c>
      <c r="J500" s="7" t="s">
        <v>691</v>
      </c>
      <c r="K500" s="7"/>
      <c r="L500">
        <f t="shared" si="47"/>
        <v>1200</v>
      </c>
      <c r="M500">
        <f t="shared" si="48"/>
        <v>144</v>
      </c>
      <c r="N500" s="7" t="s">
        <v>691</v>
      </c>
      <c r="O500" s="40">
        <v>1</v>
      </c>
      <c r="Y500">
        <f t="shared" si="46"/>
        <v>712</v>
      </c>
    </row>
    <row r="501" spans="1:25" x14ac:dyDescent="0.25">
      <c r="A501" s="7" t="s">
        <v>702</v>
      </c>
      <c r="B501" s="40">
        <v>30</v>
      </c>
      <c r="C501">
        <f t="shared" si="44"/>
        <v>617</v>
      </c>
      <c r="D501" s="7" t="s">
        <v>696</v>
      </c>
      <c r="E501">
        <f t="shared" si="43"/>
        <v>16</v>
      </c>
      <c r="G501" s="7" t="s">
        <v>692</v>
      </c>
      <c r="H501" s="40">
        <v>31</v>
      </c>
      <c r="I501">
        <f t="shared" si="45"/>
        <v>611</v>
      </c>
      <c r="J501" s="7" t="s">
        <v>692</v>
      </c>
      <c r="K501" s="7"/>
      <c r="L501">
        <f t="shared" si="47"/>
        <v>31</v>
      </c>
      <c r="M501">
        <f t="shared" si="48"/>
        <v>144</v>
      </c>
      <c r="N501" s="7" t="s">
        <v>692</v>
      </c>
      <c r="O501" s="40">
        <v>1</v>
      </c>
      <c r="Y501">
        <f t="shared" si="46"/>
        <v>712</v>
      </c>
    </row>
    <row r="502" spans="1:25" x14ac:dyDescent="0.25">
      <c r="A502" s="7" t="s">
        <v>703</v>
      </c>
      <c r="B502" s="40">
        <v>30</v>
      </c>
      <c r="C502">
        <f t="shared" si="44"/>
        <v>631</v>
      </c>
      <c r="D502" s="7" t="s">
        <v>697</v>
      </c>
      <c r="E502">
        <f t="shared" si="43"/>
        <v>14</v>
      </c>
      <c r="G502" s="7" t="s">
        <v>693</v>
      </c>
      <c r="H502" s="40">
        <v>81</v>
      </c>
      <c r="I502">
        <f t="shared" si="45"/>
        <v>484</v>
      </c>
      <c r="J502" s="7" t="s">
        <v>693</v>
      </c>
      <c r="K502" s="7"/>
      <c r="L502">
        <f t="shared" si="47"/>
        <v>81</v>
      </c>
      <c r="M502">
        <f t="shared" si="48"/>
        <v>144</v>
      </c>
      <c r="N502" s="7" t="s">
        <v>693</v>
      </c>
      <c r="O502" s="40">
        <v>1</v>
      </c>
      <c r="Y502">
        <f t="shared" si="46"/>
        <v>712</v>
      </c>
    </row>
    <row r="503" spans="1:25" x14ac:dyDescent="0.25">
      <c r="A503" s="7" t="s">
        <v>705</v>
      </c>
      <c r="B503" s="40">
        <v>60</v>
      </c>
      <c r="C503">
        <f t="shared" si="44"/>
        <v>683</v>
      </c>
      <c r="D503" s="7" t="s">
        <v>699</v>
      </c>
      <c r="E503">
        <f t="shared" si="43"/>
        <v>0</v>
      </c>
      <c r="G503" s="7" t="s">
        <v>694</v>
      </c>
      <c r="H503" s="40">
        <v>35</v>
      </c>
      <c r="I503">
        <f t="shared" si="45"/>
        <v>600</v>
      </c>
      <c r="J503" s="7" t="s">
        <v>694</v>
      </c>
      <c r="K503" s="7"/>
      <c r="L503">
        <f t="shared" si="47"/>
        <v>35</v>
      </c>
      <c r="M503">
        <f t="shared" si="48"/>
        <v>144</v>
      </c>
      <c r="N503" s="7" t="s">
        <v>694</v>
      </c>
      <c r="O503" s="40">
        <v>1</v>
      </c>
      <c r="Y503">
        <f t="shared" si="46"/>
        <v>712</v>
      </c>
    </row>
    <row r="504" spans="1:25" x14ac:dyDescent="0.25">
      <c r="A504" s="7" t="s">
        <v>706</v>
      </c>
      <c r="B504" s="40">
        <v>0</v>
      </c>
      <c r="C504">
        <f t="shared" si="44"/>
        <v>512</v>
      </c>
      <c r="D504" s="7" t="s">
        <v>700</v>
      </c>
      <c r="E504">
        <f t="shared" si="43"/>
        <v>30</v>
      </c>
      <c r="G504" s="7" t="s">
        <v>695</v>
      </c>
      <c r="H504" s="40">
        <v>30</v>
      </c>
      <c r="I504">
        <f t="shared" si="45"/>
        <v>613</v>
      </c>
      <c r="J504" s="7" t="s">
        <v>695</v>
      </c>
      <c r="K504" s="7"/>
      <c r="L504">
        <f t="shared" si="47"/>
        <v>30</v>
      </c>
      <c r="M504">
        <f t="shared" si="48"/>
        <v>144</v>
      </c>
      <c r="N504" s="7" t="s">
        <v>695</v>
      </c>
      <c r="O504" s="40">
        <v>1</v>
      </c>
      <c r="Y504">
        <f t="shared" si="46"/>
        <v>712</v>
      </c>
    </row>
    <row r="505" spans="1:25" x14ac:dyDescent="0.25">
      <c r="A505" s="7" t="s">
        <v>707</v>
      </c>
      <c r="B505" s="40">
        <v>100</v>
      </c>
      <c r="C505">
        <f t="shared" si="44"/>
        <v>683</v>
      </c>
      <c r="D505" s="7" t="s">
        <v>701</v>
      </c>
      <c r="E505">
        <f t="shared" si="43"/>
        <v>0</v>
      </c>
      <c r="G505" s="7" t="s">
        <v>696</v>
      </c>
      <c r="H505" s="40">
        <v>49</v>
      </c>
      <c r="I505">
        <f t="shared" si="45"/>
        <v>558</v>
      </c>
      <c r="J505" s="7" t="s">
        <v>696</v>
      </c>
      <c r="K505" s="7"/>
      <c r="L505">
        <f t="shared" si="47"/>
        <v>49</v>
      </c>
      <c r="M505">
        <f t="shared" si="48"/>
        <v>144</v>
      </c>
      <c r="N505" s="7" t="s">
        <v>696</v>
      </c>
      <c r="O505" s="40">
        <v>1</v>
      </c>
      <c r="Y505">
        <f t="shared" si="46"/>
        <v>712</v>
      </c>
    </row>
    <row r="506" spans="1:25" x14ac:dyDescent="0.25">
      <c r="A506" s="7" t="s">
        <v>708</v>
      </c>
      <c r="B506" s="40">
        <v>640</v>
      </c>
      <c r="C506">
        <f t="shared" si="44"/>
        <v>512</v>
      </c>
      <c r="D506" s="7" t="s">
        <v>702</v>
      </c>
      <c r="E506">
        <f t="shared" si="43"/>
        <v>30</v>
      </c>
      <c r="G506" s="7" t="s">
        <v>697</v>
      </c>
      <c r="H506" s="40">
        <v>22</v>
      </c>
      <c r="I506">
        <f t="shared" si="45"/>
        <v>644</v>
      </c>
      <c r="J506" s="7" t="s">
        <v>697</v>
      </c>
      <c r="K506" s="7"/>
      <c r="L506">
        <f t="shared" si="47"/>
        <v>22</v>
      </c>
      <c r="M506">
        <f t="shared" si="48"/>
        <v>144</v>
      </c>
      <c r="N506" s="7" t="s">
        <v>697</v>
      </c>
      <c r="O506" s="40">
        <v>1</v>
      </c>
      <c r="Y506">
        <f t="shared" si="46"/>
        <v>712</v>
      </c>
    </row>
    <row r="507" spans="1:25" x14ac:dyDescent="0.25">
      <c r="A507" s="7" t="s">
        <v>709</v>
      </c>
      <c r="B507" s="40">
        <v>24</v>
      </c>
      <c r="C507">
        <f t="shared" si="44"/>
        <v>512</v>
      </c>
      <c r="D507" s="7" t="s">
        <v>703</v>
      </c>
      <c r="E507">
        <f t="shared" si="43"/>
        <v>30</v>
      </c>
      <c r="G507" s="7" t="s">
        <v>699</v>
      </c>
      <c r="H507" s="40">
        <v>9</v>
      </c>
      <c r="I507">
        <f t="shared" si="45"/>
        <v>704</v>
      </c>
      <c r="J507" s="7" t="s">
        <v>699</v>
      </c>
      <c r="K507" s="7"/>
      <c r="L507">
        <f t="shared" si="47"/>
        <v>9</v>
      </c>
      <c r="M507">
        <f t="shared" si="48"/>
        <v>144</v>
      </c>
      <c r="N507" s="7" t="s">
        <v>699</v>
      </c>
      <c r="O507" s="40">
        <v>1</v>
      </c>
      <c r="Y507">
        <f t="shared" si="46"/>
        <v>712</v>
      </c>
    </row>
    <row r="508" spans="1:25" x14ac:dyDescent="0.25">
      <c r="A508" s="7" t="s">
        <v>710</v>
      </c>
      <c r="B508" s="40">
        <v>37</v>
      </c>
      <c r="C508">
        <f t="shared" si="44"/>
        <v>378</v>
      </c>
      <c r="D508" s="7" t="s">
        <v>705</v>
      </c>
      <c r="E508">
        <f t="shared" si="43"/>
        <v>60</v>
      </c>
      <c r="G508" s="7" t="s">
        <v>700</v>
      </c>
      <c r="H508" s="40">
        <v>1000</v>
      </c>
      <c r="I508">
        <f t="shared" si="45"/>
        <v>100</v>
      </c>
      <c r="J508" s="7" t="s">
        <v>700</v>
      </c>
      <c r="K508" s="7"/>
      <c r="L508">
        <f t="shared" si="47"/>
        <v>1000</v>
      </c>
      <c r="M508">
        <f t="shared" si="48"/>
        <v>144</v>
      </c>
      <c r="N508" s="7" t="s">
        <v>700</v>
      </c>
      <c r="O508" s="40">
        <v>1</v>
      </c>
      <c r="Y508">
        <f t="shared" si="46"/>
        <v>712</v>
      </c>
    </row>
    <row r="509" spans="1:25" x14ac:dyDescent="0.25">
      <c r="A509" s="7" t="s">
        <v>711</v>
      </c>
      <c r="B509" s="40">
        <v>0</v>
      </c>
      <c r="C509">
        <f t="shared" si="44"/>
        <v>683</v>
      </c>
      <c r="D509" s="7" t="s">
        <v>706</v>
      </c>
      <c r="E509">
        <f t="shared" si="43"/>
        <v>0</v>
      </c>
      <c r="G509" s="7" t="s">
        <v>701</v>
      </c>
      <c r="H509" s="40">
        <v>269</v>
      </c>
      <c r="I509">
        <f t="shared" si="45"/>
        <v>279</v>
      </c>
      <c r="J509" s="7" t="s">
        <v>701</v>
      </c>
      <c r="K509" s="7"/>
      <c r="L509">
        <f t="shared" si="47"/>
        <v>269</v>
      </c>
      <c r="M509">
        <f t="shared" si="48"/>
        <v>144</v>
      </c>
      <c r="N509" s="7" t="s">
        <v>701</v>
      </c>
      <c r="O509" s="40">
        <v>1</v>
      </c>
      <c r="Y509">
        <f t="shared" si="46"/>
        <v>712</v>
      </c>
    </row>
    <row r="510" spans="1:25" x14ac:dyDescent="0.25">
      <c r="A510" s="7" t="s">
        <v>712</v>
      </c>
      <c r="B510" s="40">
        <v>0</v>
      </c>
      <c r="C510">
        <f t="shared" si="44"/>
        <v>254</v>
      </c>
      <c r="D510" s="7" t="s">
        <v>707</v>
      </c>
      <c r="E510">
        <f t="shared" si="43"/>
        <v>100</v>
      </c>
      <c r="G510" s="7" t="s">
        <v>702</v>
      </c>
      <c r="H510" s="40">
        <v>50</v>
      </c>
      <c r="I510">
        <f t="shared" si="45"/>
        <v>554</v>
      </c>
      <c r="J510" s="7" t="s">
        <v>702</v>
      </c>
      <c r="K510" s="7"/>
      <c r="L510">
        <f t="shared" si="47"/>
        <v>50</v>
      </c>
      <c r="M510">
        <f t="shared" si="48"/>
        <v>144</v>
      </c>
      <c r="N510" s="7" t="s">
        <v>702</v>
      </c>
      <c r="O510" s="40">
        <v>1</v>
      </c>
      <c r="Y510">
        <f t="shared" si="46"/>
        <v>712</v>
      </c>
    </row>
    <row r="511" spans="1:25" x14ac:dyDescent="0.25">
      <c r="A511" s="7" t="s">
        <v>713</v>
      </c>
      <c r="B511" s="40">
        <v>83</v>
      </c>
      <c r="C511">
        <f t="shared" si="44"/>
        <v>52</v>
      </c>
      <c r="D511" s="7" t="s">
        <v>708</v>
      </c>
      <c r="E511">
        <f t="shared" si="43"/>
        <v>640</v>
      </c>
      <c r="G511" s="7" t="s">
        <v>703</v>
      </c>
      <c r="H511" s="40">
        <v>13</v>
      </c>
      <c r="I511">
        <f t="shared" si="45"/>
        <v>687</v>
      </c>
      <c r="J511" s="7" t="s">
        <v>703</v>
      </c>
      <c r="K511" s="7"/>
      <c r="L511">
        <f t="shared" si="47"/>
        <v>13</v>
      </c>
      <c r="M511">
        <f t="shared" si="48"/>
        <v>144</v>
      </c>
      <c r="N511" s="7" t="s">
        <v>703</v>
      </c>
      <c r="O511" s="40">
        <v>1</v>
      </c>
      <c r="Y511">
        <f t="shared" si="46"/>
        <v>712</v>
      </c>
    </row>
    <row r="512" spans="1:25" x14ac:dyDescent="0.25">
      <c r="A512" s="7" t="s">
        <v>714</v>
      </c>
      <c r="B512" s="40">
        <v>0</v>
      </c>
      <c r="C512">
        <f t="shared" si="44"/>
        <v>564</v>
      </c>
      <c r="D512" s="7" t="s">
        <v>709</v>
      </c>
      <c r="E512">
        <f t="shared" si="43"/>
        <v>24</v>
      </c>
      <c r="G512" s="7" t="s">
        <v>705</v>
      </c>
      <c r="H512" s="40">
        <v>111</v>
      </c>
      <c r="I512">
        <f t="shared" si="45"/>
        <v>433</v>
      </c>
      <c r="J512" s="7" t="s">
        <v>705</v>
      </c>
      <c r="K512" s="7"/>
      <c r="L512">
        <f t="shared" si="47"/>
        <v>111</v>
      </c>
      <c r="M512">
        <f t="shared" si="48"/>
        <v>144</v>
      </c>
      <c r="N512" s="7" t="s">
        <v>705</v>
      </c>
      <c r="O512" s="40">
        <v>1</v>
      </c>
      <c r="Y512">
        <f t="shared" si="46"/>
        <v>712</v>
      </c>
    </row>
    <row r="513" spans="1:25" x14ac:dyDescent="0.25">
      <c r="A513" s="7" t="s">
        <v>715</v>
      </c>
      <c r="B513" s="40">
        <v>500</v>
      </c>
      <c r="C513">
        <f t="shared" si="44"/>
        <v>488</v>
      </c>
      <c r="D513" s="7" t="s">
        <v>710</v>
      </c>
      <c r="E513">
        <f t="shared" si="43"/>
        <v>37</v>
      </c>
      <c r="G513" s="7" t="s">
        <v>706</v>
      </c>
      <c r="H513" s="40">
        <v>0</v>
      </c>
      <c r="I513">
        <f t="shared" si="45"/>
        <v>754</v>
      </c>
      <c r="J513" s="7" t="s">
        <v>706</v>
      </c>
      <c r="K513" s="7"/>
      <c r="L513">
        <f t="shared" si="47"/>
        <v>0</v>
      </c>
      <c r="M513">
        <f t="shared" si="48"/>
        <v>144</v>
      </c>
      <c r="N513" s="7" t="s">
        <v>706</v>
      </c>
      <c r="O513" s="40">
        <v>1</v>
      </c>
      <c r="Y513">
        <f t="shared" si="46"/>
        <v>712</v>
      </c>
    </row>
    <row r="514" spans="1:25" x14ac:dyDescent="0.25">
      <c r="A514" s="7" t="s">
        <v>716</v>
      </c>
      <c r="B514" s="40">
        <v>200</v>
      </c>
      <c r="C514">
        <f t="shared" si="44"/>
        <v>683</v>
      </c>
      <c r="D514" s="7" t="s">
        <v>711</v>
      </c>
      <c r="E514">
        <f t="shared" si="43"/>
        <v>0</v>
      </c>
      <c r="G514" s="7" t="s">
        <v>707</v>
      </c>
      <c r="H514" s="40">
        <v>15</v>
      </c>
      <c r="I514">
        <f t="shared" si="45"/>
        <v>679</v>
      </c>
      <c r="J514" s="7" t="s">
        <v>707</v>
      </c>
      <c r="K514" s="7"/>
      <c r="L514">
        <f t="shared" si="47"/>
        <v>15</v>
      </c>
      <c r="M514">
        <f t="shared" si="48"/>
        <v>144</v>
      </c>
      <c r="N514" s="7" t="s">
        <v>707</v>
      </c>
      <c r="O514" s="40">
        <v>1</v>
      </c>
      <c r="Y514">
        <f t="shared" si="46"/>
        <v>712</v>
      </c>
    </row>
    <row r="515" spans="1:25" x14ac:dyDescent="0.25">
      <c r="A515" s="7" t="s">
        <v>719</v>
      </c>
      <c r="B515" s="40">
        <v>4</v>
      </c>
      <c r="C515">
        <f t="shared" si="44"/>
        <v>683</v>
      </c>
      <c r="D515" s="7" t="s">
        <v>712</v>
      </c>
      <c r="E515">
        <f t="shared" si="43"/>
        <v>0</v>
      </c>
      <c r="G515" s="7" t="s">
        <v>708</v>
      </c>
      <c r="H515" s="40">
        <v>2400</v>
      </c>
      <c r="I515">
        <f t="shared" si="45"/>
        <v>42</v>
      </c>
      <c r="J515" s="7" t="s">
        <v>708</v>
      </c>
      <c r="K515" s="7"/>
      <c r="L515">
        <f t="shared" si="47"/>
        <v>2400</v>
      </c>
      <c r="M515">
        <f t="shared" si="48"/>
        <v>144</v>
      </c>
      <c r="N515" s="7" t="s">
        <v>708</v>
      </c>
      <c r="O515" s="40">
        <v>1</v>
      </c>
      <c r="Y515">
        <f t="shared" si="46"/>
        <v>712</v>
      </c>
    </row>
    <row r="516" spans="1:25" x14ac:dyDescent="0.25">
      <c r="A516" s="7" t="s">
        <v>720</v>
      </c>
      <c r="B516" s="40">
        <v>784</v>
      </c>
      <c r="C516">
        <f t="shared" si="44"/>
        <v>319</v>
      </c>
      <c r="D516" s="7" t="s">
        <v>713</v>
      </c>
      <c r="E516">
        <f t="shared" si="43"/>
        <v>83</v>
      </c>
      <c r="G516" s="7" t="s">
        <v>709</v>
      </c>
      <c r="H516" s="40">
        <v>235</v>
      </c>
      <c r="I516">
        <f t="shared" si="45"/>
        <v>303</v>
      </c>
      <c r="J516" s="7" t="s">
        <v>709</v>
      </c>
      <c r="K516" s="7"/>
      <c r="L516">
        <f t="shared" si="47"/>
        <v>235</v>
      </c>
      <c r="M516">
        <f t="shared" si="48"/>
        <v>144</v>
      </c>
      <c r="N516" s="7" t="s">
        <v>709</v>
      </c>
      <c r="O516" s="40">
        <v>1</v>
      </c>
      <c r="Y516">
        <f t="shared" si="46"/>
        <v>712</v>
      </c>
    </row>
    <row r="517" spans="1:25" x14ac:dyDescent="0.25">
      <c r="A517" s="7" t="s">
        <v>721</v>
      </c>
      <c r="B517" s="40">
        <v>60</v>
      </c>
      <c r="C517">
        <f t="shared" si="44"/>
        <v>683</v>
      </c>
      <c r="D517" s="7" t="s">
        <v>714</v>
      </c>
      <c r="E517">
        <f t="shared" si="43"/>
        <v>0</v>
      </c>
      <c r="G517" s="7" t="s">
        <v>710</v>
      </c>
      <c r="H517" s="40">
        <v>14</v>
      </c>
      <c r="I517">
        <f t="shared" si="45"/>
        <v>683</v>
      </c>
      <c r="J517" s="7" t="s">
        <v>710</v>
      </c>
      <c r="K517" s="7"/>
      <c r="L517">
        <f t="shared" si="47"/>
        <v>14</v>
      </c>
      <c r="M517">
        <f t="shared" si="48"/>
        <v>144</v>
      </c>
      <c r="N517" s="7" t="s">
        <v>710</v>
      </c>
      <c r="O517" s="40">
        <v>1</v>
      </c>
      <c r="Y517">
        <f t="shared" si="46"/>
        <v>712</v>
      </c>
    </row>
    <row r="518" spans="1:25" x14ac:dyDescent="0.25">
      <c r="A518" s="7" t="s">
        <v>722</v>
      </c>
      <c r="B518" s="40">
        <v>41</v>
      </c>
      <c r="C518">
        <f t="shared" si="44"/>
        <v>66</v>
      </c>
      <c r="D518" s="7" t="s">
        <v>715</v>
      </c>
      <c r="E518">
        <f t="shared" si="43"/>
        <v>500</v>
      </c>
      <c r="G518" s="7" t="s">
        <v>711</v>
      </c>
      <c r="H518" s="40">
        <v>45</v>
      </c>
      <c r="I518">
        <f t="shared" si="45"/>
        <v>568</v>
      </c>
      <c r="J518" s="7" t="s">
        <v>711</v>
      </c>
      <c r="K518" s="7"/>
      <c r="L518">
        <f t="shared" si="47"/>
        <v>45</v>
      </c>
      <c r="M518">
        <f t="shared" si="48"/>
        <v>144</v>
      </c>
      <c r="N518" s="7" t="s">
        <v>711</v>
      </c>
      <c r="O518" s="40">
        <v>1</v>
      </c>
      <c r="Y518">
        <f t="shared" si="46"/>
        <v>712</v>
      </c>
    </row>
    <row r="519" spans="1:25" x14ac:dyDescent="0.25">
      <c r="A519" s="7" t="s">
        <v>723</v>
      </c>
      <c r="B519" s="40">
        <v>140</v>
      </c>
      <c r="C519">
        <f t="shared" si="44"/>
        <v>147</v>
      </c>
      <c r="D519" s="7" t="s">
        <v>716</v>
      </c>
      <c r="E519">
        <f t="shared" si="43"/>
        <v>200</v>
      </c>
      <c r="G519" s="7" t="s">
        <v>712</v>
      </c>
      <c r="H519" s="40">
        <v>0</v>
      </c>
      <c r="I519">
        <f t="shared" si="45"/>
        <v>754</v>
      </c>
      <c r="J519" s="7" t="s">
        <v>712</v>
      </c>
      <c r="K519" s="7"/>
      <c r="L519">
        <f t="shared" si="47"/>
        <v>0</v>
      </c>
      <c r="M519">
        <f t="shared" si="48"/>
        <v>144</v>
      </c>
      <c r="N519" s="7" t="s">
        <v>712</v>
      </c>
      <c r="O519" s="40">
        <v>1</v>
      </c>
      <c r="Y519">
        <f t="shared" si="46"/>
        <v>712</v>
      </c>
    </row>
    <row r="520" spans="1:25" x14ac:dyDescent="0.25">
      <c r="A520" s="7" t="s">
        <v>726</v>
      </c>
      <c r="B520" s="40">
        <v>87</v>
      </c>
      <c r="C520">
        <f t="shared" si="44"/>
        <v>681</v>
      </c>
      <c r="D520" s="7" t="s">
        <v>719</v>
      </c>
      <c r="E520">
        <f t="shared" si="43"/>
        <v>4</v>
      </c>
      <c r="G520" s="7" t="s">
        <v>713</v>
      </c>
      <c r="H520" s="40">
        <v>0</v>
      </c>
      <c r="I520">
        <f t="shared" si="45"/>
        <v>754</v>
      </c>
      <c r="J520" s="7" t="s">
        <v>713</v>
      </c>
      <c r="K520" s="7"/>
      <c r="L520">
        <f t="shared" si="47"/>
        <v>0</v>
      </c>
      <c r="M520">
        <f t="shared" si="48"/>
        <v>144</v>
      </c>
      <c r="N520" s="7" t="s">
        <v>713</v>
      </c>
      <c r="O520" s="40">
        <v>1</v>
      </c>
      <c r="Y520">
        <f t="shared" si="46"/>
        <v>712</v>
      </c>
    </row>
    <row r="521" spans="1:25" x14ac:dyDescent="0.25">
      <c r="A521" s="7" t="s">
        <v>727</v>
      </c>
      <c r="B521" s="40">
        <v>100</v>
      </c>
      <c r="C521">
        <f t="shared" si="44"/>
        <v>43</v>
      </c>
      <c r="D521" s="7" t="s">
        <v>720</v>
      </c>
      <c r="E521">
        <f t="shared" ref="E521:E584" si="49">VLOOKUP(D:D,A516:B1340,2,0)</f>
        <v>784</v>
      </c>
      <c r="G521" s="7" t="s">
        <v>714</v>
      </c>
      <c r="H521" s="40">
        <v>9</v>
      </c>
      <c r="I521">
        <f t="shared" si="45"/>
        <v>704</v>
      </c>
      <c r="J521" s="7" t="s">
        <v>714</v>
      </c>
      <c r="K521" s="7"/>
      <c r="L521">
        <f t="shared" si="47"/>
        <v>9</v>
      </c>
      <c r="M521">
        <f t="shared" si="48"/>
        <v>144</v>
      </c>
      <c r="N521" s="7" t="s">
        <v>714</v>
      </c>
      <c r="O521" s="40">
        <v>1</v>
      </c>
      <c r="Y521">
        <f t="shared" si="46"/>
        <v>712</v>
      </c>
    </row>
    <row r="522" spans="1:25" x14ac:dyDescent="0.25">
      <c r="A522" s="7" t="s">
        <v>728</v>
      </c>
      <c r="B522" s="40">
        <v>0</v>
      </c>
      <c r="C522">
        <f t="shared" ref="C522:C585" si="50">RANK(E:E,E:E)</f>
        <v>378</v>
      </c>
      <c r="D522" s="7" t="s">
        <v>721</v>
      </c>
      <c r="E522">
        <f t="shared" si="49"/>
        <v>60</v>
      </c>
      <c r="G522" s="7" t="s">
        <v>715</v>
      </c>
      <c r="H522" s="40">
        <v>620</v>
      </c>
      <c r="I522">
        <f t="shared" si="45"/>
        <v>149</v>
      </c>
      <c r="J522" s="7" t="s">
        <v>715</v>
      </c>
      <c r="K522" s="7"/>
      <c r="L522">
        <f t="shared" si="47"/>
        <v>620</v>
      </c>
      <c r="M522">
        <f t="shared" si="48"/>
        <v>28</v>
      </c>
      <c r="N522" s="7" t="s">
        <v>715</v>
      </c>
      <c r="O522" s="40">
        <v>2</v>
      </c>
      <c r="Y522">
        <f t="shared" si="46"/>
        <v>712</v>
      </c>
    </row>
    <row r="523" spans="1:25" x14ac:dyDescent="0.25">
      <c r="A523" s="7" t="s">
        <v>729</v>
      </c>
      <c r="B523" s="40">
        <v>15</v>
      </c>
      <c r="C523">
        <f t="shared" si="50"/>
        <v>451</v>
      </c>
      <c r="D523" s="7" t="s">
        <v>722</v>
      </c>
      <c r="E523">
        <f t="shared" si="49"/>
        <v>41</v>
      </c>
      <c r="G523" s="7" t="s">
        <v>716</v>
      </c>
      <c r="H523" s="40">
        <v>0</v>
      </c>
      <c r="I523">
        <f t="shared" si="45"/>
        <v>754</v>
      </c>
      <c r="J523" s="7" t="s">
        <v>716</v>
      </c>
      <c r="K523" s="7"/>
      <c r="L523">
        <f t="shared" si="47"/>
        <v>0</v>
      </c>
      <c r="M523">
        <f t="shared" si="48"/>
        <v>144</v>
      </c>
      <c r="N523" s="7" t="s">
        <v>716</v>
      </c>
      <c r="O523" s="40">
        <v>1</v>
      </c>
      <c r="Y523">
        <f t="shared" si="46"/>
        <v>712</v>
      </c>
    </row>
    <row r="524" spans="1:25" x14ac:dyDescent="0.25">
      <c r="A524" s="7" t="s">
        <v>730</v>
      </c>
      <c r="B524" s="40">
        <v>60</v>
      </c>
      <c r="C524">
        <f t="shared" si="50"/>
        <v>212</v>
      </c>
      <c r="D524" s="7" t="s">
        <v>723</v>
      </c>
      <c r="E524">
        <f t="shared" si="49"/>
        <v>140</v>
      </c>
      <c r="G524" s="7" t="s">
        <v>719</v>
      </c>
      <c r="H524" s="40">
        <v>4</v>
      </c>
      <c r="I524">
        <f t="shared" si="45"/>
        <v>725</v>
      </c>
      <c r="J524" s="7" t="s">
        <v>719</v>
      </c>
      <c r="K524" s="7"/>
      <c r="L524">
        <f t="shared" si="47"/>
        <v>4</v>
      </c>
      <c r="M524">
        <f t="shared" si="48"/>
        <v>144</v>
      </c>
      <c r="N524" s="7" t="s">
        <v>719</v>
      </c>
      <c r="O524" s="40">
        <v>1</v>
      </c>
      <c r="Y524">
        <f t="shared" si="46"/>
        <v>712</v>
      </c>
    </row>
    <row r="525" spans="1:25" x14ac:dyDescent="0.25">
      <c r="A525" s="7" t="s">
        <v>731</v>
      </c>
      <c r="B525" s="40">
        <v>10</v>
      </c>
      <c r="C525">
        <f t="shared" si="50"/>
        <v>310</v>
      </c>
      <c r="D525" s="7" t="s">
        <v>726</v>
      </c>
      <c r="E525">
        <f t="shared" si="49"/>
        <v>87</v>
      </c>
      <c r="G525" s="7" t="s">
        <v>720</v>
      </c>
      <c r="H525" s="40">
        <v>120</v>
      </c>
      <c r="I525">
        <f t="shared" ref="I525:I588" si="51">RANK(L:L,L:L)</f>
        <v>419</v>
      </c>
      <c r="J525" s="7" t="s">
        <v>720</v>
      </c>
      <c r="K525" s="7"/>
      <c r="L525">
        <f t="shared" si="47"/>
        <v>120</v>
      </c>
      <c r="M525">
        <f t="shared" si="48"/>
        <v>144</v>
      </c>
      <c r="N525" s="7" t="s">
        <v>720</v>
      </c>
      <c r="O525" s="40">
        <v>1</v>
      </c>
      <c r="Y525">
        <f t="shared" ref="Y525:Y588" si="52">RANK(AA:AA,AA:AA)</f>
        <v>712</v>
      </c>
    </row>
    <row r="526" spans="1:25" x14ac:dyDescent="0.25">
      <c r="A526" s="7" t="s">
        <v>732</v>
      </c>
      <c r="B526" s="40">
        <v>60</v>
      </c>
      <c r="C526">
        <f t="shared" si="50"/>
        <v>254</v>
      </c>
      <c r="D526" s="7" t="s">
        <v>727</v>
      </c>
      <c r="E526">
        <f t="shared" si="49"/>
        <v>100</v>
      </c>
      <c r="G526" s="7" t="s">
        <v>721</v>
      </c>
      <c r="H526" s="40">
        <v>263</v>
      </c>
      <c r="I526">
        <f t="shared" si="51"/>
        <v>281</v>
      </c>
      <c r="J526" s="7" t="s">
        <v>721</v>
      </c>
      <c r="K526" s="7"/>
      <c r="L526">
        <f t="shared" ref="L526:L589" si="53">VLOOKUP(G526,G525:H1348,2,0)</f>
        <v>263</v>
      </c>
      <c r="M526">
        <f t="shared" ref="M526:M589" si="54">RANK(O:O,O:O)</f>
        <v>144</v>
      </c>
      <c r="N526" s="7" t="s">
        <v>721</v>
      </c>
      <c r="O526" s="40">
        <v>1</v>
      </c>
      <c r="Y526">
        <f t="shared" si="52"/>
        <v>712</v>
      </c>
    </row>
    <row r="527" spans="1:25" x14ac:dyDescent="0.25">
      <c r="A527" s="7" t="s">
        <v>733</v>
      </c>
      <c r="B527" s="40">
        <v>26</v>
      </c>
      <c r="C527">
        <f t="shared" si="50"/>
        <v>683</v>
      </c>
      <c r="D527" s="7" t="s">
        <v>728</v>
      </c>
      <c r="E527">
        <f t="shared" si="49"/>
        <v>0</v>
      </c>
      <c r="G527" s="7" t="s">
        <v>722</v>
      </c>
      <c r="H527" s="40">
        <v>352</v>
      </c>
      <c r="I527">
        <f t="shared" si="51"/>
        <v>226</v>
      </c>
      <c r="J527" s="7" t="s">
        <v>722</v>
      </c>
      <c r="K527" s="7"/>
      <c r="L527">
        <f t="shared" si="53"/>
        <v>352</v>
      </c>
      <c r="M527">
        <f t="shared" si="54"/>
        <v>28</v>
      </c>
      <c r="N527" s="7" t="s">
        <v>722</v>
      </c>
      <c r="O527" s="40">
        <v>2</v>
      </c>
      <c r="Y527">
        <f t="shared" si="52"/>
        <v>712</v>
      </c>
    </row>
    <row r="528" spans="1:25" x14ac:dyDescent="0.25">
      <c r="A528" s="7" t="s">
        <v>734</v>
      </c>
      <c r="B528" s="40">
        <v>150</v>
      </c>
      <c r="C528">
        <f t="shared" si="50"/>
        <v>622</v>
      </c>
      <c r="D528" s="7" t="s">
        <v>729</v>
      </c>
      <c r="E528">
        <f t="shared" si="49"/>
        <v>15</v>
      </c>
      <c r="G528" s="7" t="s">
        <v>723</v>
      </c>
      <c r="H528" s="40">
        <v>1498</v>
      </c>
      <c r="I528">
        <f t="shared" si="51"/>
        <v>70</v>
      </c>
      <c r="J528" s="7" t="s">
        <v>723</v>
      </c>
      <c r="K528" s="7"/>
      <c r="L528">
        <f t="shared" si="53"/>
        <v>1498</v>
      </c>
      <c r="M528">
        <f t="shared" si="54"/>
        <v>28</v>
      </c>
      <c r="N528" s="7" t="s">
        <v>723</v>
      </c>
      <c r="O528" s="40">
        <v>2</v>
      </c>
      <c r="Y528">
        <f t="shared" si="52"/>
        <v>712</v>
      </c>
    </row>
    <row r="529" spans="1:25" x14ac:dyDescent="0.25">
      <c r="A529" s="7" t="s">
        <v>735</v>
      </c>
      <c r="B529" s="40">
        <v>45</v>
      </c>
      <c r="C529">
        <f t="shared" si="50"/>
        <v>378</v>
      </c>
      <c r="D529" s="7" t="s">
        <v>730</v>
      </c>
      <c r="E529">
        <f t="shared" si="49"/>
        <v>60</v>
      </c>
      <c r="G529" s="7" t="s">
        <v>726</v>
      </c>
      <c r="H529" s="40">
        <v>20</v>
      </c>
      <c r="I529">
        <f t="shared" si="51"/>
        <v>652</v>
      </c>
      <c r="J529" s="7" t="s">
        <v>726</v>
      </c>
      <c r="K529" s="7"/>
      <c r="L529">
        <f t="shared" si="53"/>
        <v>20</v>
      </c>
      <c r="M529">
        <f t="shared" si="54"/>
        <v>144</v>
      </c>
      <c r="N529" s="7" t="s">
        <v>726</v>
      </c>
      <c r="O529" s="40">
        <v>1</v>
      </c>
      <c r="Y529">
        <f t="shared" si="52"/>
        <v>712</v>
      </c>
    </row>
    <row r="530" spans="1:25" x14ac:dyDescent="0.25">
      <c r="A530" s="7" t="s">
        <v>736</v>
      </c>
      <c r="B530" s="40">
        <v>0</v>
      </c>
      <c r="C530">
        <f t="shared" si="50"/>
        <v>653</v>
      </c>
      <c r="D530" s="7" t="s">
        <v>731</v>
      </c>
      <c r="E530">
        <f t="shared" si="49"/>
        <v>10</v>
      </c>
      <c r="G530" s="7" t="s">
        <v>727</v>
      </c>
      <c r="H530" s="40">
        <v>125</v>
      </c>
      <c r="I530">
        <f t="shared" si="51"/>
        <v>415</v>
      </c>
      <c r="J530" s="7" t="s">
        <v>727</v>
      </c>
      <c r="K530" s="7"/>
      <c r="L530">
        <f t="shared" si="53"/>
        <v>125</v>
      </c>
      <c r="M530">
        <f t="shared" si="54"/>
        <v>144</v>
      </c>
      <c r="N530" s="7" t="s">
        <v>727</v>
      </c>
      <c r="O530" s="40">
        <v>1</v>
      </c>
      <c r="Y530">
        <f t="shared" si="52"/>
        <v>712</v>
      </c>
    </row>
    <row r="531" spans="1:25" x14ac:dyDescent="0.25">
      <c r="A531" s="7" t="s">
        <v>737</v>
      </c>
      <c r="B531" s="40">
        <v>38</v>
      </c>
      <c r="C531">
        <f t="shared" si="50"/>
        <v>378</v>
      </c>
      <c r="D531" s="7" t="s">
        <v>732</v>
      </c>
      <c r="E531">
        <f t="shared" si="49"/>
        <v>60</v>
      </c>
      <c r="G531" s="7" t="s">
        <v>728</v>
      </c>
      <c r="H531" s="40">
        <v>58</v>
      </c>
      <c r="I531">
        <f t="shared" si="51"/>
        <v>533</v>
      </c>
      <c r="J531" s="7" t="s">
        <v>728</v>
      </c>
      <c r="K531" s="7"/>
      <c r="L531">
        <f t="shared" si="53"/>
        <v>58</v>
      </c>
      <c r="M531">
        <f t="shared" si="54"/>
        <v>144</v>
      </c>
      <c r="N531" s="7" t="s">
        <v>728</v>
      </c>
      <c r="O531" s="40">
        <v>1</v>
      </c>
      <c r="Y531">
        <f t="shared" si="52"/>
        <v>712</v>
      </c>
    </row>
    <row r="532" spans="1:25" x14ac:dyDescent="0.25">
      <c r="A532" s="7" t="s">
        <v>738</v>
      </c>
      <c r="B532" s="40">
        <v>40</v>
      </c>
      <c r="C532">
        <f t="shared" si="50"/>
        <v>549</v>
      </c>
      <c r="D532" s="7" t="s">
        <v>733</v>
      </c>
      <c r="E532">
        <f t="shared" si="49"/>
        <v>26</v>
      </c>
      <c r="G532" s="7" t="s">
        <v>729</v>
      </c>
      <c r="H532" s="40">
        <v>58</v>
      </c>
      <c r="I532">
        <f t="shared" si="51"/>
        <v>533</v>
      </c>
      <c r="J532" s="7" t="s">
        <v>729</v>
      </c>
      <c r="K532" s="7"/>
      <c r="L532">
        <f t="shared" si="53"/>
        <v>58</v>
      </c>
      <c r="M532">
        <f t="shared" si="54"/>
        <v>144</v>
      </c>
      <c r="N532" s="7" t="s">
        <v>729</v>
      </c>
      <c r="O532" s="40">
        <v>1</v>
      </c>
      <c r="Y532">
        <f t="shared" si="52"/>
        <v>712</v>
      </c>
    </row>
    <row r="533" spans="1:25" x14ac:dyDescent="0.25">
      <c r="A533" s="7" t="s">
        <v>739</v>
      </c>
      <c r="B533" s="40">
        <v>329</v>
      </c>
      <c r="C533">
        <f t="shared" si="50"/>
        <v>193</v>
      </c>
      <c r="D533" s="7" t="s">
        <v>734</v>
      </c>
      <c r="E533">
        <f t="shared" si="49"/>
        <v>150</v>
      </c>
      <c r="G533" s="7" t="s">
        <v>730</v>
      </c>
      <c r="H533" s="40">
        <v>593</v>
      </c>
      <c r="I533">
        <f t="shared" si="51"/>
        <v>153</v>
      </c>
      <c r="J533" s="7" t="s">
        <v>730</v>
      </c>
      <c r="K533" s="7"/>
      <c r="L533">
        <f t="shared" si="53"/>
        <v>593</v>
      </c>
      <c r="M533">
        <f t="shared" si="54"/>
        <v>144</v>
      </c>
      <c r="N533" s="7" t="s">
        <v>730</v>
      </c>
      <c r="O533" s="40">
        <v>1</v>
      </c>
      <c r="Y533">
        <f t="shared" si="52"/>
        <v>712</v>
      </c>
    </row>
    <row r="534" spans="1:25" x14ac:dyDescent="0.25">
      <c r="A534" s="7" t="s">
        <v>740</v>
      </c>
      <c r="B534" s="40">
        <v>90</v>
      </c>
      <c r="C534">
        <f t="shared" si="50"/>
        <v>441</v>
      </c>
      <c r="D534" s="7" t="s">
        <v>735</v>
      </c>
      <c r="E534">
        <f t="shared" si="49"/>
        <v>45</v>
      </c>
      <c r="G534" s="7" t="s">
        <v>731</v>
      </c>
      <c r="H534" s="40">
        <v>325</v>
      </c>
      <c r="I534">
        <f t="shared" si="51"/>
        <v>243</v>
      </c>
      <c r="J534" s="7" t="s">
        <v>731</v>
      </c>
      <c r="K534" s="7"/>
      <c r="L534">
        <f t="shared" si="53"/>
        <v>325</v>
      </c>
      <c r="M534">
        <f t="shared" si="54"/>
        <v>28</v>
      </c>
      <c r="N534" s="7" t="s">
        <v>731</v>
      </c>
      <c r="O534" s="40">
        <v>2</v>
      </c>
      <c r="Y534">
        <f t="shared" si="52"/>
        <v>712</v>
      </c>
    </row>
    <row r="535" spans="1:25" x14ac:dyDescent="0.25">
      <c r="A535" s="7" t="s">
        <v>741</v>
      </c>
      <c r="B535" s="40">
        <v>35</v>
      </c>
      <c r="C535">
        <f t="shared" si="50"/>
        <v>683</v>
      </c>
      <c r="D535" s="7" t="s">
        <v>736</v>
      </c>
      <c r="E535">
        <f t="shared" si="49"/>
        <v>0</v>
      </c>
      <c r="G535" s="7" t="s">
        <v>732</v>
      </c>
      <c r="H535" s="40">
        <v>201</v>
      </c>
      <c r="I535">
        <f t="shared" si="51"/>
        <v>333</v>
      </c>
      <c r="J535" s="7" t="s">
        <v>732</v>
      </c>
      <c r="K535" s="7"/>
      <c r="L535">
        <f t="shared" si="53"/>
        <v>201</v>
      </c>
      <c r="M535">
        <f t="shared" si="54"/>
        <v>144</v>
      </c>
      <c r="N535" s="7" t="s">
        <v>732</v>
      </c>
      <c r="O535" s="40">
        <v>1</v>
      </c>
      <c r="Y535">
        <f t="shared" si="52"/>
        <v>712</v>
      </c>
    </row>
    <row r="536" spans="1:25" x14ac:dyDescent="0.25">
      <c r="A536" s="7" t="s">
        <v>743</v>
      </c>
      <c r="B536" s="40">
        <v>275</v>
      </c>
      <c r="C536">
        <f t="shared" si="50"/>
        <v>485</v>
      </c>
      <c r="D536" s="7" t="s">
        <v>737</v>
      </c>
      <c r="E536">
        <f t="shared" si="49"/>
        <v>38</v>
      </c>
      <c r="G536" s="7" t="s">
        <v>733</v>
      </c>
      <c r="H536" s="40">
        <v>166</v>
      </c>
      <c r="I536">
        <f t="shared" si="51"/>
        <v>369</v>
      </c>
      <c r="J536" s="7" t="s">
        <v>733</v>
      </c>
      <c r="K536" s="7"/>
      <c r="L536">
        <f t="shared" si="53"/>
        <v>166</v>
      </c>
      <c r="M536">
        <f t="shared" si="54"/>
        <v>144</v>
      </c>
      <c r="N536" s="7" t="s">
        <v>733</v>
      </c>
      <c r="O536" s="40">
        <v>1</v>
      </c>
      <c r="Y536">
        <f t="shared" si="52"/>
        <v>712</v>
      </c>
    </row>
    <row r="537" spans="1:25" x14ac:dyDescent="0.25">
      <c r="A537" s="7" t="s">
        <v>744</v>
      </c>
      <c r="B537" s="40">
        <v>0</v>
      </c>
      <c r="C537">
        <f t="shared" si="50"/>
        <v>454</v>
      </c>
      <c r="D537" s="7" t="s">
        <v>738</v>
      </c>
      <c r="E537">
        <f t="shared" si="49"/>
        <v>40</v>
      </c>
      <c r="G537" s="7" t="s">
        <v>734</v>
      </c>
      <c r="H537" s="40">
        <v>63</v>
      </c>
      <c r="I537">
        <f t="shared" si="51"/>
        <v>519</v>
      </c>
      <c r="J537" s="7" t="s">
        <v>734</v>
      </c>
      <c r="K537" s="7"/>
      <c r="L537">
        <f t="shared" si="53"/>
        <v>63</v>
      </c>
      <c r="M537">
        <f t="shared" si="54"/>
        <v>144</v>
      </c>
      <c r="N537" s="7" t="s">
        <v>734</v>
      </c>
      <c r="O537" s="40">
        <v>1</v>
      </c>
      <c r="Y537">
        <f t="shared" si="52"/>
        <v>712</v>
      </c>
    </row>
    <row r="538" spans="1:25" x14ac:dyDescent="0.25">
      <c r="A538" s="7" t="s">
        <v>747</v>
      </c>
      <c r="B538" s="40">
        <v>0</v>
      </c>
      <c r="C538">
        <f t="shared" si="50"/>
        <v>99</v>
      </c>
      <c r="D538" s="7" t="s">
        <v>739</v>
      </c>
      <c r="E538">
        <f t="shared" si="49"/>
        <v>329</v>
      </c>
      <c r="G538" s="7" t="s">
        <v>735</v>
      </c>
      <c r="H538" s="40">
        <v>133</v>
      </c>
      <c r="I538">
        <f t="shared" si="51"/>
        <v>403</v>
      </c>
      <c r="J538" s="7" t="s">
        <v>735</v>
      </c>
      <c r="K538" s="7"/>
      <c r="L538">
        <f t="shared" si="53"/>
        <v>133</v>
      </c>
      <c r="M538">
        <f t="shared" si="54"/>
        <v>144</v>
      </c>
      <c r="N538" s="7" t="s">
        <v>735</v>
      </c>
      <c r="O538" s="40">
        <v>1</v>
      </c>
      <c r="Y538">
        <f t="shared" si="52"/>
        <v>712</v>
      </c>
    </row>
    <row r="539" spans="1:25" x14ac:dyDescent="0.25">
      <c r="A539" s="7" t="s">
        <v>748</v>
      </c>
      <c r="B539" s="40">
        <v>164</v>
      </c>
      <c r="C539">
        <f t="shared" si="50"/>
        <v>298</v>
      </c>
      <c r="D539" s="7" t="s">
        <v>740</v>
      </c>
      <c r="E539">
        <f t="shared" si="49"/>
        <v>90</v>
      </c>
      <c r="G539" s="7" t="s">
        <v>736</v>
      </c>
      <c r="H539" s="40">
        <v>76</v>
      </c>
      <c r="I539">
        <f t="shared" si="51"/>
        <v>494</v>
      </c>
      <c r="J539" s="7" t="s">
        <v>736</v>
      </c>
      <c r="K539" s="7"/>
      <c r="L539">
        <f t="shared" si="53"/>
        <v>76</v>
      </c>
      <c r="M539">
        <f t="shared" si="54"/>
        <v>144</v>
      </c>
      <c r="N539" s="7" t="s">
        <v>736</v>
      </c>
      <c r="O539" s="40">
        <v>1</v>
      </c>
      <c r="Y539">
        <f t="shared" si="52"/>
        <v>712</v>
      </c>
    </row>
    <row r="540" spans="1:25" x14ac:dyDescent="0.25">
      <c r="A540" s="7" t="s">
        <v>749</v>
      </c>
      <c r="B540" s="40">
        <v>85</v>
      </c>
      <c r="C540">
        <f t="shared" si="50"/>
        <v>494</v>
      </c>
      <c r="D540" s="7" t="s">
        <v>741</v>
      </c>
      <c r="E540">
        <f t="shared" si="49"/>
        <v>35</v>
      </c>
      <c r="G540" s="7" t="s">
        <v>737</v>
      </c>
      <c r="H540" s="40">
        <v>75</v>
      </c>
      <c r="I540">
        <f t="shared" si="51"/>
        <v>497</v>
      </c>
      <c r="J540" s="7" t="s">
        <v>737</v>
      </c>
      <c r="K540" s="7"/>
      <c r="L540">
        <f t="shared" si="53"/>
        <v>75</v>
      </c>
      <c r="M540">
        <f t="shared" si="54"/>
        <v>144</v>
      </c>
      <c r="N540" s="7" t="s">
        <v>737</v>
      </c>
      <c r="O540" s="40">
        <v>1</v>
      </c>
      <c r="Y540">
        <f t="shared" si="52"/>
        <v>712</v>
      </c>
    </row>
    <row r="541" spans="1:25" x14ac:dyDescent="0.25">
      <c r="A541" s="7" t="s">
        <v>750</v>
      </c>
      <c r="B541" s="40">
        <v>65</v>
      </c>
      <c r="C541">
        <f t="shared" si="50"/>
        <v>112</v>
      </c>
      <c r="D541" s="7" t="s">
        <v>743</v>
      </c>
      <c r="E541">
        <f t="shared" si="49"/>
        <v>275</v>
      </c>
      <c r="G541" s="7" t="s">
        <v>738</v>
      </c>
      <c r="H541" s="40">
        <v>280</v>
      </c>
      <c r="I541">
        <f t="shared" si="51"/>
        <v>269</v>
      </c>
      <c r="J541" s="7" t="s">
        <v>738</v>
      </c>
      <c r="K541" s="7"/>
      <c r="L541">
        <f t="shared" si="53"/>
        <v>280</v>
      </c>
      <c r="M541">
        <f t="shared" si="54"/>
        <v>144</v>
      </c>
      <c r="N541" s="7" t="s">
        <v>738</v>
      </c>
      <c r="O541" s="40">
        <v>1</v>
      </c>
      <c r="Y541">
        <f t="shared" si="52"/>
        <v>712</v>
      </c>
    </row>
    <row r="542" spans="1:25" x14ac:dyDescent="0.25">
      <c r="A542" s="7" t="s">
        <v>751</v>
      </c>
      <c r="B542" s="40">
        <v>180</v>
      </c>
      <c r="C542">
        <f t="shared" si="50"/>
        <v>683</v>
      </c>
      <c r="D542" s="7" t="s">
        <v>744</v>
      </c>
      <c r="E542">
        <f t="shared" si="49"/>
        <v>0</v>
      </c>
      <c r="G542" s="7" t="s">
        <v>739</v>
      </c>
      <c r="H542" s="40">
        <v>214</v>
      </c>
      <c r="I542">
        <f t="shared" si="51"/>
        <v>321</v>
      </c>
      <c r="J542" s="7" t="s">
        <v>739</v>
      </c>
      <c r="K542" s="7"/>
      <c r="L542">
        <f t="shared" si="53"/>
        <v>214</v>
      </c>
      <c r="M542">
        <f t="shared" si="54"/>
        <v>28</v>
      </c>
      <c r="N542" s="7" t="s">
        <v>739</v>
      </c>
      <c r="O542" s="40">
        <v>2</v>
      </c>
      <c r="Y542">
        <f t="shared" si="52"/>
        <v>712</v>
      </c>
    </row>
    <row r="543" spans="1:25" x14ac:dyDescent="0.25">
      <c r="A543" s="7" t="s">
        <v>752</v>
      </c>
      <c r="B543" s="40">
        <v>14</v>
      </c>
      <c r="C543">
        <f t="shared" si="50"/>
        <v>683</v>
      </c>
      <c r="D543" s="7" t="s">
        <v>747</v>
      </c>
      <c r="E543">
        <f t="shared" si="49"/>
        <v>0</v>
      </c>
      <c r="G543" s="7" t="s">
        <v>740</v>
      </c>
      <c r="H543" s="40">
        <v>484</v>
      </c>
      <c r="I543">
        <f t="shared" si="51"/>
        <v>181</v>
      </c>
      <c r="J543" s="7" t="s">
        <v>740</v>
      </c>
      <c r="K543" s="7"/>
      <c r="L543">
        <f t="shared" si="53"/>
        <v>484</v>
      </c>
      <c r="M543">
        <f t="shared" si="54"/>
        <v>144</v>
      </c>
      <c r="N543" s="7" t="s">
        <v>740</v>
      </c>
      <c r="O543" s="40">
        <v>1</v>
      </c>
      <c r="Y543">
        <f t="shared" si="52"/>
        <v>712</v>
      </c>
    </row>
    <row r="544" spans="1:25" x14ac:dyDescent="0.25">
      <c r="A544" s="7" t="s">
        <v>753</v>
      </c>
      <c r="B544" s="40">
        <v>17</v>
      </c>
      <c r="C544">
        <f t="shared" si="50"/>
        <v>181</v>
      </c>
      <c r="D544" s="7" t="s">
        <v>748</v>
      </c>
      <c r="E544">
        <f t="shared" si="49"/>
        <v>164</v>
      </c>
      <c r="G544" s="7" t="s">
        <v>741</v>
      </c>
      <c r="H544" s="40">
        <v>3</v>
      </c>
      <c r="I544">
        <f t="shared" si="51"/>
        <v>731</v>
      </c>
      <c r="J544" s="7" t="s">
        <v>741</v>
      </c>
      <c r="K544" s="7"/>
      <c r="L544">
        <f t="shared" si="53"/>
        <v>3</v>
      </c>
      <c r="M544">
        <f t="shared" si="54"/>
        <v>144</v>
      </c>
      <c r="N544" s="7" t="s">
        <v>741</v>
      </c>
      <c r="O544" s="40">
        <v>1</v>
      </c>
      <c r="Y544">
        <f t="shared" si="52"/>
        <v>712</v>
      </c>
    </row>
    <row r="545" spans="1:25" x14ac:dyDescent="0.25">
      <c r="A545" s="7" t="s">
        <v>754</v>
      </c>
      <c r="B545" s="40">
        <v>30</v>
      </c>
      <c r="C545">
        <f t="shared" si="50"/>
        <v>314</v>
      </c>
      <c r="D545" s="7" t="s">
        <v>749</v>
      </c>
      <c r="E545">
        <f t="shared" si="49"/>
        <v>85</v>
      </c>
      <c r="G545" s="7" t="s">
        <v>743</v>
      </c>
      <c r="H545" s="40">
        <v>34</v>
      </c>
      <c r="I545">
        <f t="shared" si="51"/>
        <v>603</v>
      </c>
      <c r="J545" s="7" t="s">
        <v>743</v>
      </c>
      <c r="K545" s="7"/>
      <c r="L545">
        <f t="shared" si="53"/>
        <v>34</v>
      </c>
      <c r="M545">
        <f t="shared" si="54"/>
        <v>28</v>
      </c>
      <c r="N545" s="7" t="s">
        <v>743</v>
      </c>
      <c r="O545" s="40">
        <v>2</v>
      </c>
      <c r="Y545">
        <f t="shared" si="52"/>
        <v>712</v>
      </c>
    </row>
    <row r="546" spans="1:25" x14ac:dyDescent="0.25">
      <c r="A546" s="7" t="s">
        <v>755</v>
      </c>
      <c r="B546" s="40">
        <v>0</v>
      </c>
      <c r="C546">
        <f t="shared" si="50"/>
        <v>366</v>
      </c>
      <c r="D546" s="7" t="s">
        <v>750</v>
      </c>
      <c r="E546">
        <f t="shared" si="49"/>
        <v>65</v>
      </c>
      <c r="G546" s="7" t="s">
        <v>744</v>
      </c>
      <c r="H546" s="40">
        <v>202</v>
      </c>
      <c r="I546">
        <f t="shared" si="51"/>
        <v>330</v>
      </c>
      <c r="J546" s="7" t="s">
        <v>744</v>
      </c>
      <c r="K546" s="7"/>
      <c r="L546">
        <f t="shared" si="53"/>
        <v>202</v>
      </c>
      <c r="M546">
        <f t="shared" si="54"/>
        <v>144</v>
      </c>
      <c r="N546" s="7" t="s">
        <v>744</v>
      </c>
      <c r="O546" s="40">
        <v>1</v>
      </c>
      <c r="Y546">
        <f t="shared" si="52"/>
        <v>712</v>
      </c>
    </row>
    <row r="547" spans="1:25" x14ac:dyDescent="0.25">
      <c r="A547" s="7" t="s">
        <v>756</v>
      </c>
      <c r="B547" s="40">
        <v>0</v>
      </c>
      <c r="C547">
        <f t="shared" si="50"/>
        <v>169</v>
      </c>
      <c r="D547" s="7" t="s">
        <v>751</v>
      </c>
      <c r="E547">
        <f t="shared" si="49"/>
        <v>180</v>
      </c>
      <c r="G547" s="7" t="s">
        <v>747</v>
      </c>
      <c r="H547" s="40">
        <v>197</v>
      </c>
      <c r="I547">
        <f t="shared" si="51"/>
        <v>337</v>
      </c>
      <c r="J547" s="7" t="s">
        <v>747</v>
      </c>
      <c r="K547" s="7"/>
      <c r="L547">
        <f t="shared" si="53"/>
        <v>197</v>
      </c>
      <c r="M547">
        <f t="shared" si="54"/>
        <v>144</v>
      </c>
      <c r="N547" s="7" t="s">
        <v>747</v>
      </c>
      <c r="O547" s="40">
        <v>1</v>
      </c>
      <c r="Y547">
        <f t="shared" si="52"/>
        <v>712</v>
      </c>
    </row>
    <row r="548" spans="1:25" x14ac:dyDescent="0.25">
      <c r="A548" s="7" t="s">
        <v>757</v>
      </c>
      <c r="B548" s="40">
        <v>5</v>
      </c>
      <c r="C548">
        <f t="shared" si="50"/>
        <v>631</v>
      </c>
      <c r="D548" s="7" t="s">
        <v>752</v>
      </c>
      <c r="E548">
        <f t="shared" si="49"/>
        <v>14</v>
      </c>
      <c r="G548" s="7" t="s">
        <v>748</v>
      </c>
      <c r="H548" s="40">
        <v>1006</v>
      </c>
      <c r="I548">
        <f t="shared" si="51"/>
        <v>99</v>
      </c>
      <c r="J548" s="7" t="s">
        <v>748</v>
      </c>
      <c r="K548" s="7"/>
      <c r="L548">
        <f t="shared" si="53"/>
        <v>1006</v>
      </c>
      <c r="M548">
        <f t="shared" si="54"/>
        <v>28</v>
      </c>
      <c r="N548" s="7" t="s">
        <v>748</v>
      </c>
      <c r="O548" s="40">
        <v>2</v>
      </c>
      <c r="Y548">
        <f t="shared" si="52"/>
        <v>712</v>
      </c>
    </row>
    <row r="549" spans="1:25" x14ac:dyDescent="0.25">
      <c r="A549" s="7" t="s">
        <v>758</v>
      </c>
      <c r="B549" s="40">
        <v>100</v>
      </c>
      <c r="C549">
        <f t="shared" si="50"/>
        <v>612</v>
      </c>
      <c r="D549" s="7" t="s">
        <v>753</v>
      </c>
      <c r="E549">
        <f t="shared" si="49"/>
        <v>17</v>
      </c>
      <c r="G549" s="7" t="s">
        <v>749</v>
      </c>
      <c r="H549" s="40">
        <v>746</v>
      </c>
      <c r="I549">
        <f t="shared" si="51"/>
        <v>127</v>
      </c>
      <c r="J549" s="7" t="s">
        <v>749</v>
      </c>
      <c r="K549" s="7"/>
      <c r="L549">
        <f t="shared" si="53"/>
        <v>746</v>
      </c>
      <c r="M549">
        <f t="shared" si="54"/>
        <v>144</v>
      </c>
      <c r="N549" s="7" t="s">
        <v>749</v>
      </c>
      <c r="O549" s="40">
        <v>1</v>
      </c>
      <c r="Y549">
        <f t="shared" si="52"/>
        <v>712</v>
      </c>
    </row>
    <row r="550" spans="1:25" x14ac:dyDescent="0.25">
      <c r="A550" s="7" t="s">
        <v>759</v>
      </c>
      <c r="B550" s="40">
        <v>168</v>
      </c>
      <c r="C550">
        <f t="shared" si="50"/>
        <v>512</v>
      </c>
      <c r="D550" s="7" t="s">
        <v>754</v>
      </c>
      <c r="E550">
        <f t="shared" si="49"/>
        <v>30</v>
      </c>
      <c r="G550" s="7" t="s">
        <v>750</v>
      </c>
      <c r="H550" s="40">
        <v>42</v>
      </c>
      <c r="I550">
        <f t="shared" si="51"/>
        <v>577</v>
      </c>
      <c r="J550" s="7" t="s">
        <v>750</v>
      </c>
      <c r="K550" s="7"/>
      <c r="L550">
        <f t="shared" si="53"/>
        <v>42</v>
      </c>
      <c r="M550">
        <f t="shared" si="54"/>
        <v>144</v>
      </c>
      <c r="N550" s="7" t="s">
        <v>750</v>
      </c>
      <c r="O550" s="40">
        <v>1</v>
      </c>
      <c r="Y550">
        <f t="shared" si="52"/>
        <v>712</v>
      </c>
    </row>
    <row r="551" spans="1:25" x14ac:dyDescent="0.25">
      <c r="A551" s="7" t="s">
        <v>760</v>
      </c>
      <c r="B551" s="40">
        <v>112</v>
      </c>
      <c r="C551">
        <f t="shared" si="50"/>
        <v>683</v>
      </c>
      <c r="D551" s="7" t="s">
        <v>755</v>
      </c>
      <c r="E551">
        <f t="shared" si="49"/>
        <v>0</v>
      </c>
      <c r="G551" s="7" t="s">
        <v>751</v>
      </c>
      <c r="H551" s="40">
        <v>228</v>
      </c>
      <c r="I551">
        <f t="shared" si="51"/>
        <v>310</v>
      </c>
      <c r="J551" s="7" t="s">
        <v>751</v>
      </c>
      <c r="K551" s="7"/>
      <c r="L551">
        <f t="shared" si="53"/>
        <v>228</v>
      </c>
      <c r="M551">
        <f t="shared" si="54"/>
        <v>144</v>
      </c>
      <c r="N551" s="7" t="s">
        <v>751</v>
      </c>
      <c r="O551" s="40">
        <v>1</v>
      </c>
      <c r="Y551">
        <f t="shared" si="52"/>
        <v>712</v>
      </c>
    </row>
    <row r="552" spans="1:25" x14ac:dyDescent="0.25">
      <c r="A552" s="7" t="s">
        <v>761</v>
      </c>
      <c r="B552" s="40">
        <v>23</v>
      </c>
      <c r="C552">
        <f t="shared" si="50"/>
        <v>683</v>
      </c>
      <c r="D552" s="7" t="s">
        <v>756</v>
      </c>
      <c r="E552">
        <f t="shared" si="49"/>
        <v>0</v>
      </c>
      <c r="G552" s="7" t="s">
        <v>752</v>
      </c>
      <c r="H552" s="40">
        <v>0</v>
      </c>
      <c r="I552">
        <f t="shared" si="51"/>
        <v>754</v>
      </c>
      <c r="J552" s="7" t="s">
        <v>752</v>
      </c>
      <c r="K552" s="7"/>
      <c r="L552">
        <f t="shared" si="53"/>
        <v>0</v>
      </c>
      <c r="M552">
        <f t="shared" si="54"/>
        <v>144</v>
      </c>
      <c r="N552" s="7" t="s">
        <v>752</v>
      </c>
      <c r="O552" s="40">
        <v>1</v>
      </c>
      <c r="Y552">
        <f t="shared" si="52"/>
        <v>712</v>
      </c>
    </row>
    <row r="553" spans="1:25" x14ac:dyDescent="0.25">
      <c r="A553" s="7" t="s">
        <v>762</v>
      </c>
      <c r="B553" s="40">
        <v>100</v>
      </c>
      <c r="C553">
        <f t="shared" si="50"/>
        <v>676</v>
      </c>
      <c r="D553" s="7" t="s">
        <v>757</v>
      </c>
      <c r="E553">
        <f t="shared" si="49"/>
        <v>5</v>
      </c>
      <c r="G553" s="7" t="s">
        <v>753</v>
      </c>
      <c r="H553" s="40">
        <v>101</v>
      </c>
      <c r="I553">
        <f t="shared" si="51"/>
        <v>449</v>
      </c>
      <c r="J553" s="7" t="s">
        <v>753</v>
      </c>
      <c r="K553" s="7"/>
      <c r="L553">
        <f t="shared" si="53"/>
        <v>101</v>
      </c>
      <c r="M553">
        <f t="shared" si="54"/>
        <v>144</v>
      </c>
      <c r="N553" s="7" t="s">
        <v>753</v>
      </c>
      <c r="O553" s="40">
        <v>1</v>
      </c>
      <c r="Y553">
        <f t="shared" si="52"/>
        <v>712</v>
      </c>
    </row>
    <row r="554" spans="1:25" x14ac:dyDescent="0.25">
      <c r="A554" s="7" t="s">
        <v>763</v>
      </c>
      <c r="B554" s="40">
        <v>100</v>
      </c>
      <c r="C554">
        <f t="shared" si="50"/>
        <v>254</v>
      </c>
      <c r="D554" s="7" t="s">
        <v>758</v>
      </c>
      <c r="E554">
        <f t="shared" si="49"/>
        <v>100</v>
      </c>
      <c r="G554" s="7" t="s">
        <v>754</v>
      </c>
      <c r="H554" s="40">
        <v>76</v>
      </c>
      <c r="I554">
        <f t="shared" si="51"/>
        <v>494</v>
      </c>
      <c r="J554" s="7" t="s">
        <v>754</v>
      </c>
      <c r="K554" s="7"/>
      <c r="L554">
        <f t="shared" si="53"/>
        <v>76</v>
      </c>
      <c r="M554">
        <f t="shared" si="54"/>
        <v>144</v>
      </c>
      <c r="N554" s="7" t="s">
        <v>754</v>
      </c>
      <c r="O554" s="40">
        <v>1</v>
      </c>
      <c r="Y554">
        <f t="shared" si="52"/>
        <v>712</v>
      </c>
    </row>
    <row r="555" spans="1:25" x14ac:dyDescent="0.25">
      <c r="A555" s="7" t="s">
        <v>766</v>
      </c>
      <c r="B555" s="40">
        <v>11</v>
      </c>
      <c r="C555">
        <f t="shared" si="50"/>
        <v>179</v>
      </c>
      <c r="D555" s="7" t="s">
        <v>759</v>
      </c>
      <c r="E555">
        <f t="shared" si="49"/>
        <v>168</v>
      </c>
      <c r="G555" s="7" t="s">
        <v>755</v>
      </c>
      <c r="H555" s="40">
        <v>0</v>
      </c>
      <c r="I555">
        <f t="shared" si="51"/>
        <v>754</v>
      </c>
      <c r="J555" s="7" t="s">
        <v>755</v>
      </c>
      <c r="K555" s="7"/>
      <c r="L555">
        <f t="shared" si="53"/>
        <v>0</v>
      </c>
      <c r="M555">
        <f t="shared" si="54"/>
        <v>144</v>
      </c>
      <c r="N555" s="7" t="s">
        <v>755</v>
      </c>
      <c r="O555" s="40">
        <v>1</v>
      </c>
      <c r="Y555">
        <f t="shared" si="52"/>
        <v>712</v>
      </c>
    </row>
    <row r="556" spans="1:25" x14ac:dyDescent="0.25">
      <c r="A556" s="7" t="s">
        <v>767</v>
      </c>
      <c r="B556" s="40">
        <v>30</v>
      </c>
      <c r="C556">
        <f t="shared" si="50"/>
        <v>247</v>
      </c>
      <c r="D556" s="7" t="s">
        <v>760</v>
      </c>
      <c r="E556">
        <f t="shared" si="49"/>
        <v>112</v>
      </c>
      <c r="G556" s="7" t="s">
        <v>756</v>
      </c>
      <c r="H556" s="40">
        <v>5</v>
      </c>
      <c r="I556">
        <f t="shared" si="51"/>
        <v>723</v>
      </c>
      <c r="J556" s="7" t="s">
        <v>756</v>
      </c>
      <c r="K556" s="7"/>
      <c r="L556">
        <f t="shared" si="53"/>
        <v>5</v>
      </c>
      <c r="M556">
        <f t="shared" si="54"/>
        <v>144</v>
      </c>
      <c r="N556" s="7" t="s">
        <v>756</v>
      </c>
      <c r="O556" s="40">
        <v>1</v>
      </c>
      <c r="Y556">
        <f t="shared" si="52"/>
        <v>712</v>
      </c>
    </row>
    <row r="557" spans="1:25" x14ac:dyDescent="0.25">
      <c r="A557" s="7" t="s">
        <v>768</v>
      </c>
      <c r="B557" s="40">
        <v>90</v>
      </c>
      <c r="C557">
        <f t="shared" si="50"/>
        <v>570</v>
      </c>
      <c r="D557" s="7" t="s">
        <v>761</v>
      </c>
      <c r="E557">
        <f t="shared" si="49"/>
        <v>23</v>
      </c>
      <c r="G557" s="7" t="s">
        <v>757</v>
      </c>
      <c r="H557" s="40">
        <v>0</v>
      </c>
      <c r="I557">
        <f t="shared" si="51"/>
        <v>754</v>
      </c>
      <c r="J557" s="7" t="s">
        <v>757</v>
      </c>
      <c r="K557" s="7"/>
      <c r="L557">
        <f t="shared" si="53"/>
        <v>0</v>
      </c>
      <c r="M557">
        <f t="shared" si="54"/>
        <v>144</v>
      </c>
      <c r="N557" s="7" t="s">
        <v>757</v>
      </c>
      <c r="O557" s="40">
        <v>1</v>
      </c>
      <c r="Y557">
        <f t="shared" si="52"/>
        <v>712</v>
      </c>
    </row>
    <row r="558" spans="1:25" x14ac:dyDescent="0.25">
      <c r="A558" s="7" t="s">
        <v>769</v>
      </c>
      <c r="B558" s="40">
        <v>0</v>
      </c>
      <c r="C558">
        <f t="shared" si="50"/>
        <v>254</v>
      </c>
      <c r="D558" s="7" t="s">
        <v>762</v>
      </c>
      <c r="E558">
        <f t="shared" si="49"/>
        <v>100</v>
      </c>
      <c r="G558" s="7" t="s">
        <v>758</v>
      </c>
      <c r="H558" s="40">
        <v>148</v>
      </c>
      <c r="I558">
        <f t="shared" si="51"/>
        <v>389</v>
      </c>
      <c r="J558" s="7" t="s">
        <v>758</v>
      </c>
      <c r="K558" s="7"/>
      <c r="L558">
        <f t="shared" si="53"/>
        <v>148</v>
      </c>
      <c r="M558">
        <f t="shared" si="54"/>
        <v>144</v>
      </c>
      <c r="N558" s="7" t="s">
        <v>758</v>
      </c>
      <c r="O558" s="40">
        <v>1</v>
      </c>
      <c r="Y558">
        <f t="shared" si="52"/>
        <v>712</v>
      </c>
    </row>
    <row r="559" spans="1:25" x14ac:dyDescent="0.25">
      <c r="A559" s="7" t="s">
        <v>770</v>
      </c>
      <c r="B559" s="40">
        <v>130</v>
      </c>
      <c r="C559">
        <f t="shared" si="50"/>
        <v>254</v>
      </c>
      <c r="D559" s="7" t="s">
        <v>763</v>
      </c>
      <c r="E559">
        <f t="shared" si="49"/>
        <v>100</v>
      </c>
      <c r="G559" s="7" t="s">
        <v>759</v>
      </c>
      <c r="H559" s="40">
        <v>1269</v>
      </c>
      <c r="I559">
        <f t="shared" si="51"/>
        <v>79</v>
      </c>
      <c r="J559" s="7" t="s">
        <v>759</v>
      </c>
      <c r="K559" s="7"/>
      <c r="L559">
        <f t="shared" si="53"/>
        <v>1269</v>
      </c>
      <c r="M559">
        <f t="shared" si="54"/>
        <v>9</v>
      </c>
      <c r="N559" s="7" t="s">
        <v>759</v>
      </c>
      <c r="O559" s="40">
        <v>3</v>
      </c>
      <c r="Y559">
        <f t="shared" si="52"/>
        <v>712</v>
      </c>
    </row>
    <row r="560" spans="1:25" x14ac:dyDescent="0.25">
      <c r="A560" s="7" t="s">
        <v>771</v>
      </c>
      <c r="B560" s="40">
        <v>21</v>
      </c>
      <c r="C560">
        <f t="shared" si="50"/>
        <v>650</v>
      </c>
      <c r="D560" s="7" t="s">
        <v>766</v>
      </c>
      <c r="E560">
        <f t="shared" si="49"/>
        <v>11</v>
      </c>
      <c r="G560" s="7" t="s">
        <v>760</v>
      </c>
      <c r="H560" s="40">
        <v>0</v>
      </c>
      <c r="I560">
        <f t="shared" si="51"/>
        <v>754</v>
      </c>
      <c r="J560" s="7" t="s">
        <v>760</v>
      </c>
      <c r="K560" s="7"/>
      <c r="L560">
        <f t="shared" si="53"/>
        <v>0</v>
      </c>
      <c r="M560">
        <f t="shared" si="54"/>
        <v>28</v>
      </c>
      <c r="N560" s="7" t="s">
        <v>760</v>
      </c>
      <c r="O560" s="40">
        <v>2</v>
      </c>
      <c r="Y560">
        <f t="shared" si="52"/>
        <v>712</v>
      </c>
    </row>
    <row r="561" spans="1:25" x14ac:dyDescent="0.25">
      <c r="A561" s="7" t="s">
        <v>773</v>
      </c>
      <c r="B561" s="40">
        <v>300</v>
      </c>
      <c r="C561">
        <f t="shared" si="50"/>
        <v>512</v>
      </c>
      <c r="D561" s="7" t="s">
        <v>767</v>
      </c>
      <c r="E561">
        <f t="shared" si="49"/>
        <v>30</v>
      </c>
      <c r="G561" s="7" t="s">
        <v>761</v>
      </c>
      <c r="H561" s="40">
        <v>120</v>
      </c>
      <c r="I561">
        <f t="shared" si="51"/>
        <v>419</v>
      </c>
      <c r="J561" s="7" t="s">
        <v>761</v>
      </c>
      <c r="K561" s="7"/>
      <c r="L561">
        <f t="shared" si="53"/>
        <v>120</v>
      </c>
      <c r="M561">
        <f t="shared" si="54"/>
        <v>144</v>
      </c>
      <c r="N561" s="7" t="s">
        <v>761</v>
      </c>
      <c r="O561" s="40">
        <v>1</v>
      </c>
      <c r="Y561">
        <f t="shared" si="52"/>
        <v>712</v>
      </c>
    </row>
    <row r="562" spans="1:25" x14ac:dyDescent="0.25">
      <c r="A562" s="7" t="s">
        <v>774</v>
      </c>
      <c r="B562" s="40">
        <v>198</v>
      </c>
      <c r="C562">
        <f t="shared" si="50"/>
        <v>298</v>
      </c>
      <c r="D562" s="7" t="s">
        <v>768</v>
      </c>
      <c r="E562">
        <f t="shared" si="49"/>
        <v>90</v>
      </c>
      <c r="G562" s="7" t="s">
        <v>762</v>
      </c>
      <c r="H562" s="40">
        <v>1351</v>
      </c>
      <c r="I562">
        <f t="shared" si="51"/>
        <v>75</v>
      </c>
      <c r="J562" s="7" t="s">
        <v>762</v>
      </c>
      <c r="K562" s="7"/>
      <c r="L562">
        <f t="shared" si="53"/>
        <v>1351</v>
      </c>
      <c r="M562">
        <f t="shared" si="54"/>
        <v>28</v>
      </c>
      <c r="N562" s="7" t="s">
        <v>762</v>
      </c>
      <c r="O562" s="40">
        <v>2</v>
      </c>
      <c r="Y562">
        <f t="shared" si="52"/>
        <v>712</v>
      </c>
    </row>
    <row r="563" spans="1:25" x14ac:dyDescent="0.25">
      <c r="A563" s="7" t="s">
        <v>775</v>
      </c>
      <c r="B563" s="40">
        <v>18</v>
      </c>
      <c r="C563">
        <f t="shared" si="50"/>
        <v>683</v>
      </c>
      <c r="D563" s="7" t="s">
        <v>769</v>
      </c>
      <c r="E563">
        <f t="shared" si="49"/>
        <v>0</v>
      </c>
      <c r="G563" s="7" t="s">
        <v>763</v>
      </c>
      <c r="H563" s="40">
        <v>3600</v>
      </c>
      <c r="I563">
        <f t="shared" si="51"/>
        <v>30</v>
      </c>
      <c r="J563" s="7" t="s">
        <v>763</v>
      </c>
      <c r="K563" s="7"/>
      <c r="L563">
        <f t="shared" si="53"/>
        <v>3600</v>
      </c>
      <c r="M563">
        <f t="shared" si="54"/>
        <v>28</v>
      </c>
      <c r="N563" s="7" t="s">
        <v>763</v>
      </c>
      <c r="O563" s="40">
        <v>2</v>
      </c>
      <c r="Y563">
        <f t="shared" si="52"/>
        <v>712</v>
      </c>
    </row>
    <row r="564" spans="1:25" x14ac:dyDescent="0.25">
      <c r="A564" s="7" t="s">
        <v>776</v>
      </c>
      <c r="B564" s="40">
        <v>0</v>
      </c>
      <c r="C564">
        <f t="shared" si="50"/>
        <v>226</v>
      </c>
      <c r="D564" s="7" t="s">
        <v>770</v>
      </c>
      <c r="E564">
        <f t="shared" si="49"/>
        <v>130</v>
      </c>
      <c r="G564" s="7" t="s">
        <v>766</v>
      </c>
      <c r="H564" s="40">
        <v>16</v>
      </c>
      <c r="I564">
        <f t="shared" si="51"/>
        <v>671</v>
      </c>
      <c r="J564" s="7" t="s">
        <v>766</v>
      </c>
      <c r="K564" s="7"/>
      <c r="L564">
        <f t="shared" si="53"/>
        <v>16</v>
      </c>
      <c r="M564">
        <f t="shared" si="54"/>
        <v>144</v>
      </c>
      <c r="N564" s="7" t="s">
        <v>766</v>
      </c>
      <c r="O564" s="40">
        <v>1</v>
      </c>
      <c r="Y564">
        <f t="shared" si="52"/>
        <v>712</v>
      </c>
    </row>
    <row r="565" spans="1:25" x14ac:dyDescent="0.25">
      <c r="A565" s="7" t="s">
        <v>777</v>
      </c>
      <c r="B565" s="40">
        <v>249</v>
      </c>
      <c r="C565">
        <f t="shared" si="50"/>
        <v>587</v>
      </c>
      <c r="D565" s="7" t="s">
        <v>771</v>
      </c>
      <c r="E565">
        <f t="shared" si="49"/>
        <v>21</v>
      </c>
      <c r="G565" s="7" t="s">
        <v>767</v>
      </c>
      <c r="H565" s="40">
        <v>49</v>
      </c>
      <c r="I565">
        <f t="shared" si="51"/>
        <v>558</v>
      </c>
      <c r="J565" s="7" t="s">
        <v>767</v>
      </c>
      <c r="K565" s="7"/>
      <c r="L565">
        <f t="shared" si="53"/>
        <v>49</v>
      </c>
      <c r="M565">
        <f t="shared" si="54"/>
        <v>144</v>
      </c>
      <c r="N565" s="7" t="s">
        <v>767</v>
      </c>
      <c r="O565" s="40">
        <v>1</v>
      </c>
      <c r="Y565">
        <f t="shared" si="52"/>
        <v>712</v>
      </c>
    </row>
    <row r="566" spans="1:25" x14ac:dyDescent="0.25">
      <c r="A566" s="7" t="s">
        <v>778</v>
      </c>
      <c r="B566" s="40">
        <v>250</v>
      </c>
      <c r="C566">
        <f t="shared" si="50"/>
        <v>103</v>
      </c>
      <c r="D566" s="7" t="s">
        <v>773</v>
      </c>
      <c r="E566">
        <f t="shared" si="49"/>
        <v>300</v>
      </c>
      <c r="G566" s="7" t="s">
        <v>768</v>
      </c>
      <c r="H566" s="40">
        <v>656</v>
      </c>
      <c r="I566">
        <f t="shared" si="51"/>
        <v>144</v>
      </c>
      <c r="J566" s="7" t="s">
        <v>768</v>
      </c>
      <c r="K566" s="7"/>
      <c r="L566">
        <f t="shared" si="53"/>
        <v>656</v>
      </c>
      <c r="M566">
        <f t="shared" si="54"/>
        <v>144</v>
      </c>
      <c r="N566" s="7" t="s">
        <v>768</v>
      </c>
      <c r="O566" s="40">
        <v>1</v>
      </c>
      <c r="Y566">
        <f t="shared" si="52"/>
        <v>712</v>
      </c>
    </row>
    <row r="567" spans="1:25" x14ac:dyDescent="0.25">
      <c r="A567" s="7" t="s">
        <v>781</v>
      </c>
      <c r="B567" s="40">
        <v>22</v>
      </c>
      <c r="C567">
        <f t="shared" si="50"/>
        <v>161</v>
      </c>
      <c r="D567" s="7" t="s">
        <v>774</v>
      </c>
      <c r="E567">
        <f t="shared" si="49"/>
        <v>198</v>
      </c>
      <c r="G567" s="7" t="s">
        <v>769</v>
      </c>
      <c r="H567" s="40">
        <v>350</v>
      </c>
      <c r="I567">
        <f t="shared" si="51"/>
        <v>230</v>
      </c>
      <c r="J567" s="7" t="s">
        <v>769</v>
      </c>
      <c r="K567" s="7"/>
      <c r="L567">
        <f t="shared" si="53"/>
        <v>350</v>
      </c>
      <c r="M567">
        <f t="shared" si="54"/>
        <v>144</v>
      </c>
      <c r="N567" s="7" t="s">
        <v>769</v>
      </c>
      <c r="O567" s="40">
        <v>1</v>
      </c>
      <c r="Y567">
        <f t="shared" si="52"/>
        <v>712</v>
      </c>
    </row>
    <row r="568" spans="1:25" x14ac:dyDescent="0.25">
      <c r="A568" s="7" t="s">
        <v>782</v>
      </c>
      <c r="B568" s="40">
        <v>55</v>
      </c>
      <c r="C568">
        <f t="shared" si="50"/>
        <v>607</v>
      </c>
      <c r="D568" s="7" t="s">
        <v>775</v>
      </c>
      <c r="E568">
        <f t="shared" si="49"/>
        <v>18</v>
      </c>
      <c r="G568" s="7" t="s">
        <v>770</v>
      </c>
      <c r="H568" s="40">
        <v>413</v>
      </c>
      <c r="I568">
        <f t="shared" si="51"/>
        <v>202</v>
      </c>
      <c r="J568" s="7" t="s">
        <v>770</v>
      </c>
      <c r="K568" s="7"/>
      <c r="L568">
        <f t="shared" si="53"/>
        <v>413</v>
      </c>
      <c r="M568">
        <f t="shared" si="54"/>
        <v>144</v>
      </c>
      <c r="N568" s="7" t="s">
        <v>770</v>
      </c>
      <c r="O568" s="40">
        <v>1</v>
      </c>
      <c r="Y568">
        <f t="shared" si="52"/>
        <v>712</v>
      </c>
    </row>
    <row r="569" spans="1:25" x14ac:dyDescent="0.25">
      <c r="A569" s="7" t="s">
        <v>783</v>
      </c>
      <c r="B569" s="40">
        <v>981</v>
      </c>
      <c r="C569">
        <f t="shared" si="50"/>
        <v>683</v>
      </c>
      <c r="D569" s="7" t="s">
        <v>776</v>
      </c>
      <c r="E569">
        <f t="shared" si="49"/>
        <v>0</v>
      </c>
      <c r="G569" s="7" t="s">
        <v>771</v>
      </c>
      <c r="H569" s="40">
        <v>41</v>
      </c>
      <c r="I569">
        <f t="shared" si="51"/>
        <v>580</v>
      </c>
      <c r="J569" s="7" t="s">
        <v>771</v>
      </c>
      <c r="K569" s="7"/>
      <c r="L569">
        <f t="shared" si="53"/>
        <v>41</v>
      </c>
      <c r="M569">
        <f t="shared" si="54"/>
        <v>144</v>
      </c>
      <c r="N569" s="7" t="s">
        <v>771</v>
      </c>
      <c r="O569" s="40">
        <v>1</v>
      </c>
      <c r="Y569">
        <f t="shared" si="52"/>
        <v>712</v>
      </c>
    </row>
    <row r="570" spans="1:25" x14ac:dyDescent="0.25">
      <c r="A570" s="7" t="s">
        <v>784</v>
      </c>
      <c r="B570" s="40">
        <v>94</v>
      </c>
      <c r="C570">
        <f t="shared" si="50"/>
        <v>128</v>
      </c>
      <c r="D570" s="7" t="s">
        <v>777</v>
      </c>
      <c r="E570">
        <f t="shared" si="49"/>
        <v>249</v>
      </c>
      <c r="G570" s="7" t="s">
        <v>773</v>
      </c>
      <c r="H570" s="40">
        <v>204</v>
      </c>
      <c r="I570">
        <f t="shared" si="51"/>
        <v>327</v>
      </c>
      <c r="J570" s="7" t="s">
        <v>773</v>
      </c>
      <c r="K570" s="7"/>
      <c r="L570">
        <f t="shared" si="53"/>
        <v>204</v>
      </c>
      <c r="M570">
        <f t="shared" si="54"/>
        <v>144</v>
      </c>
      <c r="N570" s="7" t="s">
        <v>773</v>
      </c>
      <c r="O570" s="40">
        <v>1</v>
      </c>
      <c r="Y570">
        <f t="shared" si="52"/>
        <v>712</v>
      </c>
    </row>
    <row r="571" spans="1:25" x14ac:dyDescent="0.25">
      <c r="A571" s="7" t="s">
        <v>785</v>
      </c>
      <c r="B571" s="40">
        <v>800</v>
      </c>
      <c r="C571">
        <f t="shared" si="50"/>
        <v>121</v>
      </c>
      <c r="D571" s="7" t="s">
        <v>778</v>
      </c>
      <c r="E571">
        <f t="shared" si="49"/>
        <v>250</v>
      </c>
      <c r="G571" s="7" t="s">
        <v>774</v>
      </c>
      <c r="H571" s="40">
        <v>82</v>
      </c>
      <c r="I571">
        <f t="shared" si="51"/>
        <v>482</v>
      </c>
      <c r="J571" s="7" t="s">
        <v>774</v>
      </c>
      <c r="K571" s="7"/>
      <c r="L571">
        <f t="shared" si="53"/>
        <v>82</v>
      </c>
      <c r="M571">
        <f t="shared" si="54"/>
        <v>144</v>
      </c>
      <c r="N571" s="7" t="s">
        <v>774</v>
      </c>
      <c r="O571" s="40">
        <v>1</v>
      </c>
      <c r="Y571">
        <f t="shared" si="52"/>
        <v>712</v>
      </c>
    </row>
    <row r="572" spans="1:25" x14ac:dyDescent="0.25">
      <c r="A572" s="7" t="s">
        <v>786</v>
      </c>
      <c r="B572" s="40">
        <v>430</v>
      </c>
      <c r="C572">
        <f t="shared" si="50"/>
        <v>581</v>
      </c>
      <c r="D572" s="7" t="s">
        <v>781</v>
      </c>
      <c r="E572">
        <f t="shared" si="49"/>
        <v>22</v>
      </c>
      <c r="G572" s="7" t="s">
        <v>775</v>
      </c>
      <c r="H572" s="40">
        <v>30</v>
      </c>
      <c r="I572">
        <f t="shared" si="51"/>
        <v>613</v>
      </c>
      <c r="J572" s="7" t="s">
        <v>775</v>
      </c>
      <c r="K572" s="7"/>
      <c r="L572">
        <f t="shared" si="53"/>
        <v>30</v>
      </c>
      <c r="M572">
        <f t="shared" si="54"/>
        <v>144</v>
      </c>
      <c r="N572" s="7" t="s">
        <v>775</v>
      </c>
      <c r="O572" s="40">
        <v>1</v>
      </c>
      <c r="Y572">
        <f t="shared" si="52"/>
        <v>712</v>
      </c>
    </row>
    <row r="573" spans="1:25" x14ac:dyDescent="0.25">
      <c r="A573" s="7" t="s">
        <v>787</v>
      </c>
      <c r="B573" s="40">
        <v>74</v>
      </c>
      <c r="C573">
        <f t="shared" si="50"/>
        <v>402</v>
      </c>
      <c r="D573" s="7" t="s">
        <v>782</v>
      </c>
      <c r="E573">
        <f t="shared" si="49"/>
        <v>55</v>
      </c>
      <c r="G573" s="7" t="s">
        <v>776</v>
      </c>
      <c r="H573" s="40">
        <v>0</v>
      </c>
      <c r="I573">
        <f t="shared" si="51"/>
        <v>754</v>
      </c>
      <c r="J573" s="7" t="s">
        <v>776</v>
      </c>
      <c r="K573" s="7"/>
      <c r="L573">
        <f t="shared" si="53"/>
        <v>0</v>
      </c>
      <c r="M573">
        <f t="shared" si="54"/>
        <v>144</v>
      </c>
      <c r="N573" s="7" t="s">
        <v>776</v>
      </c>
      <c r="O573" s="40">
        <v>1</v>
      </c>
      <c r="Y573">
        <f t="shared" si="52"/>
        <v>712</v>
      </c>
    </row>
    <row r="574" spans="1:25" x14ac:dyDescent="0.25">
      <c r="A574" s="7" t="s">
        <v>788</v>
      </c>
      <c r="B574" s="40">
        <v>0</v>
      </c>
      <c r="C574">
        <f t="shared" si="50"/>
        <v>32</v>
      </c>
      <c r="D574" s="7" t="s">
        <v>783</v>
      </c>
      <c r="E574">
        <f t="shared" si="49"/>
        <v>981</v>
      </c>
      <c r="G574" s="7" t="s">
        <v>777</v>
      </c>
      <c r="H574" s="40">
        <v>718</v>
      </c>
      <c r="I574">
        <f t="shared" si="51"/>
        <v>134</v>
      </c>
      <c r="J574" s="7" t="s">
        <v>777</v>
      </c>
      <c r="K574" s="7"/>
      <c r="L574">
        <f t="shared" si="53"/>
        <v>718</v>
      </c>
      <c r="M574">
        <f t="shared" si="54"/>
        <v>9</v>
      </c>
      <c r="N574" s="7" t="s">
        <v>777</v>
      </c>
      <c r="O574" s="40">
        <v>3</v>
      </c>
      <c r="Y574">
        <f t="shared" si="52"/>
        <v>712</v>
      </c>
    </row>
    <row r="575" spans="1:25" x14ac:dyDescent="0.25">
      <c r="A575" s="7" t="s">
        <v>789</v>
      </c>
      <c r="B575" s="40">
        <v>80</v>
      </c>
      <c r="C575">
        <f t="shared" si="50"/>
        <v>295</v>
      </c>
      <c r="D575" s="7" t="s">
        <v>784</v>
      </c>
      <c r="E575">
        <f t="shared" si="49"/>
        <v>94</v>
      </c>
      <c r="G575" s="7" t="s">
        <v>778</v>
      </c>
      <c r="H575" s="40">
        <v>1200</v>
      </c>
      <c r="I575">
        <f t="shared" si="51"/>
        <v>84</v>
      </c>
      <c r="J575" s="7" t="s">
        <v>778</v>
      </c>
      <c r="K575" s="7"/>
      <c r="L575">
        <f t="shared" si="53"/>
        <v>1200</v>
      </c>
      <c r="M575">
        <f t="shared" si="54"/>
        <v>144</v>
      </c>
      <c r="N575" s="7" t="s">
        <v>778</v>
      </c>
      <c r="O575" s="40">
        <v>1</v>
      </c>
      <c r="Y575">
        <f t="shared" si="52"/>
        <v>712</v>
      </c>
    </row>
    <row r="576" spans="1:25" x14ac:dyDescent="0.25">
      <c r="A576" s="7" t="s">
        <v>790</v>
      </c>
      <c r="B576" s="40">
        <v>0</v>
      </c>
      <c r="C576">
        <f t="shared" si="50"/>
        <v>39</v>
      </c>
      <c r="D576" s="7" t="s">
        <v>785</v>
      </c>
      <c r="E576">
        <f t="shared" si="49"/>
        <v>800</v>
      </c>
      <c r="G576" s="7" t="s">
        <v>781</v>
      </c>
      <c r="H576" s="40">
        <v>97</v>
      </c>
      <c r="I576">
        <f t="shared" si="51"/>
        <v>458</v>
      </c>
      <c r="J576" s="7" t="s">
        <v>781</v>
      </c>
      <c r="K576" s="7"/>
      <c r="L576">
        <f t="shared" si="53"/>
        <v>97</v>
      </c>
      <c r="M576">
        <f t="shared" si="54"/>
        <v>144</v>
      </c>
      <c r="N576" s="7" t="s">
        <v>781</v>
      </c>
      <c r="O576" s="40">
        <v>1</v>
      </c>
      <c r="Y576">
        <f t="shared" si="52"/>
        <v>712</v>
      </c>
    </row>
    <row r="577" spans="1:25" x14ac:dyDescent="0.25">
      <c r="A577" s="7" t="s">
        <v>791</v>
      </c>
      <c r="B577" s="40">
        <v>70</v>
      </c>
      <c r="C577">
        <f t="shared" si="50"/>
        <v>81</v>
      </c>
      <c r="D577" s="7" t="s">
        <v>786</v>
      </c>
      <c r="E577">
        <f t="shared" si="49"/>
        <v>430</v>
      </c>
      <c r="G577" s="7" t="s">
        <v>782</v>
      </c>
      <c r="H577" s="40">
        <v>178</v>
      </c>
      <c r="I577">
        <f t="shared" si="51"/>
        <v>358</v>
      </c>
      <c r="J577" s="7" t="s">
        <v>782</v>
      </c>
      <c r="K577" s="7"/>
      <c r="L577">
        <f t="shared" si="53"/>
        <v>178</v>
      </c>
      <c r="M577">
        <f t="shared" si="54"/>
        <v>144</v>
      </c>
      <c r="N577" s="7" t="s">
        <v>782</v>
      </c>
      <c r="O577" s="40">
        <v>1</v>
      </c>
      <c r="Y577">
        <f t="shared" si="52"/>
        <v>712</v>
      </c>
    </row>
    <row r="578" spans="1:25" x14ac:dyDescent="0.25">
      <c r="A578" s="7" t="s">
        <v>792</v>
      </c>
      <c r="B578" s="40">
        <v>0</v>
      </c>
      <c r="C578">
        <f t="shared" si="50"/>
        <v>347</v>
      </c>
      <c r="D578" s="7" t="s">
        <v>787</v>
      </c>
      <c r="E578">
        <f t="shared" si="49"/>
        <v>74</v>
      </c>
      <c r="G578" s="7" t="s">
        <v>783</v>
      </c>
      <c r="H578" s="40">
        <v>800</v>
      </c>
      <c r="I578">
        <f t="shared" si="51"/>
        <v>121</v>
      </c>
      <c r="J578" s="7" t="s">
        <v>783</v>
      </c>
      <c r="K578" s="7"/>
      <c r="L578">
        <f t="shared" si="53"/>
        <v>800</v>
      </c>
      <c r="M578">
        <f t="shared" si="54"/>
        <v>28</v>
      </c>
      <c r="N578" s="7" t="s">
        <v>783</v>
      </c>
      <c r="O578" s="40">
        <v>2</v>
      </c>
      <c r="Y578">
        <f t="shared" si="52"/>
        <v>712</v>
      </c>
    </row>
    <row r="579" spans="1:25" x14ac:dyDescent="0.25">
      <c r="A579" s="7" t="s">
        <v>793</v>
      </c>
      <c r="B579" s="40">
        <v>140</v>
      </c>
      <c r="C579">
        <f t="shared" si="50"/>
        <v>683</v>
      </c>
      <c r="D579" s="7" t="s">
        <v>788</v>
      </c>
      <c r="E579">
        <f t="shared" si="49"/>
        <v>0</v>
      </c>
      <c r="G579" s="7" t="s">
        <v>784</v>
      </c>
      <c r="H579" s="40">
        <v>0</v>
      </c>
      <c r="I579">
        <f t="shared" si="51"/>
        <v>754</v>
      </c>
      <c r="J579" s="7" t="s">
        <v>784</v>
      </c>
      <c r="K579" s="7"/>
      <c r="L579">
        <f t="shared" si="53"/>
        <v>0</v>
      </c>
      <c r="M579">
        <f t="shared" si="54"/>
        <v>144</v>
      </c>
      <c r="N579" s="7" t="s">
        <v>784</v>
      </c>
      <c r="O579" s="40">
        <v>1</v>
      </c>
      <c r="Y579">
        <f t="shared" si="52"/>
        <v>712</v>
      </c>
    </row>
    <row r="580" spans="1:25" x14ac:dyDescent="0.25">
      <c r="A580" s="7" t="s">
        <v>794</v>
      </c>
      <c r="B580" s="40">
        <v>12000</v>
      </c>
      <c r="C580">
        <f t="shared" si="50"/>
        <v>322</v>
      </c>
      <c r="D580" s="7" t="s">
        <v>789</v>
      </c>
      <c r="E580">
        <f t="shared" si="49"/>
        <v>80</v>
      </c>
      <c r="G580" s="7" t="s">
        <v>785</v>
      </c>
      <c r="H580" s="40">
        <v>75</v>
      </c>
      <c r="I580">
        <f t="shared" si="51"/>
        <v>497</v>
      </c>
      <c r="J580" s="7" t="s">
        <v>785</v>
      </c>
      <c r="K580" s="7"/>
      <c r="L580">
        <f t="shared" si="53"/>
        <v>75</v>
      </c>
      <c r="M580">
        <f t="shared" si="54"/>
        <v>144</v>
      </c>
      <c r="N580" s="7" t="s">
        <v>785</v>
      </c>
      <c r="O580" s="40">
        <v>1</v>
      </c>
      <c r="Y580">
        <f t="shared" si="52"/>
        <v>712</v>
      </c>
    </row>
    <row r="581" spans="1:25" x14ac:dyDescent="0.25">
      <c r="A581" s="7" t="s">
        <v>795</v>
      </c>
      <c r="B581" s="40">
        <v>200</v>
      </c>
      <c r="C581">
        <f t="shared" si="50"/>
        <v>683</v>
      </c>
      <c r="D581" s="7" t="s">
        <v>790</v>
      </c>
      <c r="E581">
        <f t="shared" si="49"/>
        <v>0</v>
      </c>
      <c r="G581" s="7" t="s">
        <v>786</v>
      </c>
      <c r="H581" s="40">
        <v>4800</v>
      </c>
      <c r="I581">
        <f t="shared" si="51"/>
        <v>23</v>
      </c>
      <c r="J581" s="7" t="s">
        <v>786</v>
      </c>
      <c r="K581" s="7"/>
      <c r="L581">
        <f t="shared" si="53"/>
        <v>4800</v>
      </c>
      <c r="M581">
        <f t="shared" si="54"/>
        <v>144</v>
      </c>
      <c r="N581" s="7" t="s">
        <v>786</v>
      </c>
      <c r="O581" s="40">
        <v>1</v>
      </c>
      <c r="Y581">
        <f t="shared" si="52"/>
        <v>712</v>
      </c>
    </row>
    <row r="582" spans="1:25" x14ac:dyDescent="0.25">
      <c r="A582" s="7" t="s">
        <v>796</v>
      </c>
      <c r="B582" s="40">
        <v>2300</v>
      </c>
      <c r="C582">
        <f t="shared" si="50"/>
        <v>350</v>
      </c>
      <c r="D582" s="7" t="s">
        <v>791</v>
      </c>
      <c r="E582">
        <f t="shared" si="49"/>
        <v>70</v>
      </c>
      <c r="G582" s="7" t="s">
        <v>787</v>
      </c>
      <c r="H582" s="40">
        <v>24</v>
      </c>
      <c r="I582">
        <f t="shared" si="51"/>
        <v>633</v>
      </c>
      <c r="J582" s="7" t="s">
        <v>787</v>
      </c>
      <c r="K582" s="7"/>
      <c r="L582">
        <f t="shared" si="53"/>
        <v>24</v>
      </c>
      <c r="M582">
        <f t="shared" si="54"/>
        <v>28</v>
      </c>
      <c r="N582" s="7" t="s">
        <v>787</v>
      </c>
      <c r="O582" s="40">
        <v>2</v>
      </c>
      <c r="Y582">
        <f t="shared" si="52"/>
        <v>712</v>
      </c>
    </row>
    <row r="583" spans="1:25" x14ac:dyDescent="0.25">
      <c r="A583" s="7" t="s">
        <v>797</v>
      </c>
      <c r="B583" s="40">
        <v>840</v>
      </c>
      <c r="C583">
        <f t="shared" si="50"/>
        <v>683</v>
      </c>
      <c r="D583" s="7" t="s">
        <v>792</v>
      </c>
      <c r="E583">
        <f t="shared" si="49"/>
        <v>0</v>
      </c>
      <c r="G583" s="7" t="s">
        <v>788</v>
      </c>
      <c r="H583" s="40">
        <v>54</v>
      </c>
      <c r="I583">
        <f t="shared" si="51"/>
        <v>547</v>
      </c>
      <c r="J583" s="7" t="s">
        <v>788</v>
      </c>
      <c r="K583" s="7"/>
      <c r="L583">
        <f t="shared" si="53"/>
        <v>54</v>
      </c>
      <c r="M583">
        <f t="shared" si="54"/>
        <v>144</v>
      </c>
      <c r="N583" s="7" t="s">
        <v>788</v>
      </c>
      <c r="O583" s="40">
        <v>1</v>
      </c>
      <c r="Y583">
        <f t="shared" si="52"/>
        <v>712</v>
      </c>
    </row>
    <row r="584" spans="1:25" x14ac:dyDescent="0.25">
      <c r="A584" s="7" t="s">
        <v>798</v>
      </c>
      <c r="B584" s="40">
        <v>23</v>
      </c>
      <c r="C584">
        <f t="shared" si="50"/>
        <v>212</v>
      </c>
      <c r="D584" s="7" t="s">
        <v>793</v>
      </c>
      <c r="E584">
        <f t="shared" si="49"/>
        <v>140</v>
      </c>
      <c r="G584" s="7" t="s">
        <v>789</v>
      </c>
      <c r="H584" s="40">
        <v>583</v>
      </c>
      <c r="I584">
        <f t="shared" si="51"/>
        <v>156</v>
      </c>
      <c r="J584" s="7" t="s">
        <v>789</v>
      </c>
      <c r="K584" s="7"/>
      <c r="L584">
        <f t="shared" si="53"/>
        <v>583</v>
      </c>
      <c r="M584">
        <f t="shared" si="54"/>
        <v>144</v>
      </c>
      <c r="N584" s="7" t="s">
        <v>789</v>
      </c>
      <c r="O584" s="40">
        <v>1</v>
      </c>
      <c r="Y584">
        <f t="shared" si="52"/>
        <v>712</v>
      </c>
    </row>
    <row r="585" spans="1:25" x14ac:dyDescent="0.25">
      <c r="A585" s="7" t="s">
        <v>799</v>
      </c>
      <c r="B585" s="40">
        <v>300</v>
      </c>
      <c r="C585">
        <f t="shared" si="50"/>
        <v>2</v>
      </c>
      <c r="D585" s="7" t="s">
        <v>794</v>
      </c>
      <c r="E585">
        <f t="shared" ref="E585:E648" si="55">VLOOKUP(D:D,A580:B1404,2,0)</f>
        <v>12000</v>
      </c>
      <c r="G585" s="7" t="s">
        <v>790</v>
      </c>
      <c r="H585" s="40">
        <v>0</v>
      </c>
      <c r="I585">
        <f t="shared" si="51"/>
        <v>754</v>
      </c>
      <c r="J585" s="7" t="s">
        <v>790</v>
      </c>
      <c r="K585" s="7"/>
      <c r="L585">
        <f t="shared" si="53"/>
        <v>0</v>
      </c>
      <c r="M585">
        <f t="shared" si="54"/>
        <v>144</v>
      </c>
      <c r="N585" s="7" t="s">
        <v>790</v>
      </c>
      <c r="O585" s="40">
        <v>1</v>
      </c>
      <c r="Y585">
        <f t="shared" si="52"/>
        <v>712</v>
      </c>
    </row>
    <row r="586" spans="1:25" x14ac:dyDescent="0.25">
      <c r="A586" s="7" t="s">
        <v>800</v>
      </c>
      <c r="B586" s="40">
        <v>1300</v>
      </c>
      <c r="C586">
        <f t="shared" ref="C586:C649" si="56">RANK(E:E,E:E)</f>
        <v>147</v>
      </c>
      <c r="D586" s="7" t="s">
        <v>795</v>
      </c>
      <c r="E586">
        <f t="shared" si="55"/>
        <v>200</v>
      </c>
      <c r="G586" s="7" t="s">
        <v>791</v>
      </c>
      <c r="H586" s="40">
        <v>16</v>
      </c>
      <c r="I586">
        <f t="shared" si="51"/>
        <v>671</v>
      </c>
      <c r="J586" s="7" t="s">
        <v>791</v>
      </c>
      <c r="K586" s="7"/>
      <c r="L586">
        <f t="shared" si="53"/>
        <v>16</v>
      </c>
      <c r="M586">
        <f t="shared" si="54"/>
        <v>144</v>
      </c>
      <c r="N586" s="7" t="s">
        <v>791</v>
      </c>
      <c r="O586" s="40">
        <v>1</v>
      </c>
      <c r="Y586">
        <f t="shared" si="52"/>
        <v>712</v>
      </c>
    </row>
    <row r="587" spans="1:25" x14ac:dyDescent="0.25">
      <c r="A587" s="7" t="s">
        <v>801</v>
      </c>
      <c r="B587" s="40">
        <v>360</v>
      </c>
      <c r="C587">
        <f t="shared" si="56"/>
        <v>14</v>
      </c>
      <c r="D587" s="7" t="s">
        <v>796</v>
      </c>
      <c r="E587">
        <f t="shared" si="55"/>
        <v>2300</v>
      </c>
      <c r="G587" s="7" t="s">
        <v>792</v>
      </c>
      <c r="H587" s="40">
        <v>6</v>
      </c>
      <c r="I587">
        <f t="shared" si="51"/>
        <v>718</v>
      </c>
      <c r="J587" s="7" t="s">
        <v>792</v>
      </c>
      <c r="K587" s="7"/>
      <c r="L587">
        <f t="shared" si="53"/>
        <v>6</v>
      </c>
      <c r="M587">
        <f t="shared" si="54"/>
        <v>144</v>
      </c>
      <c r="N587" s="7" t="s">
        <v>792</v>
      </c>
      <c r="O587" s="40">
        <v>1</v>
      </c>
      <c r="Y587">
        <f t="shared" si="52"/>
        <v>712</v>
      </c>
    </row>
    <row r="588" spans="1:25" x14ac:dyDescent="0.25">
      <c r="A588" s="7" t="s">
        <v>803</v>
      </c>
      <c r="B588" s="40">
        <v>75</v>
      </c>
      <c r="C588">
        <f t="shared" si="56"/>
        <v>38</v>
      </c>
      <c r="D588" s="7" t="s">
        <v>797</v>
      </c>
      <c r="E588">
        <f t="shared" si="55"/>
        <v>840</v>
      </c>
      <c r="G588" s="7" t="s">
        <v>793</v>
      </c>
      <c r="H588" s="40">
        <v>910</v>
      </c>
      <c r="I588">
        <f t="shared" si="51"/>
        <v>109</v>
      </c>
      <c r="J588" s="7" t="s">
        <v>793</v>
      </c>
      <c r="K588" s="7"/>
      <c r="L588">
        <f t="shared" si="53"/>
        <v>910</v>
      </c>
      <c r="M588">
        <f t="shared" si="54"/>
        <v>144</v>
      </c>
      <c r="N588" s="7" t="s">
        <v>793</v>
      </c>
      <c r="O588" s="40">
        <v>1</v>
      </c>
      <c r="Y588">
        <f t="shared" si="52"/>
        <v>712</v>
      </c>
    </row>
    <row r="589" spans="1:25" x14ac:dyDescent="0.25">
      <c r="A589" s="7" t="s">
        <v>805</v>
      </c>
      <c r="B589" s="40">
        <v>20</v>
      </c>
      <c r="C589">
        <f t="shared" si="56"/>
        <v>570</v>
      </c>
      <c r="D589" s="7" t="s">
        <v>798</v>
      </c>
      <c r="E589">
        <f t="shared" si="55"/>
        <v>23</v>
      </c>
      <c r="G589" s="7" t="s">
        <v>794</v>
      </c>
      <c r="H589" s="40">
        <v>26</v>
      </c>
      <c r="I589">
        <f t="shared" ref="I589:I652" si="57">RANK(L:L,L:L)</f>
        <v>624</v>
      </c>
      <c r="J589" s="7" t="s">
        <v>794</v>
      </c>
      <c r="K589" s="7"/>
      <c r="L589">
        <f t="shared" si="53"/>
        <v>26</v>
      </c>
      <c r="M589">
        <f t="shared" si="54"/>
        <v>144</v>
      </c>
      <c r="N589" s="7" t="s">
        <v>794</v>
      </c>
      <c r="O589" s="40">
        <v>1</v>
      </c>
      <c r="Y589">
        <f t="shared" ref="Y589:Y652" si="58">RANK(AA:AA,AA:AA)</f>
        <v>712</v>
      </c>
    </row>
    <row r="590" spans="1:25" x14ac:dyDescent="0.25">
      <c r="A590" s="7" t="s">
        <v>806</v>
      </c>
      <c r="B590" s="40">
        <v>120</v>
      </c>
      <c r="C590">
        <f t="shared" si="56"/>
        <v>103</v>
      </c>
      <c r="D590" s="7" t="s">
        <v>799</v>
      </c>
      <c r="E590">
        <f t="shared" si="55"/>
        <v>300</v>
      </c>
      <c r="G590" s="7" t="s">
        <v>795</v>
      </c>
      <c r="H590" s="40">
        <v>288</v>
      </c>
      <c r="I590">
        <f t="shared" si="57"/>
        <v>266</v>
      </c>
      <c r="J590" s="7" t="s">
        <v>795</v>
      </c>
      <c r="K590" s="7"/>
      <c r="L590">
        <f t="shared" ref="L590:L653" si="59">VLOOKUP(G590,G589:H1412,2,0)</f>
        <v>288</v>
      </c>
      <c r="M590">
        <f t="shared" ref="M590:M653" si="60">RANK(O:O,O:O)</f>
        <v>144</v>
      </c>
      <c r="N590" s="7" t="s">
        <v>795</v>
      </c>
      <c r="O590" s="40">
        <v>1</v>
      </c>
      <c r="Y590">
        <f t="shared" si="58"/>
        <v>712</v>
      </c>
    </row>
    <row r="591" spans="1:25" x14ac:dyDescent="0.25">
      <c r="A591" s="7" t="s">
        <v>807</v>
      </c>
      <c r="B591" s="40">
        <v>104</v>
      </c>
      <c r="C591">
        <f t="shared" si="56"/>
        <v>21</v>
      </c>
      <c r="D591" s="7" t="s">
        <v>800</v>
      </c>
      <c r="E591">
        <f t="shared" si="55"/>
        <v>1300</v>
      </c>
      <c r="G591" s="7" t="s">
        <v>796</v>
      </c>
      <c r="H591" s="40">
        <v>13600</v>
      </c>
      <c r="I591">
        <f t="shared" si="57"/>
        <v>11</v>
      </c>
      <c r="J591" s="7" t="s">
        <v>796</v>
      </c>
      <c r="K591" s="7"/>
      <c r="L591">
        <f t="shared" si="59"/>
        <v>13600</v>
      </c>
      <c r="M591">
        <f t="shared" si="60"/>
        <v>3</v>
      </c>
      <c r="N591" s="7" t="s">
        <v>796</v>
      </c>
      <c r="O591" s="40">
        <v>4</v>
      </c>
      <c r="Y591">
        <f t="shared" si="58"/>
        <v>712</v>
      </c>
    </row>
    <row r="592" spans="1:25" x14ac:dyDescent="0.25">
      <c r="A592" s="7" t="s">
        <v>808</v>
      </c>
      <c r="B592" s="40">
        <v>60</v>
      </c>
      <c r="C592">
        <f t="shared" si="56"/>
        <v>92</v>
      </c>
      <c r="D592" s="7" t="s">
        <v>801</v>
      </c>
      <c r="E592">
        <f t="shared" si="55"/>
        <v>360</v>
      </c>
      <c r="G592" s="7" t="s">
        <v>797</v>
      </c>
      <c r="H592" s="40">
        <v>2600</v>
      </c>
      <c r="I592">
        <f t="shared" si="57"/>
        <v>38</v>
      </c>
      <c r="J592" s="7" t="s">
        <v>797</v>
      </c>
      <c r="K592" s="7"/>
      <c r="L592">
        <f t="shared" si="59"/>
        <v>2600</v>
      </c>
      <c r="M592">
        <f t="shared" si="60"/>
        <v>28</v>
      </c>
      <c r="N592" s="7" t="s">
        <v>797</v>
      </c>
      <c r="O592" s="40">
        <v>2</v>
      </c>
      <c r="Y592">
        <f t="shared" si="58"/>
        <v>712</v>
      </c>
    </row>
    <row r="593" spans="1:25" x14ac:dyDescent="0.25">
      <c r="A593" s="7" t="s">
        <v>809</v>
      </c>
      <c r="B593" s="40">
        <v>50</v>
      </c>
      <c r="C593">
        <f t="shared" si="56"/>
        <v>341</v>
      </c>
      <c r="D593" s="7" t="s">
        <v>803</v>
      </c>
      <c r="E593">
        <f t="shared" si="55"/>
        <v>75</v>
      </c>
      <c r="G593" s="7" t="s">
        <v>798</v>
      </c>
      <c r="H593" s="40">
        <v>47</v>
      </c>
      <c r="I593">
        <f t="shared" si="57"/>
        <v>564</v>
      </c>
      <c r="J593" s="7" t="s">
        <v>798</v>
      </c>
      <c r="K593" s="7"/>
      <c r="L593">
        <f t="shared" si="59"/>
        <v>47</v>
      </c>
      <c r="M593">
        <f t="shared" si="60"/>
        <v>144</v>
      </c>
      <c r="N593" s="7" t="s">
        <v>798</v>
      </c>
      <c r="O593" s="40">
        <v>1</v>
      </c>
      <c r="Y593">
        <f t="shared" si="58"/>
        <v>712</v>
      </c>
    </row>
    <row r="594" spans="1:25" x14ac:dyDescent="0.25">
      <c r="A594" s="7" t="s">
        <v>810</v>
      </c>
      <c r="B594" s="40">
        <v>3800</v>
      </c>
      <c r="C594">
        <f t="shared" si="56"/>
        <v>588</v>
      </c>
      <c r="D594" s="7" t="s">
        <v>805</v>
      </c>
      <c r="E594">
        <f t="shared" si="55"/>
        <v>20</v>
      </c>
      <c r="G594" s="7" t="s">
        <v>799</v>
      </c>
      <c r="H594" s="40">
        <v>1372</v>
      </c>
      <c r="I594">
        <f t="shared" si="57"/>
        <v>74</v>
      </c>
      <c r="J594" s="7" t="s">
        <v>799</v>
      </c>
      <c r="K594" s="7"/>
      <c r="L594">
        <f t="shared" si="59"/>
        <v>1372</v>
      </c>
      <c r="M594">
        <f t="shared" si="60"/>
        <v>28</v>
      </c>
      <c r="N594" s="7" t="s">
        <v>799</v>
      </c>
      <c r="O594" s="40">
        <v>2</v>
      </c>
      <c r="Y594">
        <f t="shared" si="58"/>
        <v>712</v>
      </c>
    </row>
    <row r="595" spans="1:25" x14ac:dyDescent="0.25">
      <c r="A595" s="7" t="s">
        <v>811</v>
      </c>
      <c r="B595" s="40">
        <v>0</v>
      </c>
      <c r="C595">
        <f t="shared" si="56"/>
        <v>238</v>
      </c>
      <c r="D595" s="7" t="s">
        <v>806</v>
      </c>
      <c r="E595">
        <f t="shared" si="55"/>
        <v>120</v>
      </c>
      <c r="G595" s="7" t="s">
        <v>800</v>
      </c>
      <c r="H595" s="40">
        <v>1300</v>
      </c>
      <c r="I595">
        <f t="shared" si="57"/>
        <v>76</v>
      </c>
      <c r="J595" s="7" t="s">
        <v>800</v>
      </c>
      <c r="K595" s="7"/>
      <c r="L595">
        <f t="shared" si="59"/>
        <v>1300</v>
      </c>
      <c r="M595">
        <f t="shared" si="60"/>
        <v>144</v>
      </c>
      <c r="N595" s="7" t="s">
        <v>800</v>
      </c>
      <c r="O595" s="40">
        <v>1</v>
      </c>
      <c r="Y595">
        <f t="shared" si="58"/>
        <v>712</v>
      </c>
    </row>
    <row r="596" spans="1:25" x14ac:dyDescent="0.25">
      <c r="A596" s="7" t="s">
        <v>812</v>
      </c>
      <c r="B596" s="40">
        <v>40</v>
      </c>
      <c r="C596">
        <f t="shared" si="56"/>
        <v>252</v>
      </c>
      <c r="D596" s="7" t="s">
        <v>807</v>
      </c>
      <c r="E596">
        <f t="shared" si="55"/>
        <v>104</v>
      </c>
      <c r="G596" s="7" t="s">
        <v>801</v>
      </c>
      <c r="H596" s="40">
        <v>9900</v>
      </c>
      <c r="I596">
        <f t="shared" si="57"/>
        <v>16</v>
      </c>
      <c r="J596" s="7" t="s">
        <v>801</v>
      </c>
      <c r="K596" s="7"/>
      <c r="L596">
        <f t="shared" si="59"/>
        <v>9900</v>
      </c>
      <c r="M596">
        <f t="shared" si="60"/>
        <v>144</v>
      </c>
      <c r="N596" s="7" t="s">
        <v>801</v>
      </c>
      <c r="O596" s="40">
        <v>1</v>
      </c>
      <c r="Y596">
        <f t="shared" si="58"/>
        <v>712</v>
      </c>
    </row>
    <row r="597" spans="1:25" x14ac:dyDescent="0.25">
      <c r="A597" s="7" t="s">
        <v>813</v>
      </c>
      <c r="B597" s="40">
        <v>130</v>
      </c>
      <c r="C597">
        <f t="shared" si="56"/>
        <v>378</v>
      </c>
      <c r="D597" s="7" t="s">
        <v>808</v>
      </c>
      <c r="E597">
        <f t="shared" si="55"/>
        <v>60</v>
      </c>
      <c r="G597" s="7" t="s">
        <v>803</v>
      </c>
      <c r="H597" s="40">
        <v>17</v>
      </c>
      <c r="I597">
        <f t="shared" si="57"/>
        <v>665</v>
      </c>
      <c r="J597" s="7" t="s">
        <v>803</v>
      </c>
      <c r="K597" s="7"/>
      <c r="L597">
        <f t="shared" si="59"/>
        <v>17</v>
      </c>
      <c r="M597">
        <f t="shared" si="60"/>
        <v>144</v>
      </c>
      <c r="N597" s="7" t="s">
        <v>803</v>
      </c>
      <c r="O597" s="40">
        <v>1</v>
      </c>
      <c r="Y597">
        <f t="shared" si="58"/>
        <v>712</v>
      </c>
    </row>
    <row r="598" spans="1:25" x14ac:dyDescent="0.25">
      <c r="A598" s="7" t="s">
        <v>814</v>
      </c>
      <c r="B598" s="40">
        <v>0</v>
      </c>
      <c r="C598">
        <f t="shared" si="56"/>
        <v>410</v>
      </c>
      <c r="D598" s="7" t="s">
        <v>809</v>
      </c>
      <c r="E598">
        <f t="shared" si="55"/>
        <v>50</v>
      </c>
      <c r="G598" s="7" t="s">
        <v>805</v>
      </c>
      <c r="H598" s="40">
        <v>7</v>
      </c>
      <c r="I598">
        <f t="shared" si="57"/>
        <v>713</v>
      </c>
      <c r="J598" s="7" t="s">
        <v>805</v>
      </c>
      <c r="K598" s="7"/>
      <c r="L598">
        <f t="shared" si="59"/>
        <v>7</v>
      </c>
      <c r="M598">
        <f t="shared" si="60"/>
        <v>144</v>
      </c>
      <c r="N598" s="7" t="s">
        <v>805</v>
      </c>
      <c r="O598" s="40">
        <v>1</v>
      </c>
      <c r="Y598">
        <f t="shared" si="58"/>
        <v>712</v>
      </c>
    </row>
    <row r="599" spans="1:25" x14ac:dyDescent="0.25">
      <c r="A599" s="7" t="s">
        <v>815</v>
      </c>
      <c r="B599" s="40">
        <v>90</v>
      </c>
      <c r="C599">
        <f t="shared" si="56"/>
        <v>11</v>
      </c>
      <c r="D599" s="7" t="s">
        <v>810</v>
      </c>
      <c r="E599">
        <f t="shared" si="55"/>
        <v>3800</v>
      </c>
      <c r="G599" s="7" t="s">
        <v>806</v>
      </c>
      <c r="H599" s="40">
        <v>110</v>
      </c>
      <c r="I599">
        <f t="shared" si="57"/>
        <v>434</v>
      </c>
      <c r="J599" s="7" t="s">
        <v>806</v>
      </c>
      <c r="K599" s="7"/>
      <c r="L599">
        <f t="shared" si="59"/>
        <v>110</v>
      </c>
      <c r="M599">
        <f t="shared" si="60"/>
        <v>144</v>
      </c>
      <c r="N599" s="7" t="s">
        <v>806</v>
      </c>
      <c r="O599" s="40">
        <v>1</v>
      </c>
      <c r="Y599">
        <f t="shared" si="58"/>
        <v>712</v>
      </c>
    </row>
    <row r="600" spans="1:25" x14ac:dyDescent="0.25">
      <c r="A600" s="7" t="s">
        <v>816</v>
      </c>
      <c r="B600" s="40">
        <v>126</v>
      </c>
      <c r="C600">
        <f t="shared" si="56"/>
        <v>683</v>
      </c>
      <c r="D600" s="7" t="s">
        <v>811</v>
      </c>
      <c r="E600">
        <f t="shared" si="55"/>
        <v>0</v>
      </c>
      <c r="G600" s="7" t="s">
        <v>807</v>
      </c>
      <c r="H600" s="40">
        <v>556</v>
      </c>
      <c r="I600">
        <f t="shared" si="57"/>
        <v>162</v>
      </c>
      <c r="J600" s="7" t="s">
        <v>807</v>
      </c>
      <c r="K600" s="7"/>
      <c r="L600">
        <f t="shared" si="59"/>
        <v>556</v>
      </c>
      <c r="M600">
        <f t="shared" si="60"/>
        <v>144</v>
      </c>
      <c r="N600" s="7" t="s">
        <v>807</v>
      </c>
      <c r="O600" s="40">
        <v>1</v>
      </c>
      <c r="Y600">
        <f t="shared" si="58"/>
        <v>712</v>
      </c>
    </row>
    <row r="601" spans="1:25" x14ac:dyDescent="0.25">
      <c r="A601" s="7" t="s">
        <v>817</v>
      </c>
      <c r="B601" s="40">
        <v>467</v>
      </c>
      <c r="C601">
        <f t="shared" si="56"/>
        <v>454</v>
      </c>
      <c r="D601" s="7" t="s">
        <v>812</v>
      </c>
      <c r="E601">
        <f t="shared" si="55"/>
        <v>40</v>
      </c>
      <c r="G601" s="7" t="s">
        <v>808</v>
      </c>
      <c r="H601" s="40">
        <v>145</v>
      </c>
      <c r="I601">
        <f t="shared" si="57"/>
        <v>392</v>
      </c>
      <c r="J601" s="7" t="s">
        <v>808</v>
      </c>
      <c r="K601" s="7"/>
      <c r="L601">
        <f t="shared" si="59"/>
        <v>145</v>
      </c>
      <c r="M601">
        <f t="shared" si="60"/>
        <v>144</v>
      </c>
      <c r="N601" s="7" t="s">
        <v>808</v>
      </c>
      <c r="O601" s="40">
        <v>1</v>
      </c>
      <c r="Y601">
        <f t="shared" si="58"/>
        <v>712</v>
      </c>
    </row>
    <row r="602" spans="1:25" x14ac:dyDescent="0.25">
      <c r="A602" s="7" t="s">
        <v>818</v>
      </c>
      <c r="B602" s="40">
        <v>0</v>
      </c>
      <c r="C602">
        <f t="shared" si="56"/>
        <v>226</v>
      </c>
      <c r="D602" s="7" t="s">
        <v>813</v>
      </c>
      <c r="E602">
        <f t="shared" si="55"/>
        <v>130</v>
      </c>
      <c r="G602" s="7" t="s">
        <v>809</v>
      </c>
      <c r="H602" s="40">
        <v>190</v>
      </c>
      <c r="I602">
        <f t="shared" si="57"/>
        <v>342</v>
      </c>
      <c r="J602" s="7" t="s">
        <v>809</v>
      </c>
      <c r="K602" s="7"/>
      <c r="L602">
        <f t="shared" si="59"/>
        <v>190</v>
      </c>
      <c r="M602">
        <f t="shared" si="60"/>
        <v>144</v>
      </c>
      <c r="N602" s="7" t="s">
        <v>809</v>
      </c>
      <c r="O602" s="40">
        <v>1</v>
      </c>
      <c r="Y602">
        <f t="shared" si="58"/>
        <v>712</v>
      </c>
    </row>
    <row r="603" spans="1:25" x14ac:dyDescent="0.25">
      <c r="A603" s="7" t="s">
        <v>819</v>
      </c>
      <c r="B603" s="40">
        <v>0</v>
      </c>
      <c r="C603">
        <f t="shared" si="56"/>
        <v>683</v>
      </c>
      <c r="D603" s="7" t="s">
        <v>814</v>
      </c>
      <c r="E603">
        <f t="shared" si="55"/>
        <v>0</v>
      </c>
      <c r="G603" s="7" t="s">
        <v>810</v>
      </c>
      <c r="H603" s="40">
        <v>4200</v>
      </c>
      <c r="I603">
        <f t="shared" si="57"/>
        <v>25</v>
      </c>
      <c r="J603" s="7" t="s">
        <v>810</v>
      </c>
      <c r="K603" s="7"/>
      <c r="L603">
        <f t="shared" si="59"/>
        <v>4200</v>
      </c>
      <c r="M603">
        <f t="shared" si="60"/>
        <v>9</v>
      </c>
      <c r="N603" s="7" t="s">
        <v>810</v>
      </c>
      <c r="O603" s="40">
        <v>3</v>
      </c>
      <c r="Y603">
        <f t="shared" si="58"/>
        <v>712</v>
      </c>
    </row>
    <row r="604" spans="1:25" x14ac:dyDescent="0.25">
      <c r="A604" s="7" t="s">
        <v>820</v>
      </c>
      <c r="B604" s="40">
        <v>158</v>
      </c>
      <c r="C604">
        <f t="shared" si="56"/>
        <v>298</v>
      </c>
      <c r="D604" s="7" t="s">
        <v>815</v>
      </c>
      <c r="E604">
        <f t="shared" si="55"/>
        <v>90</v>
      </c>
      <c r="G604" s="7" t="s">
        <v>811</v>
      </c>
      <c r="H604" s="40">
        <v>474</v>
      </c>
      <c r="I604">
        <f t="shared" si="57"/>
        <v>188</v>
      </c>
      <c r="J604" s="7" t="s">
        <v>811</v>
      </c>
      <c r="K604" s="7"/>
      <c r="L604">
        <f t="shared" si="59"/>
        <v>474</v>
      </c>
      <c r="M604">
        <f t="shared" si="60"/>
        <v>144</v>
      </c>
      <c r="N604" s="7" t="s">
        <v>811</v>
      </c>
      <c r="O604" s="40">
        <v>1</v>
      </c>
      <c r="Y604">
        <f t="shared" si="58"/>
        <v>712</v>
      </c>
    </row>
    <row r="605" spans="1:25" x14ac:dyDescent="0.25">
      <c r="A605" s="7" t="s">
        <v>821</v>
      </c>
      <c r="B605" s="40">
        <v>60</v>
      </c>
      <c r="C605">
        <f t="shared" si="56"/>
        <v>234</v>
      </c>
      <c r="D605" s="7" t="s">
        <v>816</v>
      </c>
      <c r="E605">
        <f t="shared" si="55"/>
        <v>126</v>
      </c>
      <c r="G605" s="7" t="s">
        <v>812</v>
      </c>
      <c r="H605" s="40">
        <v>2300</v>
      </c>
      <c r="I605">
        <f t="shared" si="57"/>
        <v>45</v>
      </c>
      <c r="J605" s="7" t="s">
        <v>812</v>
      </c>
      <c r="K605" s="7"/>
      <c r="L605">
        <f t="shared" si="59"/>
        <v>2300</v>
      </c>
      <c r="M605">
        <f t="shared" si="60"/>
        <v>144</v>
      </c>
      <c r="N605" s="7" t="s">
        <v>812</v>
      </c>
      <c r="O605" s="40">
        <v>1</v>
      </c>
      <c r="Y605">
        <f t="shared" si="58"/>
        <v>712</v>
      </c>
    </row>
    <row r="606" spans="1:25" x14ac:dyDescent="0.25">
      <c r="A606" s="7" t="s">
        <v>822</v>
      </c>
      <c r="B606" s="40">
        <v>58</v>
      </c>
      <c r="C606">
        <f t="shared" si="56"/>
        <v>77</v>
      </c>
      <c r="D606" s="7" t="s">
        <v>817</v>
      </c>
      <c r="E606">
        <f t="shared" si="55"/>
        <v>467</v>
      </c>
      <c r="G606" s="7" t="s">
        <v>813</v>
      </c>
      <c r="H606" s="40">
        <v>550</v>
      </c>
      <c r="I606">
        <f t="shared" si="57"/>
        <v>164</v>
      </c>
      <c r="J606" s="7" t="s">
        <v>813</v>
      </c>
      <c r="K606" s="7"/>
      <c r="L606">
        <f t="shared" si="59"/>
        <v>550</v>
      </c>
      <c r="M606">
        <f t="shared" si="60"/>
        <v>144</v>
      </c>
      <c r="N606" s="7" t="s">
        <v>813</v>
      </c>
      <c r="O606" s="40">
        <v>1</v>
      </c>
      <c r="Y606">
        <f t="shared" si="58"/>
        <v>712</v>
      </c>
    </row>
    <row r="607" spans="1:25" x14ac:dyDescent="0.25">
      <c r="A607" s="7" t="s">
        <v>823</v>
      </c>
      <c r="B607" s="40">
        <v>69</v>
      </c>
      <c r="C607">
        <f t="shared" si="56"/>
        <v>683</v>
      </c>
      <c r="D607" s="7" t="s">
        <v>818</v>
      </c>
      <c r="E607">
        <f t="shared" si="55"/>
        <v>0</v>
      </c>
      <c r="G607" s="7" t="s">
        <v>814</v>
      </c>
      <c r="H607" s="40">
        <v>24</v>
      </c>
      <c r="I607">
        <f t="shared" si="57"/>
        <v>633</v>
      </c>
      <c r="J607" s="7" t="s">
        <v>814</v>
      </c>
      <c r="K607" s="7"/>
      <c r="L607">
        <f t="shared" si="59"/>
        <v>24</v>
      </c>
      <c r="M607">
        <f t="shared" si="60"/>
        <v>144</v>
      </c>
      <c r="N607" s="7" t="s">
        <v>814</v>
      </c>
      <c r="O607" s="40">
        <v>1</v>
      </c>
      <c r="Y607">
        <f t="shared" si="58"/>
        <v>712</v>
      </c>
    </row>
    <row r="608" spans="1:25" x14ac:dyDescent="0.25">
      <c r="A608" s="7" t="s">
        <v>824</v>
      </c>
      <c r="B608" s="40">
        <v>0</v>
      </c>
      <c r="C608">
        <f t="shared" si="56"/>
        <v>683</v>
      </c>
      <c r="D608" s="7" t="s">
        <v>819</v>
      </c>
      <c r="E608">
        <f t="shared" si="55"/>
        <v>0</v>
      </c>
      <c r="G608" s="7" t="s">
        <v>815</v>
      </c>
      <c r="H608" s="40">
        <v>58</v>
      </c>
      <c r="I608">
        <f t="shared" si="57"/>
        <v>533</v>
      </c>
      <c r="J608" s="7" t="s">
        <v>815</v>
      </c>
      <c r="K608" s="7"/>
      <c r="L608">
        <f t="shared" si="59"/>
        <v>58</v>
      </c>
      <c r="M608">
        <f t="shared" si="60"/>
        <v>144</v>
      </c>
      <c r="N608" s="7" t="s">
        <v>815</v>
      </c>
      <c r="O608" s="40">
        <v>1</v>
      </c>
      <c r="Y608">
        <f t="shared" si="58"/>
        <v>712</v>
      </c>
    </row>
    <row r="609" spans="1:25" x14ac:dyDescent="0.25">
      <c r="A609" s="7" t="s">
        <v>825</v>
      </c>
      <c r="B609" s="40">
        <v>5</v>
      </c>
      <c r="C609">
        <f t="shared" si="56"/>
        <v>188</v>
      </c>
      <c r="D609" s="7" t="s">
        <v>820</v>
      </c>
      <c r="E609">
        <f t="shared" si="55"/>
        <v>158</v>
      </c>
      <c r="G609" s="7" t="s">
        <v>816</v>
      </c>
      <c r="H609" s="40">
        <v>746</v>
      </c>
      <c r="I609">
        <f t="shared" si="57"/>
        <v>127</v>
      </c>
      <c r="J609" s="7" t="s">
        <v>816</v>
      </c>
      <c r="K609" s="7"/>
      <c r="L609">
        <f t="shared" si="59"/>
        <v>746</v>
      </c>
      <c r="M609">
        <f t="shared" si="60"/>
        <v>144</v>
      </c>
      <c r="N609" s="7" t="s">
        <v>816</v>
      </c>
      <c r="O609" s="40">
        <v>1</v>
      </c>
      <c r="Y609">
        <f t="shared" si="58"/>
        <v>712</v>
      </c>
    </row>
    <row r="610" spans="1:25" x14ac:dyDescent="0.25">
      <c r="A610" s="7" t="s">
        <v>826</v>
      </c>
      <c r="B610" s="40">
        <v>50</v>
      </c>
      <c r="C610">
        <f t="shared" si="56"/>
        <v>378</v>
      </c>
      <c r="D610" s="7" t="s">
        <v>821</v>
      </c>
      <c r="E610">
        <f t="shared" si="55"/>
        <v>60</v>
      </c>
      <c r="G610" s="7" t="s">
        <v>817</v>
      </c>
      <c r="H610" s="40">
        <v>300</v>
      </c>
      <c r="I610">
        <f t="shared" si="57"/>
        <v>255</v>
      </c>
      <c r="J610" s="7" t="s">
        <v>817</v>
      </c>
      <c r="K610" s="7"/>
      <c r="L610">
        <f t="shared" si="59"/>
        <v>300</v>
      </c>
      <c r="M610">
        <f t="shared" si="60"/>
        <v>144</v>
      </c>
      <c r="N610" s="7" t="s">
        <v>817</v>
      </c>
      <c r="O610" s="40">
        <v>1</v>
      </c>
      <c r="Y610">
        <f t="shared" si="58"/>
        <v>712</v>
      </c>
    </row>
    <row r="611" spans="1:25" x14ac:dyDescent="0.25">
      <c r="A611" s="7" t="s">
        <v>827</v>
      </c>
      <c r="B611" s="40">
        <v>149</v>
      </c>
      <c r="C611">
        <f t="shared" si="56"/>
        <v>396</v>
      </c>
      <c r="D611" s="7" t="s">
        <v>822</v>
      </c>
      <c r="E611">
        <f t="shared" si="55"/>
        <v>58</v>
      </c>
      <c r="G611" s="7" t="s">
        <v>818</v>
      </c>
      <c r="H611" s="40">
        <v>11</v>
      </c>
      <c r="I611">
        <f t="shared" si="57"/>
        <v>695</v>
      </c>
      <c r="J611" s="7" t="s">
        <v>818</v>
      </c>
      <c r="K611" s="7"/>
      <c r="L611">
        <f t="shared" si="59"/>
        <v>11</v>
      </c>
      <c r="M611">
        <f t="shared" si="60"/>
        <v>144</v>
      </c>
      <c r="N611" s="7" t="s">
        <v>818</v>
      </c>
      <c r="O611" s="40">
        <v>1</v>
      </c>
      <c r="Y611">
        <f t="shared" si="58"/>
        <v>712</v>
      </c>
    </row>
    <row r="612" spans="1:25" x14ac:dyDescent="0.25">
      <c r="A612" s="7" t="s">
        <v>828</v>
      </c>
      <c r="B612" s="40">
        <v>150</v>
      </c>
      <c r="C612">
        <f t="shared" si="56"/>
        <v>364</v>
      </c>
      <c r="D612" s="7" t="s">
        <v>823</v>
      </c>
      <c r="E612">
        <f t="shared" si="55"/>
        <v>69</v>
      </c>
      <c r="G612" s="7" t="s">
        <v>819</v>
      </c>
      <c r="H612" s="40">
        <v>2</v>
      </c>
      <c r="I612">
        <f t="shared" si="57"/>
        <v>737</v>
      </c>
      <c r="J612" s="7" t="s">
        <v>819</v>
      </c>
      <c r="K612" s="7"/>
      <c r="L612">
        <f t="shared" si="59"/>
        <v>2</v>
      </c>
      <c r="M612">
        <f t="shared" si="60"/>
        <v>144</v>
      </c>
      <c r="N612" s="7" t="s">
        <v>819</v>
      </c>
      <c r="O612" s="40">
        <v>1</v>
      </c>
      <c r="Y612">
        <f t="shared" si="58"/>
        <v>712</v>
      </c>
    </row>
    <row r="613" spans="1:25" x14ac:dyDescent="0.25">
      <c r="A613" s="7" t="s">
        <v>829</v>
      </c>
      <c r="B613" s="40">
        <v>18</v>
      </c>
      <c r="C613">
        <f t="shared" si="56"/>
        <v>683</v>
      </c>
      <c r="D613" s="7" t="s">
        <v>824</v>
      </c>
      <c r="E613">
        <f t="shared" si="55"/>
        <v>0</v>
      </c>
      <c r="G613" s="7" t="s">
        <v>820</v>
      </c>
      <c r="H613" s="40">
        <v>191</v>
      </c>
      <c r="I613">
        <f t="shared" si="57"/>
        <v>341</v>
      </c>
      <c r="J613" s="7" t="s">
        <v>820</v>
      </c>
      <c r="K613" s="7"/>
      <c r="L613">
        <f t="shared" si="59"/>
        <v>191</v>
      </c>
      <c r="M613">
        <f t="shared" si="60"/>
        <v>144</v>
      </c>
      <c r="N613" s="7" t="s">
        <v>820</v>
      </c>
      <c r="O613" s="40">
        <v>1</v>
      </c>
      <c r="Y613">
        <f t="shared" si="58"/>
        <v>712</v>
      </c>
    </row>
    <row r="614" spans="1:25" x14ac:dyDescent="0.25">
      <c r="A614" s="7" t="s">
        <v>830</v>
      </c>
      <c r="B614" s="40">
        <v>12</v>
      </c>
      <c r="C614">
        <f t="shared" si="56"/>
        <v>676</v>
      </c>
      <c r="D614" s="7" t="s">
        <v>825</v>
      </c>
      <c r="E614">
        <f t="shared" si="55"/>
        <v>5</v>
      </c>
      <c r="G614" s="7" t="s">
        <v>821</v>
      </c>
      <c r="H614" s="40">
        <v>0</v>
      </c>
      <c r="I614">
        <f t="shared" si="57"/>
        <v>754</v>
      </c>
      <c r="J614" s="7" t="s">
        <v>821</v>
      </c>
      <c r="K614" s="7"/>
      <c r="L614">
        <f t="shared" si="59"/>
        <v>0</v>
      </c>
      <c r="M614">
        <f t="shared" si="60"/>
        <v>144</v>
      </c>
      <c r="N614" s="7" t="s">
        <v>821</v>
      </c>
      <c r="O614" s="40">
        <v>1</v>
      </c>
      <c r="Y614">
        <f t="shared" si="58"/>
        <v>712</v>
      </c>
    </row>
    <row r="615" spans="1:25" x14ac:dyDescent="0.25">
      <c r="A615" s="7" t="s">
        <v>831</v>
      </c>
      <c r="B615" s="40">
        <v>611</v>
      </c>
      <c r="C615">
        <f t="shared" si="56"/>
        <v>410</v>
      </c>
      <c r="D615" s="7" t="s">
        <v>826</v>
      </c>
      <c r="E615">
        <f t="shared" si="55"/>
        <v>50</v>
      </c>
      <c r="G615" s="7" t="s">
        <v>822</v>
      </c>
      <c r="H615" s="40">
        <v>58</v>
      </c>
      <c r="I615">
        <f t="shared" si="57"/>
        <v>533</v>
      </c>
      <c r="J615" s="7" t="s">
        <v>822</v>
      </c>
      <c r="K615" s="7"/>
      <c r="L615">
        <f t="shared" si="59"/>
        <v>58</v>
      </c>
      <c r="M615">
        <f t="shared" si="60"/>
        <v>144</v>
      </c>
      <c r="N615" s="7" t="s">
        <v>822</v>
      </c>
      <c r="O615" s="40">
        <v>1</v>
      </c>
      <c r="Y615">
        <f t="shared" si="58"/>
        <v>712</v>
      </c>
    </row>
    <row r="616" spans="1:25" x14ac:dyDescent="0.25">
      <c r="A616" s="7" t="s">
        <v>832</v>
      </c>
      <c r="B616" s="40">
        <v>16</v>
      </c>
      <c r="C616">
        <f t="shared" si="56"/>
        <v>205</v>
      </c>
      <c r="D616" s="7" t="s">
        <v>827</v>
      </c>
      <c r="E616">
        <f t="shared" si="55"/>
        <v>149</v>
      </c>
      <c r="G616" s="7" t="s">
        <v>823</v>
      </c>
      <c r="H616" s="40">
        <v>349</v>
      </c>
      <c r="I616">
        <f t="shared" si="57"/>
        <v>231</v>
      </c>
      <c r="J616" s="7" t="s">
        <v>823</v>
      </c>
      <c r="K616" s="7"/>
      <c r="L616">
        <f t="shared" si="59"/>
        <v>349</v>
      </c>
      <c r="M616">
        <f t="shared" si="60"/>
        <v>144</v>
      </c>
      <c r="N616" s="7" t="s">
        <v>823</v>
      </c>
      <c r="O616" s="40">
        <v>1</v>
      </c>
      <c r="Y616">
        <f t="shared" si="58"/>
        <v>712</v>
      </c>
    </row>
    <row r="617" spans="1:25" x14ac:dyDescent="0.25">
      <c r="A617" s="7" t="s">
        <v>833</v>
      </c>
      <c r="B617" s="40">
        <v>10</v>
      </c>
      <c r="C617">
        <f t="shared" si="56"/>
        <v>193</v>
      </c>
      <c r="D617" s="7" t="s">
        <v>828</v>
      </c>
      <c r="E617">
        <f t="shared" si="55"/>
        <v>150</v>
      </c>
      <c r="G617" s="7" t="s">
        <v>824</v>
      </c>
      <c r="H617" s="40">
        <v>7</v>
      </c>
      <c r="I617">
        <f t="shared" si="57"/>
        <v>713</v>
      </c>
      <c r="J617" s="7" t="s">
        <v>824</v>
      </c>
      <c r="K617" s="7"/>
      <c r="L617">
        <f t="shared" si="59"/>
        <v>7</v>
      </c>
      <c r="M617">
        <f t="shared" si="60"/>
        <v>144</v>
      </c>
      <c r="N617" s="7" t="s">
        <v>824</v>
      </c>
      <c r="O617" s="40">
        <v>1</v>
      </c>
      <c r="Y617">
        <f t="shared" si="58"/>
        <v>712</v>
      </c>
    </row>
    <row r="618" spans="1:25" x14ac:dyDescent="0.25">
      <c r="A618" s="7" t="s">
        <v>834</v>
      </c>
      <c r="B618" s="40">
        <v>24</v>
      </c>
      <c r="C618">
        <f t="shared" si="56"/>
        <v>607</v>
      </c>
      <c r="D618" s="7" t="s">
        <v>829</v>
      </c>
      <c r="E618">
        <f t="shared" si="55"/>
        <v>18</v>
      </c>
      <c r="G618" s="7" t="s">
        <v>825</v>
      </c>
      <c r="H618" s="40">
        <v>58</v>
      </c>
      <c r="I618">
        <f t="shared" si="57"/>
        <v>533</v>
      </c>
      <c r="J618" s="7" t="s">
        <v>825</v>
      </c>
      <c r="K618" s="7"/>
      <c r="L618">
        <f t="shared" si="59"/>
        <v>58</v>
      </c>
      <c r="M618">
        <f t="shared" si="60"/>
        <v>144</v>
      </c>
      <c r="N618" s="7" t="s">
        <v>825</v>
      </c>
      <c r="O618" s="40">
        <v>1</v>
      </c>
      <c r="Y618">
        <f t="shared" si="58"/>
        <v>712</v>
      </c>
    </row>
    <row r="619" spans="1:25" x14ac:dyDescent="0.25">
      <c r="A619" s="7" t="s">
        <v>835</v>
      </c>
      <c r="B619" s="40">
        <v>73</v>
      </c>
      <c r="C619">
        <f t="shared" si="56"/>
        <v>640</v>
      </c>
      <c r="D619" s="7" t="s">
        <v>830</v>
      </c>
      <c r="E619">
        <f t="shared" si="55"/>
        <v>12</v>
      </c>
      <c r="G619" s="7" t="s">
        <v>826</v>
      </c>
      <c r="H619" s="40">
        <v>215</v>
      </c>
      <c r="I619">
        <f t="shared" si="57"/>
        <v>320</v>
      </c>
      <c r="J619" s="7" t="s">
        <v>826</v>
      </c>
      <c r="K619" s="7"/>
      <c r="L619">
        <f t="shared" si="59"/>
        <v>215</v>
      </c>
      <c r="M619">
        <f t="shared" si="60"/>
        <v>144</v>
      </c>
      <c r="N619" s="7" t="s">
        <v>826</v>
      </c>
      <c r="O619" s="40">
        <v>1</v>
      </c>
      <c r="Y619">
        <f t="shared" si="58"/>
        <v>712</v>
      </c>
    </row>
    <row r="620" spans="1:25" x14ac:dyDescent="0.25">
      <c r="A620" s="7" t="s">
        <v>836</v>
      </c>
      <c r="B620" s="40">
        <v>70</v>
      </c>
      <c r="C620">
        <f t="shared" si="56"/>
        <v>54</v>
      </c>
      <c r="D620" s="7" t="s">
        <v>831</v>
      </c>
      <c r="E620">
        <f t="shared" si="55"/>
        <v>611</v>
      </c>
      <c r="G620" s="7" t="s">
        <v>827</v>
      </c>
      <c r="H620" s="40">
        <v>244</v>
      </c>
      <c r="I620">
        <f t="shared" si="57"/>
        <v>293</v>
      </c>
      <c r="J620" s="7" t="s">
        <v>827</v>
      </c>
      <c r="K620" s="7"/>
      <c r="L620">
        <f t="shared" si="59"/>
        <v>244</v>
      </c>
      <c r="M620">
        <f t="shared" si="60"/>
        <v>144</v>
      </c>
      <c r="N620" s="7" t="s">
        <v>827</v>
      </c>
      <c r="O620" s="40">
        <v>1</v>
      </c>
      <c r="Y620">
        <f t="shared" si="58"/>
        <v>712</v>
      </c>
    </row>
    <row r="621" spans="1:25" x14ac:dyDescent="0.25">
      <c r="A621" s="7" t="s">
        <v>837</v>
      </c>
      <c r="B621" s="40">
        <v>25</v>
      </c>
      <c r="C621">
        <f t="shared" si="56"/>
        <v>617</v>
      </c>
      <c r="D621" s="7" t="s">
        <v>832</v>
      </c>
      <c r="E621">
        <f t="shared" si="55"/>
        <v>16</v>
      </c>
      <c r="G621" s="7" t="s">
        <v>828</v>
      </c>
      <c r="H621" s="40">
        <v>100</v>
      </c>
      <c r="I621">
        <f t="shared" si="57"/>
        <v>451</v>
      </c>
      <c r="J621" s="7" t="s">
        <v>828</v>
      </c>
      <c r="K621" s="7"/>
      <c r="L621">
        <f t="shared" si="59"/>
        <v>100</v>
      </c>
      <c r="M621">
        <f t="shared" si="60"/>
        <v>144</v>
      </c>
      <c r="N621" s="7" t="s">
        <v>828</v>
      </c>
      <c r="O621" s="40">
        <v>1</v>
      </c>
      <c r="Y621">
        <f t="shared" si="58"/>
        <v>712</v>
      </c>
    </row>
    <row r="622" spans="1:25" x14ac:dyDescent="0.25">
      <c r="A622" s="7" t="s">
        <v>838</v>
      </c>
      <c r="B622" s="40">
        <v>51</v>
      </c>
      <c r="C622">
        <f t="shared" si="56"/>
        <v>653</v>
      </c>
      <c r="D622" s="7" t="s">
        <v>833</v>
      </c>
      <c r="E622">
        <f t="shared" si="55"/>
        <v>10</v>
      </c>
      <c r="G622" s="7" t="s">
        <v>829</v>
      </c>
      <c r="H622" s="40">
        <v>20</v>
      </c>
      <c r="I622">
        <f t="shared" si="57"/>
        <v>652</v>
      </c>
      <c r="J622" s="7" t="s">
        <v>829</v>
      </c>
      <c r="K622" s="7"/>
      <c r="L622">
        <f t="shared" si="59"/>
        <v>20</v>
      </c>
      <c r="M622">
        <f t="shared" si="60"/>
        <v>144</v>
      </c>
      <c r="N622" s="7" t="s">
        <v>829</v>
      </c>
      <c r="O622" s="40">
        <v>1</v>
      </c>
      <c r="Y622">
        <f t="shared" si="58"/>
        <v>712</v>
      </c>
    </row>
    <row r="623" spans="1:25" x14ac:dyDescent="0.25">
      <c r="A623" s="7" t="s">
        <v>839</v>
      </c>
      <c r="B623" s="40">
        <v>100</v>
      </c>
      <c r="C623">
        <f t="shared" si="56"/>
        <v>564</v>
      </c>
      <c r="D623" s="7" t="s">
        <v>834</v>
      </c>
      <c r="E623">
        <f t="shared" si="55"/>
        <v>24</v>
      </c>
      <c r="G623" s="7" t="s">
        <v>830</v>
      </c>
      <c r="H623" s="40">
        <v>67</v>
      </c>
      <c r="I623">
        <f t="shared" si="57"/>
        <v>514</v>
      </c>
      <c r="J623" s="7" t="s">
        <v>830</v>
      </c>
      <c r="K623" s="7"/>
      <c r="L623">
        <f t="shared" si="59"/>
        <v>67</v>
      </c>
      <c r="M623">
        <f t="shared" si="60"/>
        <v>144</v>
      </c>
      <c r="N623" s="7" t="s">
        <v>830</v>
      </c>
      <c r="O623" s="40">
        <v>1</v>
      </c>
      <c r="Y623">
        <f t="shared" si="58"/>
        <v>712</v>
      </c>
    </row>
    <row r="624" spans="1:25" x14ac:dyDescent="0.25">
      <c r="A624" s="7" t="s">
        <v>840</v>
      </c>
      <c r="B624" s="40">
        <v>0</v>
      </c>
      <c r="C624">
        <f t="shared" si="56"/>
        <v>348</v>
      </c>
      <c r="D624" s="7" t="s">
        <v>835</v>
      </c>
      <c r="E624">
        <f t="shared" si="55"/>
        <v>73</v>
      </c>
      <c r="G624" s="7" t="s">
        <v>831</v>
      </c>
      <c r="H624" s="40">
        <v>367</v>
      </c>
      <c r="I624">
        <f t="shared" si="57"/>
        <v>218</v>
      </c>
      <c r="J624" s="7" t="s">
        <v>831</v>
      </c>
      <c r="K624" s="7"/>
      <c r="L624">
        <f t="shared" si="59"/>
        <v>367</v>
      </c>
      <c r="M624">
        <f t="shared" si="60"/>
        <v>144</v>
      </c>
      <c r="N624" s="7" t="s">
        <v>831</v>
      </c>
      <c r="O624" s="40">
        <v>1</v>
      </c>
      <c r="Y624">
        <f t="shared" si="58"/>
        <v>712</v>
      </c>
    </row>
    <row r="625" spans="1:25" x14ac:dyDescent="0.25">
      <c r="A625" s="7" t="s">
        <v>841</v>
      </c>
      <c r="B625" s="40">
        <v>70</v>
      </c>
      <c r="C625">
        <f t="shared" si="56"/>
        <v>350</v>
      </c>
      <c r="D625" s="7" t="s">
        <v>836</v>
      </c>
      <c r="E625">
        <f t="shared" si="55"/>
        <v>70</v>
      </c>
      <c r="G625" s="7" t="s">
        <v>832</v>
      </c>
      <c r="H625" s="40">
        <v>6</v>
      </c>
      <c r="I625">
        <f t="shared" si="57"/>
        <v>718</v>
      </c>
      <c r="J625" s="7" t="s">
        <v>832</v>
      </c>
      <c r="K625" s="7"/>
      <c r="L625">
        <f t="shared" si="59"/>
        <v>6</v>
      </c>
      <c r="M625">
        <f t="shared" si="60"/>
        <v>144</v>
      </c>
      <c r="N625" s="7" t="s">
        <v>832</v>
      </c>
      <c r="O625" s="40">
        <v>1</v>
      </c>
      <c r="Y625">
        <f t="shared" si="58"/>
        <v>712</v>
      </c>
    </row>
    <row r="626" spans="1:25" x14ac:dyDescent="0.25">
      <c r="A626" s="7" t="s">
        <v>842</v>
      </c>
      <c r="B626" s="40">
        <v>200</v>
      </c>
      <c r="C626">
        <f t="shared" si="56"/>
        <v>554</v>
      </c>
      <c r="D626" s="7" t="s">
        <v>837</v>
      </c>
      <c r="E626">
        <f t="shared" si="55"/>
        <v>25</v>
      </c>
      <c r="G626" s="7" t="s">
        <v>833</v>
      </c>
      <c r="H626" s="40">
        <v>0</v>
      </c>
      <c r="I626">
        <f t="shared" si="57"/>
        <v>754</v>
      </c>
      <c r="J626" s="7" t="s">
        <v>833</v>
      </c>
      <c r="K626" s="7"/>
      <c r="L626">
        <f t="shared" si="59"/>
        <v>0</v>
      </c>
      <c r="M626">
        <f t="shared" si="60"/>
        <v>144</v>
      </c>
      <c r="N626" s="7" t="s">
        <v>833</v>
      </c>
      <c r="O626" s="40">
        <v>1</v>
      </c>
      <c r="Y626">
        <f t="shared" si="58"/>
        <v>712</v>
      </c>
    </row>
    <row r="627" spans="1:25" x14ac:dyDescent="0.25">
      <c r="A627" s="7" t="s">
        <v>843</v>
      </c>
      <c r="B627" s="40">
        <v>36</v>
      </c>
      <c r="C627">
        <f t="shared" si="56"/>
        <v>408</v>
      </c>
      <c r="D627" s="7" t="s">
        <v>838</v>
      </c>
      <c r="E627">
        <f t="shared" si="55"/>
        <v>51</v>
      </c>
      <c r="G627" s="7" t="s">
        <v>834</v>
      </c>
      <c r="H627" s="40">
        <v>265</v>
      </c>
      <c r="I627">
        <f t="shared" si="57"/>
        <v>280</v>
      </c>
      <c r="J627" s="7" t="s">
        <v>834</v>
      </c>
      <c r="K627" s="7"/>
      <c r="L627">
        <f t="shared" si="59"/>
        <v>265</v>
      </c>
      <c r="M627">
        <f t="shared" si="60"/>
        <v>144</v>
      </c>
      <c r="N627" s="7" t="s">
        <v>834</v>
      </c>
      <c r="O627" s="40">
        <v>1</v>
      </c>
      <c r="Y627">
        <f t="shared" si="58"/>
        <v>712</v>
      </c>
    </row>
    <row r="628" spans="1:25" x14ac:dyDescent="0.25">
      <c r="A628" s="7" t="s">
        <v>844</v>
      </c>
      <c r="B628" s="40">
        <v>40</v>
      </c>
      <c r="C628">
        <f t="shared" si="56"/>
        <v>254</v>
      </c>
      <c r="D628" s="7" t="s">
        <v>839</v>
      </c>
      <c r="E628">
        <f t="shared" si="55"/>
        <v>100</v>
      </c>
      <c r="G628" s="7" t="s">
        <v>835</v>
      </c>
      <c r="H628" s="40">
        <v>0</v>
      </c>
      <c r="I628">
        <f t="shared" si="57"/>
        <v>754</v>
      </c>
      <c r="J628" s="7" t="s">
        <v>835</v>
      </c>
      <c r="K628" s="7"/>
      <c r="L628">
        <f t="shared" si="59"/>
        <v>0</v>
      </c>
      <c r="M628">
        <f t="shared" si="60"/>
        <v>144</v>
      </c>
      <c r="N628" s="7" t="s">
        <v>835</v>
      </c>
      <c r="O628" s="40">
        <v>1</v>
      </c>
      <c r="Y628">
        <f t="shared" si="58"/>
        <v>712</v>
      </c>
    </row>
    <row r="629" spans="1:25" x14ac:dyDescent="0.25">
      <c r="A629" s="7" t="s">
        <v>845</v>
      </c>
      <c r="B629" s="40">
        <v>80</v>
      </c>
      <c r="C629">
        <f t="shared" si="56"/>
        <v>683</v>
      </c>
      <c r="D629" s="7" t="s">
        <v>840</v>
      </c>
      <c r="E629">
        <f t="shared" si="55"/>
        <v>0</v>
      </c>
      <c r="G629" s="7" t="s">
        <v>836</v>
      </c>
      <c r="H629" s="40">
        <v>45</v>
      </c>
      <c r="I629">
        <f t="shared" si="57"/>
        <v>568</v>
      </c>
      <c r="J629" s="7" t="s">
        <v>836</v>
      </c>
      <c r="K629" s="7"/>
      <c r="L629">
        <f t="shared" si="59"/>
        <v>45</v>
      </c>
      <c r="M629">
        <f t="shared" si="60"/>
        <v>144</v>
      </c>
      <c r="N629" s="7" t="s">
        <v>836</v>
      </c>
      <c r="O629" s="40">
        <v>1</v>
      </c>
      <c r="Y629">
        <f t="shared" si="58"/>
        <v>712</v>
      </c>
    </row>
    <row r="630" spans="1:25" x14ac:dyDescent="0.25">
      <c r="A630" s="7" t="s">
        <v>846</v>
      </c>
      <c r="B630" s="40">
        <v>18</v>
      </c>
      <c r="C630">
        <f t="shared" si="56"/>
        <v>350</v>
      </c>
      <c r="D630" s="7" t="s">
        <v>841</v>
      </c>
      <c r="E630">
        <f t="shared" si="55"/>
        <v>70</v>
      </c>
      <c r="G630" s="7" t="s">
        <v>837</v>
      </c>
      <c r="H630" s="40">
        <v>475</v>
      </c>
      <c r="I630">
        <f t="shared" si="57"/>
        <v>187</v>
      </c>
      <c r="J630" s="7" t="s">
        <v>837</v>
      </c>
      <c r="K630" s="7"/>
      <c r="L630">
        <f t="shared" si="59"/>
        <v>475</v>
      </c>
      <c r="M630">
        <f t="shared" si="60"/>
        <v>144</v>
      </c>
      <c r="N630" s="7" t="s">
        <v>837</v>
      </c>
      <c r="O630" s="40">
        <v>1</v>
      </c>
      <c r="Y630">
        <f t="shared" si="58"/>
        <v>712</v>
      </c>
    </row>
    <row r="631" spans="1:25" x14ac:dyDescent="0.25">
      <c r="A631" s="7" t="s">
        <v>847</v>
      </c>
      <c r="B631" s="40">
        <v>0</v>
      </c>
      <c r="C631">
        <f t="shared" si="56"/>
        <v>147</v>
      </c>
      <c r="D631" s="7" t="s">
        <v>842</v>
      </c>
      <c r="E631">
        <f t="shared" si="55"/>
        <v>200</v>
      </c>
      <c r="G631" s="7" t="s">
        <v>838</v>
      </c>
      <c r="H631" s="40">
        <v>9</v>
      </c>
      <c r="I631">
        <f t="shared" si="57"/>
        <v>704</v>
      </c>
      <c r="J631" s="7" t="s">
        <v>838</v>
      </c>
      <c r="K631" s="7"/>
      <c r="L631">
        <f t="shared" si="59"/>
        <v>9</v>
      </c>
      <c r="M631">
        <f t="shared" si="60"/>
        <v>144</v>
      </c>
      <c r="N631" s="7" t="s">
        <v>838</v>
      </c>
      <c r="O631" s="40">
        <v>1</v>
      </c>
      <c r="Y631">
        <f t="shared" si="58"/>
        <v>712</v>
      </c>
    </row>
    <row r="632" spans="1:25" x14ac:dyDescent="0.25">
      <c r="A632" s="7" t="s">
        <v>848</v>
      </c>
      <c r="B632" s="40">
        <v>113</v>
      </c>
      <c r="C632">
        <f t="shared" si="56"/>
        <v>490</v>
      </c>
      <c r="D632" s="7" t="s">
        <v>843</v>
      </c>
      <c r="E632">
        <f t="shared" si="55"/>
        <v>36</v>
      </c>
      <c r="G632" s="7" t="s">
        <v>839</v>
      </c>
      <c r="H632" s="40">
        <v>644</v>
      </c>
      <c r="I632">
        <f t="shared" si="57"/>
        <v>148</v>
      </c>
      <c r="J632" s="7" t="s">
        <v>839</v>
      </c>
      <c r="K632" s="7"/>
      <c r="L632">
        <f t="shared" si="59"/>
        <v>644</v>
      </c>
      <c r="M632">
        <f t="shared" si="60"/>
        <v>144</v>
      </c>
      <c r="N632" s="7" t="s">
        <v>839</v>
      </c>
      <c r="O632" s="40">
        <v>1</v>
      </c>
      <c r="Y632">
        <f t="shared" si="58"/>
        <v>712</v>
      </c>
    </row>
    <row r="633" spans="1:25" x14ac:dyDescent="0.25">
      <c r="A633" s="7" t="s">
        <v>849</v>
      </c>
      <c r="B633" s="40">
        <v>0</v>
      </c>
      <c r="C633">
        <f t="shared" si="56"/>
        <v>454</v>
      </c>
      <c r="D633" s="7" t="s">
        <v>844</v>
      </c>
      <c r="E633">
        <f t="shared" si="55"/>
        <v>40</v>
      </c>
      <c r="G633" s="7" t="s">
        <v>840</v>
      </c>
      <c r="H633" s="40">
        <v>41</v>
      </c>
      <c r="I633">
        <f t="shared" si="57"/>
        <v>580</v>
      </c>
      <c r="J633" s="7" t="s">
        <v>840</v>
      </c>
      <c r="K633" s="7"/>
      <c r="L633">
        <f t="shared" si="59"/>
        <v>41</v>
      </c>
      <c r="M633">
        <f t="shared" si="60"/>
        <v>144</v>
      </c>
      <c r="N633" s="7" t="s">
        <v>840</v>
      </c>
      <c r="O633" s="40">
        <v>1</v>
      </c>
      <c r="Y633">
        <f t="shared" si="58"/>
        <v>712</v>
      </c>
    </row>
    <row r="634" spans="1:25" x14ac:dyDescent="0.25">
      <c r="A634" s="7" t="s">
        <v>850</v>
      </c>
      <c r="B634" s="40">
        <v>159</v>
      </c>
      <c r="C634">
        <f t="shared" si="56"/>
        <v>322</v>
      </c>
      <c r="D634" s="7" t="s">
        <v>845</v>
      </c>
      <c r="E634">
        <f t="shared" si="55"/>
        <v>80</v>
      </c>
      <c r="G634" s="7" t="s">
        <v>841</v>
      </c>
      <c r="H634" s="40">
        <v>1300</v>
      </c>
      <c r="I634">
        <f t="shared" si="57"/>
        <v>76</v>
      </c>
      <c r="J634" s="7" t="s">
        <v>841</v>
      </c>
      <c r="K634" s="7"/>
      <c r="L634">
        <f t="shared" si="59"/>
        <v>1300</v>
      </c>
      <c r="M634">
        <f t="shared" si="60"/>
        <v>144</v>
      </c>
      <c r="N634" s="7" t="s">
        <v>841</v>
      </c>
      <c r="O634" s="40">
        <v>1</v>
      </c>
      <c r="Y634">
        <f t="shared" si="58"/>
        <v>712</v>
      </c>
    </row>
    <row r="635" spans="1:25" x14ac:dyDescent="0.25">
      <c r="A635" s="7" t="s">
        <v>851</v>
      </c>
      <c r="B635" s="40">
        <v>250</v>
      </c>
      <c r="C635">
        <f t="shared" si="56"/>
        <v>607</v>
      </c>
      <c r="D635" s="7" t="s">
        <v>846</v>
      </c>
      <c r="E635">
        <f t="shared" si="55"/>
        <v>18</v>
      </c>
      <c r="G635" s="7" t="s">
        <v>842</v>
      </c>
      <c r="H635" s="40">
        <v>0</v>
      </c>
      <c r="I635">
        <f t="shared" si="57"/>
        <v>754</v>
      </c>
      <c r="J635" s="7" t="s">
        <v>842</v>
      </c>
      <c r="K635" s="7"/>
      <c r="L635">
        <f t="shared" si="59"/>
        <v>0</v>
      </c>
      <c r="M635">
        <f t="shared" si="60"/>
        <v>144</v>
      </c>
      <c r="N635" s="7" t="s">
        <v>842</v>
      </c>
      <c r="O635" s="40">
        <v>1</v>
      </c>
      <c r="Y635">
        <f t="shared" si="58"/>
        <v>712</v>
      </c>
    </row>
    <row r="636" spans="1:25" x14ac:dyDescent="0.25">
      <c r="A636" s="7" t="s">
        <v>852</v>
      </c>
      <c r="B636" s="40">
        <v>520</v>
      </c>
      <c r="C636">
        <f t="shared" si="56"/>
        <v>683</v>
      </c>
      <c r="D636" s="7" t="s">
        <v>847</v>
      </c>
      <c r="E636">
        <f t="shared" si="55"/>
        <v>0</v>
      </c>
      <c r="G636" s="7" t="s">
        <v>843</v>
      </c>
      <c r="H636" s="40">
        <v>52</v>
      </c>
      <c r="I636">
        <f t="shared" si="57"/>
        <v>551</v>
      </c>
      <c r="J636" s="7" t="s">
        <v>843</v>
      </c>
      <c r="K636" s="7"/>
      <c r="L636">
        <f t="shared" si="59"/>
        <v>52</v>
      </c>
      <c r="M636">
        <f t="shared" si="60"/>
        <v>144</v>
      </c>
      <c r="N636" s="7" t="s">
        <v>843</v>
      </c>
      <c r="O636" s="40">
        <v>1</v>
      </c>
      <c r="Y636">
        <f t="shared" si="58"/>
        <v>712</v>
      </c>
    </row>
    <row r="637" spans="1:25" x14ac:dyDescent="0.25">
      <c r="A637" s="7" t="s">
        <v>853</v>
      </c>
      <c r="B637" s="40">
        <v>380</v>
      </c>
      <c r="C637">
        <f t="shared" si="56"/>
        <v>246</v>
      </c>
      <c r="D637" s="7" t="s">
        <v>848</v>
      </c>
      <c r="E637">
        <f t="shared" si="55"/>
        <v>113</v>
      </c>
      <c r="G637" s="7" t="s">
        <v>844</v>
      </c>
      <c r="H637" s="40">
        <v>0</v>
      </c>
      <c r="I637">
        <f t="shared" si="57"/>
        <v>754</v>
      </c>
      <c r="J637" s="7" t="s">
        <v>844</v>
      </c>
      <c r="K637" s="7"/>
      <c r="L637">
        <f t="shared" si="59"/>
        <v>0</v>
      </c>
      <c r="M637">
        <f t="shared" si="60"/>
        <v>144</v>
      </c>
      <c r="N637" s="7" t="s">
        <v>844</v>
      </c>
      <c r="O637" s="40">
        <v>1</v>
      </c>
      <c r="Y637">
        <f t="shared" si="58"/>
        <v>712</v>
      </c>
    </row>
    <row r="638" spans="1:25" x14ac:dyDescent="0.25">
      <c r="A638" s="7" t="s">
        <v>854</v>
      </c>
      <c r="B638" s="40">
        <v>8</v>
      </c>
      <c r="C638">
        <f t="shared" si="56"/>
        <v>683</v>
      </c>
      <c r="D638" s="7" t="s">
        <v>849</v>
      </c>
      <c r="E638">
        <f t="shared" si="55"/>
        <v>0</v>
      </c>
      <c r="G638" s="7" t="s">
        <v>845</v>
      </c>
      <c r="H638" s="40">
        <v>82</v>
      </c>
      <c r="I638">
        <f t="shared" si="57"/>
        <v>482</v>
      </c>
      <c r="J638" s="7" t="s">
        <v>845</v>
      </c>
      <c r="K638" s="7"/>
      <c r="L638">
        <f t="shared" si="59"/>
        <v>82</v>
      </c>
      <c r="M638">
        <f t="shared" si="60"/>
        <v>144</v>
      </c>
      <c r="N638" s="7" t="s">
        <v>845</v>
      </c>
      <c r="O638" s="40">
        <v>1</v>
      </c>
      <c r="Y638">
        <f t="shared" si="58"/>
        <v>712</v>
      </c>
    </row>
    <row r="639" spans="1:25" x14ac:dyDescent="0.25">
      <c r="A639" s="7" t="s">
        <v>855</v>
      </c>
      <c r="B639" s="40">
        <v>15</v>
      </c>
      <c r="C639">
        <f t="shared" si="56"/>
        <v>187</v>
      </c>
      <c r="D639" s="7" t="s">
        <v>850</v>
      </c>
      <c r="E639">
        <f t="shared" si="55"/>
        <v>159</v>
      </c>
      <c r="G639" s="7" t="s">
        <v>846</v>
      </c>
      <c r="H639" s="40">
        <v>4</v>
      </c>
      <c r="I639">
        <f t="shared" si="57"/>
        <v>725</v>
      </c>
      <c r="J639" s="7" t="s">
        <v>846</v>
      </c>
      <c r="K639" s="7"/>
      <c r="L639">
        <f t="shared" si="59"/>
        <v>4</v>
      </c>
      <c r="M639">
        <f t="shared" si="60"/>
        <v>144</v>
      </c>
      <c r="N639" s="7" t="s">
        <v>846</v>
      </c>
      <c r="O639" s="40">
        <v>1</v>
      </c>
      <c r="Y639">
        <f t="shared" si="58"/>
        <v>712</v>
      </c>
    </row>
    <row r="640" spans="1:25" x14ac:dyDescent="0.25">
      <c r="A640" s="7" t="s">
        <v>856</v>
      </c>
      <c r="B640" s="40">
        <v>227</v>
      </c>
      <c r="C640">
        <f t="shared" si="56"/>
        <v>121</v>
      </c>
      <c r="D640" s="7" t="s">
        <v>851</v>
      </c>
      <c r="E640">
        <f t="shared" si="55"/>
        <v>250</v>
      </c>
      <c r="G640" s="7" t="s">
        <v>847</v>
      </c>
      <c r="H640" s="40">
        <v>743</v>
      </c>
      <c r="I640">
        <f t="shared" si="57"/>
        <v>129</v>
      </c>
      <c r="J640" s="7" t="s">
        <v>847</v>
      </c>
      <c r="K640" s="7"/>
      <c r="L640">
        <f t="shared" si="59"/>
        <v>743</v>
      </c>
      <c r="M640">
        <f t="shared" si="60"/>
        <v>144</v>
      </c>
      <c r="N640" s="7" t="s">
        <v>847</v>
      </c>
      <c r="O640" s="40">
        <v>1</v>
      </c>
      <c r="Y640">
        <f t="shared" si="58"/>
        <v>712</v>
      </c>
    </row>
    <row r="641" spans="1:25" x14ac:dyDescent="0.25">
      <c r="A641" s="7" t="s">
        <v>858</v>
      </c>
      <c r="B641" s="40">
        <v>250</v>
      </c>
      <c r="C641">
        <f t="shared" si="56"/>
        <v>65</v>
      </c>
      <c r="D641" s="7" t="s">
        <v>852</v>
      </c>
      <c r="E641">
        <f t="shared" si="55"/>
        <v>520</v>
      </c>
      <c r="G641" s="7" t="s">
        <v>848</v>
      </c>
      <c r="H641" s="40">
        <v>0</v>
      </c>
      <c r="I641">
        <f t="shared" si="57"/>
        <v>754</v>
      </c>
      <c r="J641" s="7" t="s">
        <v>848</v>
      </c>
      <c r="K641" s="7"/>
      <c r="L641">
        <f t="shared" si="59"/>
        <v>0</v>
      </c>
      <c r="M641">
        <f t="shared" si="60"/>
        <v>144</v>
      </c>
      <c r="N641" s="7" t="s">
        <v>848</v>
      </c>
      <c r="O641" s="40">
        <v>1</v>
      </c>
      <c r="Y641">
        <f t="shared" si="58"/>
        <v>712</v>
      </c>
    </row>
    <row r="642" spans="1:25" x14ac:dyDescent="0.25">
      <c r="A642" s="7" t="s">
        <v>859</v>
      </c>
      <c r="B642" s="40">
        <v>100</v>
      </c>
      <c r="C642">
        <f t="shared" si="56"/>
        <v>90</v>
      </c>
      <c r="D642" s="7" t="s">
        <v>853</v>
      </c>
      <c r="E642">
        <f t="shared" si="55"/>
        <v>380</v>
      </c>
      <c r="G642" s="7" t="s">
        <v>849</v>
      </c>
      <c r="H642" s="40">
        <v>661</v>
      </c>
      <c r="I642">
        <f t="shared" si="57"/>
        <v>143</v>
      </c>
      <c r="J642" s="7" t="s">
        <v>849</v>
      </c>
      <c r="K642" s="7"/>
      <c r="L642">
        <f t="shared" si="59"/>
        <v>661</v>
      </c>
      <c r="M642">
        <f t="shared" si="60"/>
        <v>28</v>
      </c>
      <c r="N642" s="7" t="s">
        <v>849</v>
      </c>
      <c r="O642" s="40">
        <v>2</v>
      </c>
      <c r="Y642">
        <f t="shared" si="58"/>
        <v>712</v>
      </c>
    </row>
    <row r="643" spans="1:25" x14ac:dyDescent="0.25">
      <c r="A643" s="7" t="s">
        <v>860</v>
      </c>
      <c r="B643" s="40">
        <v>45</v>
      </c>
      <c r="C643">
        <f t="shared" si="56"/>
        <v>666</v>
      </c>
      <c r="D643" s="7" t="s">
        <v>854</v>
      </c>
      <c r="E643">
        <f t="shared" si="55"/>
        <v>8</v>
      </c>
      <c r="G643" s="7" t="s">
        <v>850</v>
      </c>
      <c r="H643" s="40">
        <v>70</v>
      </c>
      <c r="I643">
        <f t="shared" si="57"/>
        <v>506</v>
      </c>
      <c r="J643" s="7" t="s">
        <v>850</v>
      </c>
      <c r="K643" s="7"/>
      <c r="L643">
        <f t="shared" si="59"/>
        <v>70</v>
      </c>
      <c r="M643">
        <f t="shared" si="60"/>
        <v>28</v>
      </c>
      <c r="N643" s="7" t="s">
        <v>850</v>
      </c>
      <c r="O643" s="40">
        <v>2</v>
      </c>
      <c r="Y643">
        <f t="shared" si="58"/>
        <v>712</v>
      </c>
    </row>
    <row r="644" spans="1:25" x14ac:dyDescent="0.25">
      <c r="A644" s="7" t="s">
        <v>861</v>
      </c>
      <c r="B644" s="40">
        <v>0</v>
      </c>
      <c r="C644">
        <f t="shared" si="56"/>
        <v>622</v>
      </c>
      <c r="D644" s="7" t="s">
        <v>855</v>
      </c>
      <c r="E644">
        <f t="shared" si="55"/>
        <v>15</v>
      </c>
      <c r="G644" s="7" t="s">
        <v>851</v>
      </c>
      <c r="H644" s="40">
        <v>95</v>
      </c>
      <c r="I644">
        <f t="shared" si="57"/>
        <v>461</v>
      </c>
      <c r="J644" s="7" t="s">
        <v>851</v>
      </c>
      <c r="K644" s="7"/>
      <c r="L644">
        <f t="shared" si="59"/>
        <v>95</v>
      </c>
      <c r="M644">
        <f t="shared" si="60"/>
        <v>144</v>
      </c>
      <c r="N644" s="7" t="s">
        <v>851</v>
      </c>
      <c r="O644" s="40">
        <v>1</v>
      </c>
      <c r="Y644">
        <f t="shared" si="58"/>
        <v>712</v>
      </c>
    </row>
    <row r="645" spans="1:25" x14ac:dyDescent="0.25">
      <c r="A645" s="7" t="s">
        <v>862</v>
      </c>
      <c r="B645" s="40">
        <v>160</v>
      </c>
      <c r="C645">
        <f t="shared" si="56"/>
        <v>133</v>
      </c>
      <c r="D645" s="7" t="s">
        <v>856</v>
      </c>
      <c r="E645">
        <f t="shared" si="55"/>
        <v>227</v>
      </c>
      <c r="G645" s="7" t="s">
        <v>852</v>
      </c>
      <c r="H645" s="40">
        <v>900</v>
      </c>
      <c r="I645">
        <f t="shared" si="57"/>
        <v>110</v>
      </c>
      <c r="J645" s="7" t="s">
        <v>852</v>
      </c>
      <c r="K645" s="7"/>
      <c r="L645">
        <f t="shared" si="59"/>
        <v>900</v>
      </c>
      <c r="M645">
        <f t="shared" si="60"/>
        <v>9</v>
      </c>
      <c r="N645" s="7" t="s">
        <v>852</v>
      </c>
      <c r="O645" s="40">
        <v>3</v>
      </c>
      <c r="Y645">
        <f t="shared" si="58"/>
        <v>712</v>
      </c>
    </row>
    <row r="646" spans="1:25" x14ac:dyDescent="0.25">
      <c r="A646" s="7" t="s">
        <v>863</v>
      </c>
      <c r="B646" s="40">
        <v>500</v>
      </c>
      <c r="C646">
        <f t="shared" si="56"/>
        <v>121</v>
      </c>
      <c r="D646" s="7" t="s">
        <v>858</v>
      </c>
      <c r="E646">
        <f t="shared" si="55"/>
        <v>250</v>
      </c>
      <c r="G646" s="7" t="s">
        <v>853</v>
      </c>
      <c r="H646" s="40">
        <v>3000</v>
      </c>
      <c r="I646">
        <f t="shared" si="57"/>
        <v>33</v>
      </c>
      <c r="J646" s="7" t="s">
        <v>853</v>
      </c>
      <c r="K646" s="7"/>
      <c r="L646">
        <f t="shared" si="59"/>
        <v>3000</v>
      </c>
      <c r="M646">
        <f t="shared" si="60"/>
        <v>9</v>
      </c>
      <c r="N646" s="7" t="s">
        <v>853</v>
      </c>
      <c r="O646" s="40">
        <v>3</v>
      </c>
      <c r="Y646">
        <f t="shared" si="58"/>
        <v>712</v>
      </c>
    </row>
    <row r="647" spans="1:25" x14ac:dyDescent="0.25">
      <c r="A647" s="7" t="s">
        <v>864</v>
      </c>
      <c r="B647" s="40">
        <v>47</v>
      </c>
      <c r="C647">
        <f t="shared" si="56"/>
        <v>254</v>
      </c>
      <c r="D647" s="7" t="s">
        <v>859</v>
      </c>
      <c r="E647">
        <f t="shared" si="55"/>
        <v>100</v>
      </c>
      <c r="G647" s="7" t="s">
        <v>854</v>
      </c>
      <c r="H647" s="40">
        <v>45</v>
      </c>
      <c r="I647">
        <f t="shared" si="57"/>
        <v>568</v>
      </c>
      <c r="J647" s="7" t="s">
        <v>854</v>
      </c>
      <c r="K647" s="7"/>
      <c r="L647">
        <f t="shared" si="59"/>
        <v>45</v>
      </c>
      <c r="M647">
        <f t="shared" si="60"/>
        <v>144</v>
      </c>
      <c r="N647" s="7" t="s">
        <v>854</v>
      </c>
      <c r="O647" s="40">
        <v>1</v>
      </c>
      <c r="Y647">
        <f t="shared" si="58"/>
        <v>712</v>
      </c>
    </row>
    <row r="648" spans="1:25" x14ac:dyDescent="0.25">
      <c r="A648" s="7" t="s">
        <v>865</v>
      </c>
      <c r="B648" s="40">
        <v>10</v>
      </c>
      <c r="C648">
        <f t="shared" si="56"/>
        <v>441</v>
      </c>
      <c r="D648" s="7" t="s">
        <v>860</v>
      </c>
      <c r="E648">
        <f t="shared" si="55"/>
        <v>45</v>
      </c>
      <c r="G648" s="7" t="s">
        <v>855</v>
      </c>
      <c r="H648" s="40">
        <v>30</v>
      </c>
      <c r="I648">
        <f t="shared" si="57"/>
        <v>613</v>
      </c>
      <c r="J648" s="7" t="s">
        <v>855</v>
      </c>
      <c r="K648" s="7"/>
      <c r="L648">
        <f t="shared" si="59"/>
        <v>30</v>
      </c>
      <c r="M648">
        <f t="shared" si="60"/>
        <v>144</v>
      </c>
      <c r="N648" s="7" t="s">
        <v>855</v>
      </c>
      <c r="O648" s="40">
        <v>1</v>
      </c>
      <c r="Y648">
        <f t="shared" si="58"/>
        <v>712</v>
      </c>
    </row>
    <row r="649" spans="1:25" x14ac:dyDescent="0.25">
      <c r="A649" s="7" t="s">
        <v>866</v>
      </c>
      <c r="B649" s="40">
        <v>26</v>
      </c>
      <c r="C649">
        <f t="shared" si="56"/>
        <v>683</v>
      </c>
      <c r="D649" s="7" t="s">
        <v>861</v>
      </c>
      <c r="E649">
        <f t="shared" ref="E649:E712" si="61">VLOOKUP(D:D,A644:B1468,2,0)</f>
        <v>0</v>
      </c>
      <c r="G649" s="7" t="s">
        <v>856</v>
      </c>
      <c r="H649" s="40">
        <v>127</v>
      </c>
      <c r="I649">
        <f t="shared" si="57"/>
        <v>411</v>
      </c>
      <c r="J649" s="7" t="s">
        <v>856</v>
      </c>
      <c r="K649" s="7"/>
      <c r="L649">
        <f t="shared" si="59"/>
        <v>127</v>
      </c>
      <c r="M649">
        <f t="shared" si="60"/>
        <v>144</v>
      </c>
      <c r="N649" s="7" t="s">
        <v>856</v>
      </c>
      <c r="O649" s="40">
        <v>1</v>
      </c>
      <c r="Y649">
        <f t="shared" si="58"/>
        <v>712</v>
      </c>
    </row>
    <row r="650" spans="1:25" x14ac:dyDescent="0.25">
      <c r="A650" s="7" t="s">
        <v>867</v>
      </c>
      <c r="B650" s="40">
        <v>30</v>
      </c>
      <c r="C650">
        <f t="shared" ref="C650:C713" si="62">RANK(E:E,E:E)</f>
        <v>184</v>
      </c>
      <c r="D650" s="7" t="s">
        <v>862</v>
      </c>
      <c r="E650">
        <f t="shared" si="61"/>
        <v>160</v>
      </c>
      <c r="G650" s="7" t="s">
        <v>858</v>
      </c>
      <c r="H650" s="40">
        <v>1226</v>
      </c>
      <c r="I650">
        <f t="shared" si="57"/>
        <v>81</v>
      </c>
      <c r="J650" s="7" t="s">
        <v>858</v>
      </c>
      <c r="K650" s="7"/>
      <c r="L650">
        <f t="shared" si="59"/>
        <v>1226</v>
      </c>
      <c r="M650">
        <f t="shared" si="60"/>
        <v>28</v>
      </c>
      <c r="N650" s="7" t="s">
        <v>858</v>
      </c>
      <c r="O650" s="40">
        <v>2</v>
      </c>
      <c r="Y650">
        <f t="shared" si="58"/>
        <v>712</v>
      </c>
    </row>
    <row r="651" spans="1:25" x14ac:dyDescent="0.25">
      <c r="A651" s="7" t="s">
        <v>868</v>
      </c>
      <c r="B651" s="40">
        <v>575</v>
      </c>
      <c r="C651">
        <f t="shared" si="62"/>
        <v>66</v>
      </c>
      <c r="D651" s="7" t="s">
        <v>863</v>
      </c>
      <c r="E651">
        <f t="shared" si="61"/>
        <v>500</v>
      </c>
      <c r="G651" s="7" t="s">
        <v>859</v>
      </c>
      <c r="H651" s="40">
        <v>4200</v>
      </c>
      <c r="I651">
        <f t="shared" si="57"/>
        <v>25</v>
      </c>
      <c r="J651" s="7" t="s">
        <v>859</v>
      </c>
      <c r="K651" s="7"/>
      <c r="L651">
        <f t="shared" si="59"/>
        <v>4200</v>
      </c>
      <c r="M651">
        <f t="shared" si="60"/>
        <v>144</v>
      </c>
      <c r="N651" s="7" t="s">
        <v>859</v>
      </c>
      <c r="O651" s="40">
        <v>1</v>
      </c>
      <c r="Y651">
        <f t="shared" si="58"/>
        <v>712</v>
      </c>
    </row>
    <row r="652" spans="1:25" x14ac:dyDescent="0.25">
      <c r="A652" s="7" t="s">
        <v>870</v>
      </c>
      <c r="B652" s="40">
        <v>30</v>
      </c>
      <c r="C652">
        <f t="shared" si="62"/>
        <v>435</v>
      </c>
      <c r="D652" s="7" t="s">
        <v>864</v>
      </c>
      <c r="E652">
        <f t="shared" si="61"/>
        <v>47</v>
      </c>
      <c r="G652" s="7" t="s">
        <v>860</v>
      </c>
      <c r="H652" s="40">
        <v>61</v>
      </c>
      <c r="I652">
        <f t="shared" si="57"/>
        <v>524</v>
      </c>
      <c r="J652" s="7" t="s">
        <v>860</v>
      </c>
      <c r="K652" s="7"/>
      <c r="L652">
        <f t="shared" si="59"/>
        <v>61</v>
      </c>
      <c r="M652">
        <f t="shared" si="60"/>
        <v>144</v>
      </c>
      <c r="N652" s="7" t="s">
        <v>860</v>
      </c>
      <c r="O652" s="40">
        <v>1</v>
      </c>
      <c r="Y652">
        <f t="shared" si="58"/>
        <v>712</v>
      </c>
    </row>
    <row r="653" spans="1:25" x14ac:dyDescent="0.25">
      <c r="A653" s="7" t="s">
        <v>871</v>
      </c>
      <c r="B653" s="40">
        <v>100</v>
      </c>
      <c r="C653">
        <f t="shared" si="62"/>
        <v>653</v>
      </c>
      <c r="D653" s="7" t="s">
        <v>865</v>
      </c>
      <c r="E653">
        <f t="shared" si="61"/>
        <v>10</v>
      </c>
      <c r="G653" s="7" t="s">
        <v>861</v>
      </c>
      <c r="H653" s="40">
        <v>13</v>
      </c>
      <c r="I653">
        <f t="shared" ref="I653:I716" si="63">RANK(L:L,L:L)</f>
        <v>687</v>
      </c>
      <c r="J653" s="7" t="s">
        <v>861</v>
      </c>
      <c r="K653" s="7"/>
      <c r="L653">
        <f t="shared" si="59"/>
        <v>13</v>
      </c>
      <c r="M653">
        <f t="shared" si="60"/>
        <v>144</v>
      </c>
      <c r="N653" s="7" t="s">
        <v>861</v>
      </c>
      <c r="O653" s="40">
        <v>1</v>
      </c>
      <c r="Y653">
        <f t="shared" ref="Y653:Y716" si="64">RANK(AA:AA,AA:AA)</f>
        <v>712</v>
      </c>
    </row>
    <row r="654" spans="1:25" x14ac:dyDescent="0.25">
      <c r="A654" s="7" t="s">
        <v>872</v>
      </c>
      <c r="B654" s="40">
        <v>3900</v>
      </c>
      <c r="C654">
        <f t="shared" si="62"/>
        <v>549</v>
      </c>
      <c r="D654" s="7" t="s">
        <v>866</v>
      </c>
      <c r="E654">
        <f t="shared" si="61"/>
        <v>26</v>
      </c>
      <c r="G654" s="7" t="s">
        <v>862</v>
      </c>
      <c r="H654" s="40">
        <v>306</v>
      </c>
      <c r="I654">
        <f t="shared" si="63"/>
        <v>254</v>
      </c>
      <c r="J654" s="7" t="s">
        <v>862</v>
      </c>
      <c r="K654" s="7"/>
      <c r="L654">
        <f t="shared" ref="L654:L717" si="65">VLOOKUP(G654,G653:H1476,2,0)</f>
        <v>306</v>
      </c>
      <c r="M654">
        <f t="shared" ref="M654:M717" si="66">RANK(O:O,O:O)</f>
        <v>28</v>
      </c>
      <c r="N654" s="7" t="s">
        <v>862</v>
      </c>
      <c r="O654" s="40">
        <v>2</v>
      </c>
      <c r="Y654">
        <f t="shared" si="64"/>
        <v>712</v>
      </c>
    </row>
    <row r="655" spans="1:25" x14ac:dyDescent="0.25">
      <c r="A655" s="7" t="s">
        <v>873</v>
      </c>
      <c r="B655" s="40">
        <v>87</v>
      </c>
      <c r="C655">
        <f t="shared" si="62"/>
        <v>512</v>
      </c>
      <c r="D655" s="7" t="s">
        <v>867</v>
      </c>
      <c r="E655">
        <f t="shared" si="61"/>
        <v>30</v>
      </c>
      <c r="G655" s="7" t="s">
        <v>863</v>
      </c>
      <c r="H655" s="40">
        <v>100</v>
      </c>
      <c r="I655">
        <f t="shared" si="63"/>
        <v>451</v>
      </c>
      <c r="J655" s="7" t="s">
        <v>863</v>
      </c>
      <c r="K655" s="7"/>
      <c r="L655">
        <f t="shared" si="65"/>
        <v>100</v>
      </c>
      <c r="M655">
        <f t="shared" si="66"/>
        <v>144</v>
      </c>
      <c r="N655" s="7" t="s">
        <v>863</v>
      </c>
      <c r="O655" s="40">
        <v>1</v>
      </c>
      <c r="Y655">
        <f t="shared" si="64"/>
        <v>712</v>
      </c>
    </row>
    <row r="656" spans="1:25" x14ac:dyDescent="0.25">
      <c r="A656" s="7" t="s">
        <v>874</v>
      </c>
      <c r="B656" s="40">
        <v>130</v>
      </c>
      <c r="C656">
        <f t="shared" si="62"/>
        <v>58</v>
      </c>
      <c r="D656" s="7" t="s">
        <v>868</v>
      </c>
      <c r="E656">
        <f t="shared" si="61"/>
        <v>575</v>
      </c>
      <c r="G656" s="7" t="s">
        <v>864</v>
      </c>
      <c r="H656" s="40">
        <v>37</v>
      </c>
      <c r="I656">
        <f t="shared" si="63"/>
        <v>596</v>
      </c>
      <c r="J656" s="7" t="s">
        <v>864</v>
      </c>
      <c r="K656" s="7"/>
      <c r="L656">
        <f t="shared" si="65"/>
        <v>37</v>
      </c>
      <c r="M656">
        <f t="shared" si="66"/>
        <v>144</v>
      </c>
      <c r="N656" s="7" t="s">
        <v>864</v>
      </c>
      <c r="O656" s="40">
        <v>1</v>
      </c>
      <c r="Y656">
        <f t="shared" si="64"/>
        <v>712</v>
      </c>
    </row>
    <row r="657" spans="1:25" x14ac:dyDescent="0.25">
      <c r="A657" s="7" t="s">
        <v>875</v>
      </c>
      <c r="B657" s="40">
        <v>40</v>
      </c>
      <c r="C657">
        <f t="shared" si="62"/>
        <v>512</v>
      </c>
      <c r="D657" s="7" t="s">
        <v>870</v>
      </c>
      <c r="E657">
        <f t="shared" si="61"/>
        <v>30</v>
      </c>
      <c r="G657" s="7" t="s">
        <v>865</v>
      </c>
      <c r="H657" s="40">
        <v>4</v>
      </c>
      <c r="I657">
        <f t="shared" si="63"/>
        <v>725</v>
      </c>
      <c r="J657" s="7" t="s">
        <v>865</v>
      </c>
      <c r="K657" s="7"/>
      <c r="L657">
        <f t="shared" si="65"/>
        <v>4</v>
      </c>
      <c r="M657">
        <f t="shared" si="66"/>
        <v>144</v>
      </c>
      <c r="N657" s="7" t="s">
        <v>865</v>
      </c>
      <c r="O657" s="40">
        <v>1</v>
      </c>
      <c r="Y657">
        <f t="shared" si="64"/>
        <v>712</v>
      </c>
    </row>
    <row r="658" spans="1:25" x14ac:dyDescent="0.25">
      <c r="A658" s="7" t="s">
        <v>876</v>
      </c>
      <c r="B658" s="40">
        <v>300</v>
      </c>
      <c r="C658">
        <f t="shared" si="62"/>
        <v>254</v>
      </c>
      <c r="D658" s="7" t="s">
        <v>871</v>
      </c>
      <c r="E658">
        <f t="shared" si="61"/>
        <v>100</v>
      </c>
      <c r="G658" s="7" t="s">
        <v>866</v>
      </c>
      <c r="H658" s="40">
        <v>40</v>
      </c>
      <c r="I658">
        <f t="shared" si="63"/>
        <v>587</v>
      </c>
      <c r="J658" s="7" t="s">
        <v>866</v>
      </c>
      <c r="K658" s="7"/>
      <c r="L658">
        <f t="shared" si="65"/>
        <v>40</v>
      </c>
      <c r="M658">
        <f t="shared" si="66"/>
        <v>144</v>
      </c>
      <c r="N658" s="7" t="s">
        <v>866</v>
      </c>
      <c r="O658" s="40">
        <v>1</v>
      </c>
      <c r="Y658">
        <f t="shared" si="64"/>
        <v>712</v>
      </c>
    </row>
    <row r="659" spans="1:25" x14ac:dyDescent="0.25">
      <c r="A659" s="7" t="s">
        <v>878</v>
      </c>
      <c r="B659" s="40">
        <v>50</v>
      </c>
      <c r="C659">
        <f t="shared" si="62"/>
        <v>9</v>
      </c>
      <c r="D659" s="7" t="s">
        <v>872</v>
      </c>
      <c r="E659">
        <f t="shared" si="61"/>
        <v>3900</v>
      </c>
      <c r="G659" s="7" t="s">
        <v>867</v>
      </c>
      <c r="H659" s="40">
        <v>6</v>
      </c>
      <c r="I659">
        <f t="shared" si="63"/>
        <v>718</v>
      </c>
      <c r="J659" s="7" t="s">
        <v>867</v>
      </c>
      <c r="K659" s="7"/>
      <c r="L659">
        <f t="shared" si="65"/>
        <v>6</v>
      </c>
      <c r="M659">
        <f t="shared" si="66"/>
        <v>144</v>
      </c>
      <c r="N659" s="7" t="s">
        <v>867</v>
      </c>
      <c r="O659" s="40">
        <v>1</v>
      </c>
      <c r="Y659">
        <f t="shared" si="64"/>
        <v>712</v>
      </c>
    </row>
    <row r="660" spans="1:25" x14ac:dyDescent="0.25">
      <c r="A660" s="7" t="s">
        <v>879</v>
      </c>
      <c r="B660" s="40">
        <v>355</v>
      </c>
      <c r="C660">
        <f t="shared" si="62"/>
        <v>310</v>
      </c>
      <c r="D660" s="7" t="s">
        <v>873</v>
      </c>
      <c r="E660">
        <f t="shared" si="61"/>
        <v>87</v>
      </c>
      <c r="G660" s="7" t="s">
        <v>868</v>
      </c>
      <c r="H660" s="40">
        <v>4</v>
      </c>
      <c r="I660">
        <f t="shared" si="63"/>
        <v>725</v>
      </c>
      <c r="J660" s="7" t="s">
        <v>868</v>
      </c>
      <c r="K660" s="7"/>
      <c r="L660">
        <f t="shared" si="65"/>
        <v>4</v>
      </c>
      <c r="M660">
        <f t="shared" si="66"/>
        <v>28</v>
      </c>
      <c r="N660" s="7" t="s">
        <v>868</v>
      </c>
      <c r="O660" s="40">
        <v>2</v>
      </c>
      <c r="Y660">
        <f t="shared" si="64"/>
        <v>712</v>
      </c>
    </row>
    <row r="661" spans="1:25" x14ac:dyDescent="0.25">
      <c r="A661" s="7" t="s">
        <v>881</v>
      </c>
      <c r="B661" s="40">
        <v>0</v>
      </c>
      <c r="C661">
        <f t="shared" si="62"/>
        <v>226</v>
      </c>
      <c r="D661" s="7" t="s">
        <v>874</v>
      </c>
      <c r="E661">
        <f t="shared" si="61"/>
        <v>130</v>
      </c>
      <c r="G661" s="7" t="s">
        <v>870</v>
      </c>
      <c r="H661" s="40">
        <v>538</v>
      </c>
      <c r="I661">
        <f t="shared" si="63"/>
        <v>168</v>
      </c>
      <c r="J661" s="7" t="s">
        <v>870</v>
      </c>
      <c r="K661" s="7"/>
      <c r="L661">
        <f t="shared" si="65"/>
        <v>538</v>
      </c>
      <c r="M661">
        <f t="shared" si="66"/>
        <v>28</v>
      </c>
      <c r="N661" s="7" t="s">
        <v>870</v>
      </c>
      <c r="O661" s="40">
        <v>2</v>
      </c>
      <c r="Y661">
        <f t="shared" si="64"/>
        <v>712</v>
      </c>
    </row>
    <row r="662" spans="1:25" x14ac:dyDescent="0.25">
      <c r="A662" s="7" t="s">
        <v>882</v>
      </c>
      <c r="B662" s="40">
        <v>0</v>
      </c>
      <c r="C662">
        <f t="shared" si="62"/>
        <v>454</v>
      </c>
      <c r="D662" s="7" t="s">
        <v>875</v>
      </c>
      <c r="E662">
        <f t="shared" si="61"/>
        <v>40</v>
      </c>
      <c r="G662" s="7" t="s">
        <v>871</v>
      </c>
      <c r="H662" s="40">
        <v>289</v>
      </c>
      <c r="I662">
        <f t="shared" si="63"/>
        <v>265</v>
      </c>
      <c r="J662" s="7" t="s">
        <v>871</v>
      </c>
      <c r="K662" s="7"/>
      <c r="L662">
        <f t="shared" si="65"/>
        <v>289</v>
      </c>
      <c r="M662">
        <f t="shared" si="66"/>
        <v>144</v>
      </c>
      <c r="N662" s="7" t="s">
        <v>871</v>
      </c>
      <c r="O662" s="40">
        <v>1</v>
      </c>
      <c r="Y662">
        <f t="shared" si="64"/>
        <v>712</v>
      </c>
    </row>
    <row r="663" spans="1:25" x14ac:dyDescent="0.25">
      <c r="A663" s="7" t="s">
        <v>883</v>
      </c>
      <c r="B663" s="40">
        <v>10</v>
      </c>
      <c r="C663">
        <f t="shared" si="62"/>
        <v>103</v>
      </c>
      <c r="D663" s="7" t="s">
        <v>876</v>
      </c>
      <c r="E663">
        <f t="shared" si="61"/>
        <v>300</v>
      </c>
      <c r="G663" s="7" t="s">
        <v>872</v>
      </c>
      <c r="H663" s="40">
        <v>0</v>
      </c>
      <c r="I663">
        <f t="shared" si="63"/>
        <v>754</v>
      </c>
      <c r="J663" s="7" t="s">
        <v>872</v>
      </c>
      <c r="K663" s="7"/>
      <c r="L663">
        <f t="shared" si="65"/>
        <v>0</v>
      </c>
      <c r="M663">
        <f t="shared" si="66"/>
        <v>144</v>
      </c>
      <c r="N663" s="7" t="s">
        <v>872</v>
      </c>
      <c r="O663" s="40">
        <v>1</v>
      </c>
      <c r="Y663">
        <f t="shared" si="64"/>
        <v>712</v>
      </c>
    </row>
    <row r="664" spans="1:25" x14ac:dyDescent="0.25">
      <c r="A664" s="7" t="s">
        <v>884</v>
      </c>
      <c r="B664" s="40">
        <v>500</v>
      </c>
      <c r="C664">
        <f t="shared" si="62"/>
        <v>410</v>
      </c>
      <c r="D664" s="7" t="s">
        <v>878</v>
      </c>
      <c r="E664">
        <f t="shared" si="61"/>
        <v>50</v>
      </c>
      <c r="G664" s="7" t="s">
        <v>873</v>
      </c>
      <c r="H664" s="40">
        <v>85</v>
      </c>
      <c r="I664">
        <f t="shared" si="63"/>
        <v>477</v>
      </c>
      <c r="J664" s="7" t="s">
        <v>873</v>
      </c>
      <c r="K664" s="7"/>
      <c r="L664">
        <f t="shared" si="65"/>
        <v>85</v>
      </c>
      <c r="M664">
        <f t="shared" si="66"/>
        <v>144</v>
      </c>
      <c r="N664" s="7" t="s">
        <v>873</v>
      </c>
      <c r="O664" s="40">
        <v>1</v>
      </c>
      <c r="Y664">
        <f t="shared" si="64"/>
        <v>712</v>
      </c>
    </row>
    <row r="665" spans="1:25" x14ac:dyDescent="0.25">
      <c r="A665" s="7" t="s">
        <v>885</v>
      </c>
      <c r="B665" s="40">
        <v>38</v>
      </c>
      <c r="C665">
        <f t="shared" si="62"/>
        <v>93</v>
      </c>
      <c r="D665" s="7" t="s">
        <v>879</v>
      </c>
      <c r="E665">
        <f t="shared" si="61"/>
        <v>355</v>
      </c>
      <c r="G665" s="7" t="s">
        <v>874</v>
      </c>
      <c r="H665" s="40">
        <v>275</v>
      </c>
      <c r="I665">
        <f t="shared" si="63"/>
        <v>272</v>
      </c>
      <c r="J665" s="7" t="s">
        <v>874</v>
      </c>
      <c r="K665" s="7"/>
      <c r="L665">
        <f t="shared" si="65"/>
        <v>275</v>
      </c>
      <c r="M665">
        <f t="shared" si="66"/>
        <v>144</v>
      </c>
      <c r="N665" s="7" t="s">
        <v>874</v>
      </c>
      <c r="O665" s="40">
        <v>1</v>
      </c>
      <c r="Y665">
        <f t="shared" si="64"/>
        <v>712</v>
      </c>
    </row>
    <row r="666" spans="1:25" x14ac:dyDescent="0.25">
      <c r="A666" s="7" t="s">
        <v>887</v>
      </c>
      <c r="B666" s="40">
        <v>20</v>
      </c>
      <c r="C666">
        <f t="shared" si="62"/>
        <v>683</v>
      </c>
      <c r="D666" s="7" t="s">
        <v>881</v>
      </c>
      <c r="E666">
        <f t="shared" si="61"/>
        <v>0</v>
      </c>
      <c r="G666" s="7" t="s">
        <v>875</v>
      </c>
      <c r="H666" s="40">
        <v>7</v>
      </c>
      <c r="I666">
        <f t="shared" si="63"/>
        <v>713</v>
      </c>
      <c r="J666" s="7" t="s">
        <v>875</v>
      </c>
      <c r="K666" s="7"/>
      <c r="L666">
        <f t="shared" si="65"/>
        <v>7</v>
      </c>
      <c r="M666">
        <f t="shared" si="66"/>
        <v>144</v>
      </c>
      <c r="N666" s="7" t="s">
        <v>875</v>
      </c>
      <c r="O666" s="40">
        <v>1</v>
      </c>
      <c r="Y666">
        <f t="shared" si="64"/>
        <v>712</v>
      </c>
    </row>
    <row r="667" spans="1:25" x14ac:dyDescent="0.25">
      <c r="A667" s="7" t="s">
        <v>888</v>
      </c>
      <c r="B667" s="40">
        <v>0</v>
      </c>
      <c r="C667">
        <f t="shared" si="62"/>
        <v>683</v>
      </c>
      <c r="D667" s="7" t="s">
        <v>882</v>
      </c>
      <c r="E667">
        <f t="shared" si="61"/>
        <v>0</v>
      </c>
      <c r="G667" s="7" t="s">
        <v>876</v>
      </c>
      <c r="H667" s="40">
        <v>200</v>
      </c>
      <c r="I667">
        <f t="shared" si="63"/>
        <v>334</v>
      </c>
      <c r="J667" s="7" t="s">
        <v>876</v>
      </c>
      <c r="K667" s="7"/>
      <c r="L667">
        <f t="shared" si="65"/>
        <v>200</v>
      </c>
      <c r="M667">
        <f t="shared" si="66"/>
        <v>144</v>
      </c>
      <c r="N667" s="7" t="s">
        <v>876</v>
      </c>
      <c r="O667" s="40">
        <v>1</v>
      </c>
      <c r="Y667">
        <f t="shared" si="64"/>
        <v>712</v>
      </c>
    </row>
    <row r="668" spans="1:25" x14ac:dyDescent="0.25">
      <c r="A668" s="7" t="s">
        <v>889</v>
      </c>
      <c r="B668" s="40">
        <v>30</v>
      </c>
      <c r="C668">
        <f t="shared" si="62"/>
        <v>653</v>
      </c>
      <c r="D668" s="7" t="s">
        <v>883</v>
      </c>
      <c r="E668">
        <f t="shared" si="61"/>
        <v>10</v>
      </c>
      <c r="G668" s="7" t="s">
        <v>878</v>
      </c>
      <c r="H668" s="40">
        <v>348</v>
      </c>
      <c r="I668">
        <f t="shared" si="63"/>
        <v>232</v>
      </c>
      <c r="J668" s="7" t="s">
        <v>878</v>
      </c>
      <c r="K668" s="7"/>
      <c r="L668">
        <f t="shared" si="65"/>
        <v>348</v>
      </c>
      <c r="M668">
        <f t="shared" si="66"/>
        <v>144</v>
      </c>
      <c r="N668" s="7" t="s">
        <v>878</v>
      </c>
      <c r="O668" s="40">
        <v>1</v>
      </c>
      <c r="Y668">
        <f t="shared" si="64"/>
        <v>712</v>
      </c>
    </row>
    <row r="669" spans="1:25" x14ac:dyDescent="0.25">
      <c r="A669" s="7" t="s">
        <v>890</v>
      </c>
      <c r="B669" s="40">
        <v>50</v>
      </c>
      <c r="C669">
        <f t="shared" si="62"/>
        <v>66</v>
      </c>
      <c r="D669" s="7" t="s">
        <v>884</v>
      </c>
      <c r="E669">
        <f t="shared" si="61"/>
        <v>500</v>
      </c>
      <c r="G669" s="7" t="s">
        <v>879</v>
      </c>
      <c r="H669" s="40">
        <v>2100</v>
      </c>
      <c r="I669">
        <f t="shared" si="63"/>
        <v>48</v>
      </c>
      <c r="J669" s="7" t="s">
        <v>879</v>
      </c>
      <c r="K669" s="7"/>
      <c r="L669">
        <f t="shared" si="65"/>
        <v>2100</v>
      </c>
      <c r="M669">
        <f t="shared" si="66"/>
        <v>144</v>
      </c>
      <c r="N669" s="7" t="s">
        <v>879</v>
      </c>
      <c r="O669" s="40">
        <v>1</v>
      </c>
      <c r="Y669">
        <f t="shared" si="64"/>
        <v>712</v>
      </c>
    </row>
    <row r="670" spans="1:25" x14ac:dyDescent="0.25">
      <c r="A670" s="7" t="s">
        <v>891</v>
      </c>
      <c r="B670" s="40">
        <v>50</v>
      </c>
      <c r="C670">
        <f t="shared" si="62"/>
        <v>485</v>
      </c>
      <c r="D670" s="7" t="s">
        <v>885</v>
      </c>
      <c r="E670">
        <f t="shared" si="61"/>
        <v>38</v>
      </c>
      <c r="G670" s="7" t="s">
        <v>881</v>
      </c>
      <c r="H670" s="40">
        <v>9</v>
      </c>
      <c r="I670">
        <f t="shared" si="63"/>
        <v>704</v>
      </c>
      <c r="J670" s="7" t="s">
        <v>881</v>
      </c>
      <c r="K670" s="7"/>
      <c r="L670">
        <f t="shared" si="65"/>
        <v>9</v>
      </c>
      <c r="M670">
        <f t="shared" si="66"/>
        <v>144</v>
      </c>
      <c r="N670" s="7" t="s">
        <v>881</v>
      </c>
      <c r="O670" s="40">
        <v>1</v>
      </c>
      <c r="Y670">
        <f t="shared" si="64"/>
        <v>712</v>
      </c>
    </row>
    <row r="671" spans="1:25" x14ac:dyDescent="0.25">
      <c r="A671" s="7" t="s">
        <v>892</v>
      </c>
      <c r="B671" s="40">
        <v>140</v>
      </c>
      <c r="C671">
        <f t="shared" si="62"/>
        <v>588</v>
      </c>
      <c r="D671" s="7" t="s">
        <v>887</v>
      </c>
      <c r="E671">
        <f t="shared" si="61"/>
        <v>20</v>
      </c>
      <c r="G671" s="7" t="s">
        <v>882</v>
      </c>
      <c r="H671" s="40">
        <v>74</v>
      </c>
      <c r="I671">
        <f t="shared" si="63"/>
        <v>501</v>
      </c>
      <c r="J671" s="7" t="s">
        <v>882</v>
      </c>
      <c r="K671" s="7"/>
      <c r="L671">
        <f t="shared" si="65"/>
        <v>74</v>
      </c>
      <c r="M671">
        <f t="shared" si="66"/>
        <v>144</v>
      </c>
      <c r="N671" s="7" t="s">
        <v>882</v>
      </c>
      <c r="O671" s="40">
        <v>1</v>
      </c>
      <c r="Y671">
        <f t="shared" si="64"/>
        <v>712</v>
      </c>
    </row>
    <row r="672" spans="1:25" x14ac:dyDescent="0.25">
      <c r="A672" s="7" t="s">
        <v>893</v>
      </c>
      <c r="B672" s="40">
        <v>0</v>
      </c>
      <c r="C672">
        <f t="shared" si="62"/>
        <v>683</v>
      </c>
      <c r="D672" s="7" t="s">
        <v>888</v>
      </c>
      <c r="E672">
        <f t="shared" si="61"/>
        <v>0</v>
      </c>
      <c r="G672" s="7" t="s">
        <v>883</v>
      </c>
      <c r="H672" s="40">
        <v>52</v>
      </c>
      <c r="I672">
        <f t="shared" si="63"/>
        <v>551</v>
      </c>
      <c r="J672" s="7" t="s">
        <v>883</v>
      </c>
      <c r="K672" s="7"/>
      <c r="L672">
        <f t="shared" si="65"/>
        <v>52</v>
      </c>
      <c r="M672">
        <f t="shared" si="66"/>
        <v>144</v>
      </c>
      <c r="N672" s="7" t="s">
        <v>883</v>
      </c>
      <c r="O672" s="40">
        <v>1</v>
      </c>
      <c r="Y672">
        <f t="shared" si="64"/>
        <v>712</v>
      </c>
    </row>
    <row r="673" spans="1:25" x14ac:dyDescent="0.25">
      <c r="A673" s="7" t="s">
        <v>12</v>
      </c>
      <c r="B673" s="40">
        <v>0</v>
      </c>
      <c r="C673">
        <f t="shared" si="62"/>
        <v>512</v>
      </c>
      <c r="D673" s="7" t="s">
        <v>889</v>
      </c>
      <c r="E673">
        <f t="shared" si="61"/>
        <v>30</v>
      </c>
      <c r="G673" s="7" t="s">
        <v>884</v>
      </c>
      <c r="H673" s="40">
        <v>28</v>
      </c>
      <c r="I673">
        <f t="shared" si="63"/>
        <v>621</v>
      </c>
      <c r="J673" s="7" t="s">
        <v>884</v>
      </c>
      <c r="K673" s="7"/>
      <c r="L673">
        <f t="shared" si="65"/>
        <v>28</v>
      </c>
      <c r="M673">
        <f t="shared" si="66"/>
        <v>144</v>
      </c>
      <c r="N673" s="7" t="s">
        <v>884</v>
      </c>
      <c r="O673" s="40">
        <v>1</v>
      </c>
      <c r="Y673">
        <f t="shared" si="64"/>
        <v>712</v>
      </c>
    </row>
    <row r="674" spans="1:25" x14ac:dyDescent="0.25">
      <c r="A674" s="7" t="s">
        <v>894</v>
      </c>
      <c r="B674" s="40">
        <v>9</v>
      </c>
      <c r="C674">
        <f t="shared" si="62"/>
        <v>410</v>
      </c>
      <c r="D674" s="7" t="s">
        <v>890</v>
      </c>
      <c r="E674">
        <f t="shared" si="61"/>
        <v>50</v>
      </c>
      <c r="G674" s="7" t="s">
        <v>885</v>
      </c>
      <c r="H674" s="40">
        <v>123</v>
      </c>
      <c r="I674">
        <f t="shared" si="63"/>
        <v>418</v>
      </c>
      <c r="J674" s="7" t="s">
        <v>885</v>
      </c>
      <c r="K674" s="7"/>
      <c r="L674">
        <f t="shared" si="65"/>
        <v>123</v>
      </c>
      <c r="M674">
        <f t="shared" si="66"/>
        <v>144</v>
      </c>
      <c r="N674" s="7" t="s">
        <v>885</v>
      </c>
      <c r="O674" s="40">
        <v>1</v>
      </c>
      <c r="Y674">
        <f t="shared" si="64"/>
        <v>712</v>
      </c>
    </row>
    <row r="675" spans="1:25" x14ac:dyDescent="0.25">
      <c r="A675" s="7" t="s">
        <v>895</v>
      </c>
      <c r="B675" s="40">
        <v>40</v>
      </c>
      <c r="C675">
        <f t="shared" si="62"/>
        <v>410</v>
      </c>
      <c r="D675" s="7" t="s">
        <v>891</v>
      </c>
      <c r="E675">
        <f t="shared" si="61"/>
        <v>50</v>
      </c>
      <c r="G675" s="7" t="s">
        <v>887</v>
      </c>
      <c r="H675" s="40">
        <v>558</v>
      </c>
      <c r="I675">
        <f t="shared" si="63"/>
        <v>161</v>
      </c>
      <c r="J675" s="7" t="s">
        <v>887</v>
      </c>
      <c r="K675" s="7"/>
      <c r="L675">
        <f t="shared" si="65"/>
        <v>558</v>
      </c>
      <c r="M675">
        <f t="shared" si="66"/>
        <v>28</v>
      </c>
      <c r="N675" s="7" t="s">
        <v>887</v>
      </c>
      <c r="O675" s="40">
        <v>2</v>
      </c>
      <c r="Y675">
        <f t="shared" si="64"/>
        <v>712</v>
      </c>
    </row>
    <row r="676" spans="1:25" x14ac:dyDescent="0.25">
      <c r="A676" s="7" t="s">
        <v>896</v>
      </c>
      <c r="B676" s="40">
        <v>80</v>
      </c>
      <c r="C676">
        <f t="shared" si="62"/>
        <v>212</v>
      </c>
      <c r="D676" s="7" t="s">
        <v>892</v>
      </c>
      <c r="E676">
        <f t="shared" si="61"/>
        <v>140</v>
      </c>
      <c r="G676" s="7" t="s">
        <v>888</v>
      </c>
      <c r="H676" s="40">
        <v>361</v>
      </c>
      <c r="I676">
        <f t="shared" si="63"/>
        <v>221</v>
      </c>
      <c r="J676" s="7" t="s">
        <v>888</v>
      </c>
      <c r="K676" s="7"/>
      <c r="L676">
        <f t="shared" si="65"/>
        <v>361</v>
      </c>
      <c r="M676">
        <f t="shared" si="66"/>
        <v>144</v>
      </c>
      <c r="N676" s="7" t="s">
        <v>888</v>
      </c>
      <c r="O676" s="40">
        <v>1</v>
      </c>
      <c r="Y676">
        <f t="shared" si="64"/>
        <v>712</v>
      </c>
    </row>
    <row r="677" spans="1:25" x14ac:dyDescent="0.25">
      <c r="A677" s="7" t="s">
        <v>897</v>
      </c>
      <c r="B677" s="40">
        <v>90</v>
      </c>
      <c r="C677">
        <f t="shared" si="62"/>
        <v>683</v>
      </c>
      <c r="D677" s="7" t="s">
        <v>893</v>
      </c>
      <c r="E677">
        <f t="shared" si="61"/>
        <v>0</v>
      </c>
      <c r="G677" s="7" t="s">
        <v>889</v>
      </c>
      <c r="H677" s="40">
        <v>32</v>
      </c>
      <c r="I677">
        <f t="shared" si="63"/>
        <v>607</v>
      </c>
      <c r="J677" s="7" t="s">
        <v>889</v>
      </c>
      <c r="K677" s="7"/>
      <c r="L677">
        <f t="shared" si="65"/>
        <v>32</v>
      </c>
      <c r="M677">
        <f t="shared" si="66"/>
        <v>144</v>
      </c>
      <c r="N677" s="7" t="s">
        <v>889</v>
      </c>
      <c r="O677" s="40">
        <v>1</v>
      </c>
      <c r="Y677">
        <f t="shared" si="64"/>
        <v>712</v>
      </c>
    </row>
    <row r="678" spans="1:25" x14ac:dyDescent="0.25">
      <c r="A678" s="7" t="s">
        <v>898</v>
      </c>
      <c r="B678" s="40">
        <v>550</v>
      </c>
      <c r="C678">
        <f t="shared" si="62"/>
        <v>683</v>
      </c>
      <c r="D678" s="7" t="s">
        <v>12</v>
      </c>
      <c r="E678">
        <f t="shared" si="61"/>
        <v>0</v>
      </c>
      <c r="G678" s="7" t="s">
        <v>890</v>
      </c>
      <c r="H678" s="40">
        <v>229</v>
      </c>
      <c r="I678">
        <f t="shared" si="63"/>
        <v>308</v>
      </c>
      <c r="J678" s="7" t="s">
        <v>890</v>
      </c>
      <c r="K678" s="7"/>
      <c r="L678">
        <f t="shared" si="65"/>
        <v>229</v>
      </c>
      <c r="M678">
        <f t="shared" si="66"/>
        <v>144</v>
      </c>
      <c r="N678" s="7" t="s">
        <v>890</v>
      </c>
      <c r="O678" s="40">
        <v>1</v>
      </c>
      <c r="Y678">
        <f t="shared" si="64"/>
        <v>712</v>
      </c>
    </row>
    <row r="679" spans="1:25" x14ac:dyDescent="0.25">
      <c r="A679" s="7" t="s">
        <v>899</v>
      </c>
      <c r="B679" s="40">
        <v>65</v>
      </c>
      <c r="C679">
        <f t="shared" si="62"/>
        <v>662</v>
      </c>
      <c r="D679" s="7" t="s">
        <v>894</v>
      </c>
      <c r="E679">
        <f t="shared" si="61"/>
        <v>9</v>
      </c>
      <c r="G679" s="7" t="s">
        <v>891</v>
      </c>
      <c r="H679" s="40">
        <v>1900</v>
      </c>
      <c r="I679">
        <f t="shared" si="63"/>
        <v>55</v>
      </c>
      <c r="J679" s="7" t="s">
        <v>891</v>
      </c>
      <c r="K679" s="7"/>
      <c r="L679">
        <f t="shared" si="65"/>
        <v>1900</v>
      </c>
      <c r="M679">
        <f t="shared" si="66"/>
        <v>144</v>
      </c>
      <c r="N679" s="7" t="s">
        <v>891</v>
      </c>
      <c r="O679" s="40">
        <v>1</v>
      </c>
      <c r="Y679">
        <f t="shared" si="64"/>
        <v>712</v>
      </c>
    </row>
    <row r="680" spans="1:25" x14ac:dyDescent="0.25">
      <c r="A680" s="7" t="s">
        <v>900</v>
      </c>
      <c r="B680" s="40">
        <v>450</v>
      </c>
      <c r="C680">
        <f t="shared" si="62"/>
        <v>454</v>
      </c>
      <c r="D680" s="7" t="s">
        <v>895</v>
      </c>
      <c r="E680">
        <f t="shared" si="61"/>
        <v>40</v>
      </c>
      <c r="G680" s="7" t="s">
        <v>892</v>
      </c>
      <c r="H680" s="40">
        <v>1900</v>
      </c>
      <c r="I680">
        <f t="shared" si="63"/>
        <v>55</v>
      </c>
      <c r="J680" s="7" t="s">
        <v>892</v>
      </c>
      <c r="K680" s="7"/>
      <c r="L680">
        <f t="shared" si="65"/>
        <v>1900</v>
      </c>
      <c r="M680">
        <f t="shared" si="66"/>
        <v>144</v>
      </c>
      <c r="N680" s="7" t="s">
        <v>892</v>
      </c>
      <c r="O680" s="40">
        <v>1</v>
      </c>
      <c r="Y680">
        <f t="shared" si="64"/>
        <v>712</v>
      </c>
    </row>
    <row r="681" spans="1:25" x14ac:dyDescent="0.25">
      <c r="A681" s="7" t="s">
        <v>901</v>
      </c>
      <c r="B681" s="40">
        <v>20</v>
      </c>
      <c r="C681">
        <f t="shared" si="62"/>
        <v>322</v>
      </c>
      <c r="D681" s="7" t="s">
        <v>896</v>
      </c>
      <c r="E681">
        <f t="shared" si="61"/>
        <v>80</v>
      </c>
      <c r="G681" s="7" t="s">
        <v>893</v>
      </c>
      <c r="H681" s="40">
        <v>704</v>
      </c>
      <c r="I681">
        <f t="shared" si="63"/>
        <v>139</v>
      </c>
      <c r="J681" s="7" t="s">
        <v>893</v>
      </c>
      <c r="K681" s="7"/>
      <c r="L681">
        <f t="shared" si="65"/>
        <v>704</v>
      </c>
      <c r="M681">
        <f t="shared" si="66"/>
        <v>144</v>
      </c>
      <c r="N681" s="7" t="s">
        <v>893</v>
      </c>
      <c r="O681" s="40">
        <v>1</v>
      </c>
      <c r="Y681">
        <f t="shared" si="64"/>
        <v>712</v>
      </c>
    </row>
    <row r="682" spans="1:25" x14ac:dyDescent="0.25">
      <c r="A682" s="7" t="s">
        <v>902</v>
      </c>
      <c r="B682" s="40">
        <v>50</v>
      </c>
      <c r="C682">
        <f t="shared" si="62"/>
        <v>298</v>
      </c>
      <c r="D682" s="7" t="s">
        <v>897</v>
      </c>
      <c r="E682">
        <f t="shared" si="61"/>
        <v>90</v>
      </c>
      <c r="G682" s="7" t="s">
        <v>12</v>
      </c>
      <c r="H682" s="40">
        <v>272</v>
      </c>
      <c r="I682">
        <f t="shared" si="63"/>
        <v>276</v>
      </c>
      <c r="J682" s="7" t="s">
        <v>12</v>
      </c>
      <c r="K682" s="7"/>
      <c r="L682">
        <f t="shared" si="65"/>
        <v>272</v>
      </c>
      <c r="M682">
        <f t="shared" si="66"/>
        <v>144</v>
      </c>
      <c r="N682" s="7" t="s">
        <v>12</v>
      </c>
      <c r="O682" s="40">
        <v>1</v>
      </c>
      <c r="Y682">
        <f t="shared" si="64"/>
        <v>712</v>
      </c>
    </row>
    <row r="683" spans="1:25" x14ac:dyDescent="0.25">
      <c r="A683" s="7" t="s">
        <v>903</v>
      </c>
      <c r="B683" s="40">
        <v>335</v>
      </c>
      <c r="C683">
        <f t="shared" si="62"/>
        <v>61</v>
      </c>
      <c r="D683" s="7" t="s">
        <v>898</v>
      </c>
      <c r="E683">
        <f t="shared" si="61"/>
        <v>550</v>
      </c>
      <c r="G683" s="7" t="s">
        <v>894</v>
      </c>
      <c r="H683" s="40">
        <v>15</v>
      </c>
      <c r="I683">
        <f t="shared" si="63"/>
        <v>679</v>
      </c>
      <c r="J683" s="7" t="s">
        <v>894</v>
      </c>
      <c r="K683" s="7"/>
      <c r="L683">
        <f t="shared" si="65"/>
        <v>15</v>
      </c>
      <c r="M683">
        <f t="shared" si="66"/>
        <v>144</v>
      </c>
      <c r="N683" s="7" t="s">
        <v>894</v>
      </c>
      <c r="O683" s="40">
        <v>1</v>
      </c>
      <c r="Y683">
        <f t="shared" si="64"/>
        <v>712</v>
      </c>
    </row>
    <row r="684" spans="1:25" x14ac:dyDescent="0.25">
      <c r="A684" s="7" t="s">
        <v>904</v>
      </c>
      <c r="B684" s="40">
        <v>40</v>
      </c>
      <c r="C684">
        <f t="shared" si="62"/>
        <v>366</v>
      </c>
      <c r="D684" s="7" t="s">
        <v>899</v>
      </c>
      <c r="E684">
        <f t="shared" si="61"/>
        <v>65</v>
      </c>
      <c r="G684" s="7" t="s">
        <v>895</v>
      </c>
      <c r="H684" s="40">
        <v>41</v>
      </c>
      <c r="I684">
        <f t="shared" si="63"/>
        <v>580</v>
      </c>
      <c r="J684" s="7" t="s">
        <v>895</v>
      </c>
      <c r="K684" s="7"/>
      <c r="L684">
        <f t="shared" si="65"/>
        <v>41</v>
      </c>
      <c r="M684">
        <f t="shared" si="66"/>
        <v>144</v>
      </c>
      <c r="N684" s="7" t="s">
        <v>895</v>
      </c>
      <c r="O684" s="40">
        <v>1</v>
      </c>
      <c r="Y684">
        <f t="shared" si="64"/>
        <v>712</v>
      </c>
    </row>
    <row r="685" spans="1:25" x14ac:dyDescent="0.25">
      <c r="A685" s="7" t="s">
        <v>905</v>
      </c>
      <c r="B685" s="40">
        <v>43</v>
      </c>
      <c r="C685">
        <f t="shared" si="62"/>
        <v>78</v>
      </c>
      <c r="D685" s="7" t="s">
        <v>900</v>
      </c>
      <c r="E685">
        <f t="shared" si="61"/>
        <v>450</v>
      </c>
      <c r="G685" s="7" t="s">
        <v>896</v>
      </c>
      <c r="H685" s="40">
        <v>1200</v>
      </c>
      <c r="I685">
        <f t="shared" si="63"/>
        <v>84</v>
      </c>
      <c r="J685" s="7" t="s">
        <v>896</v>
      </c>
      <c r="K685" s="7"/>
      <c r="L685">
        <f t="shared" si="65"/>
        <v>1200</v>
      </c>
      <c r="M685">
        <f t="shared" si="66"/>
        <v>144</v>
      </c>
      <c r="N685" s="7" t="s">
        <v>896</v>
      </c>
      <c r="O685" s="40">
        <v>1</v>
      </c>
      <c r="Y685">
        <f t="shared" si="64"/>
        <v>712</v>
      </c>
    </row>
    <row r="686" spans="1:25" x14ac:dyDescent="0.25">
      <c r="A686" s="7" t="s">
        <v>906</v>
      </c>
      <c r="B686" s="40">
        <v>239</v>
      </c>
      <c r="C686">
        <f t="shared" si="62"/>
        <v>588</v>
      </c>
      <c r="D686" s="7" t="s">
        <v>901</v>
      </c>
      <c r="E686">
        <f t="shared" si="61"/>
        <v>20</v>
      </c>
      <c r="G686" s="7" t="s">
        <v>897</v>
      </c>
      <c r="H686" s="40">
        <v>222</v>
      </c>
      <c r="I686">
        <f t="shared" si="63"/>
        <v>316</v>
      </c>
      <c r="J686" s="7" t="s">
        <v>897</v>
      </c>
      <c r="K686" s="7"/>
      <c r="L686">
        <f t="shared" si="65"/>
        <v>222</v>
      </c>
      <c r="M686">
        <f t="shared" si="66"/>
        <v>144</v>
      </c>
      <c r="N686" s="7" t="s">
        <v>897</v>
      </c>
      <c r="O686" s="40">
        <v>1</v>
      </c>
      <c r="Y686">
        <f t="shared" si="64"/>
        <v>712</v>
      </c>
    </row>
    <row r="687" spans="1:25" x14ac:dyDescent="0.25">
      <c r="A687" s="7" t="s">
        <v>907</v>
      </c>
      <c r="B687" s="40">
        <v>1877</v>
      </c>
      <c r="C687">
        <f t="shared" si="62"/>
        <v>410</v>
      </c>
      <c r="D687" s="7" t="s">
        <v>902</v>
      </c>
      <c r="E687">
        <f t="shared" si="61"/>
        <v>50</v>
      </c>
      <c r="G687" s="7" t="s">
        <v>898</v>
      </c>
      <c r="H687" s="40">
        <v>1208</v>
      </c>
      <c r="I687">
        <f t="shared" si="63"/>
        <v>83</v>
      </c>
      <c r="J687" s="7" t="s">
        <v>898</v>
      </c>
      <c r="K687" s="7"/>
      <c r="L687">
        <f t="shared" si="65"/>
        <v>1208</v>
      </c>
      <c r="M687">
        <f t="shared" si="66"/>
        <v>28</v>
      </c>
      <c r="N687" s="7" t="s">
        <v>898</v>
      </c>
      <c r="O687" s="40">
        <v>2</v>
      </c>
      <c r="Y687">
        <f t="shared" si="64"/>
        <v>712</v>
      </c>
    </row>
    <row r="688" spans="1:25" x14ac:dyDescent="0.25">
      <c r="A688" s="7" t="s">
        <v>908</v>
      </c>
      <c r="B688" s="40">
        <v>6</v>
      </c>
      <c r="C688">
        <f t="shared" si="62"/>
        <v>97</v>
      </c>
      <c r="D688" s="7" t="s">
        <v>903</v>
      </c>
      <c r="E688">
        <f t="shared" si="61"/>
        <v>335</v>
      </c>
      <c r="G688" s="7" t="s">
        <v>899</v>
      </c>
      <c r="H688" s="40">
        <v>119</v>
      </c>
      <c r="I688">
        <f t="shared" si="63"/>
        <v>423</v>
      </c>
      <c r="J688" s="7" t="s">
        <v>899</v>
      </c>
      <c r="K688" s="7"/>
      <c r="L688">
        <f t="shared" si="65"/>
        <v>119</v>
      </c>
      <c r="M688">
        <f t="shared" si="66"/>
        <v>144</v>
      </c>
      <c r="N688" s="7" t="s">
        <v>899</v>
      </c>
      <c r="O688" s="40">
        <v>1</v>
      </c>
      <c r="Y688">
        <f t="shared" si="64"/>
        <v>712</v>
      </c>
    </row>
    <row r="689" spans="1:25" x14ac:dyDescent="0.25">
      <c r="A689" s="7" t="s">
        <v>909</v>
      </c>
      <c r="B689" s="40">
        <v>150</v>
      </c>
      <c r="C689">
        <f t="shared" si="62"/>
        <v>454</v>
      </c>
      <c r="D689" s="7" t="s">
        <v>904</v>
      </c>
      <c r="E689">
        <f t="shared" si="61"/>
        <v>40</v>
      </c>
      <c r="G689" s="7" t="s">
        <v>900</v>
      </c>
      <c r="H689" s="40">
        <v>0</v>
      </c>
      <c r="I689">
        <f t="shared" si="63"/>
        <v>754</v>
      </c>
      <c r="J689" s="7" t="s">
        <v>900</v>
      </c>
      <c r="K689" s="7"/>
      <c r="L689">
        <f t="shared" si="65"/>
        <v>0</v>
      </c>
      <c r="M689">
        <f t="shared" si="66"/>
        <v>144</v>
      </c>
      <c r="N689" s="7" t="s">
        <v>900</v>
      </c>
      <c r="O689" s="40">
        <v>1</v>
      </c>
      <c r="Y689">
        <f t="shared" si="64"/>
        <v>712</v>
      </c>
    </row>
    <row r="690" spans="1:25" x14ac:dyDescent="0.25">
      <c r="A690" s="7" t="s">
        <v>910</v>
      </c>
      <c r="B690" s="40">
        <v>45</v>
      </c>
      <c r="C690">
        <f t="shared" si="62"/>
        <v>448</v>
      </c>
      <c r="D690" s="7" t="s">
        <v>905</v>
      </c>
      <c r="E690">
        <f t="shared" si="61"/>
        <v>43</v>
      </c>
      <c r="G690" s="7" t="s">
        <v>901</v>
      </c>
      <c r="H690" s="40">
        <v>88</v>
      </c>
      <c r="I690">
        <f t="shared" si="63"/>
        <v>473</v>
      </c>
      <c r="J690" s="7" t="s">
        <v>901</v>
      </c>
      <c r="K690" s="7"/>
      <c r="L690">
        <f t="shared" si="65"/>
        <v>88</v>
      </c>
      <c r="M690">
        <f t="shared" si="66"/>
        <v>144</v>
      </c>
      <c r="N690" s="7" t="s">
        <v>901</v>
      </c>
      <c r="O690" s="40">
        <v>1</v>
      </c>
      <c r="Y690">
        <f t="shared" si="64"/>
        <v>712</v>
      </c>
    </row>
    <row r="691" spans="1:25" x14ac:dyDescent="0.25">
      <c r="A691" s="7" t="s">
        <v>911</v>
      </c>
      <c r="B691" s="40">
        <v>190</v>
      </c>
      <c r="C691">
        <f t="shared" si="62"/>
        <v>130</v>
      </c>
      <c r="D691" s="7" t="s">
        <v>906</v>
      </c>
      <c r="E691">
        <f t="shared" si="61"/>
        <v>239</v>
      </c>
      <c r="G691" s="7" t="s">
        <v>902</v>
      </c>
      <c r="H691" s="40">
        <v>320</v>
      </c>
      <c r="I691">
        <f t="shared" si="63"/>
        <v>246</v>
      </c>
      <c r="J691" s="7" t="s">
        <v>902</v>
      </c>
      <c r="K691" s="7"/>
      <c r="L691">
        <f t="shared" si="65"/>
        <v>320</v>
      </c>
      <c r="M691">
        <f t="shared" si="66"/>
        <v>144</v>
      </c>
      <c r="N691" s="7" t="s">
        <v>902</v>
      </c>
      <c r="O691" s="40">
        <v>1</v>
      </c>
      <c r="Y691">
        <f t="shared" si="64"/>
        <v>712</v>
      </c>
    </row>
    <row r="692" spans="1:25" x14ac:dyDescent="0.25">
      <c r="A692" s="7" t="s">
        <v>912</v>
      </c>
      <c r="B692" s="40">
        <v>26</v>
      </c>
      <c r="C692">
        <f t="shared" si="62"/>
        <v>18</v>
      </c>
      <c r="D692" s="7" t="s">
        <v>907</v>
      </c>
      <c r="E692">
        <f t="shared" si="61"/>
        <v>1877</v>
      </c>
      <c r="G692" s="7" t="s">
        <v>903</v>
      </c>
      <c r="H692" s="40">
        <v>758</v>
      </c>
      <c r="I692">
        <f t="shared" si="63"/>
        <v>125</v>
      </c>
      <c r="J692" s="7" t="s">
        <v>903</v>
      </c>
      <c r="K692" s="7"/>
      <c r="L692">
        <f t="shared" si="65"/>
        <v>758</v>
      </c>
      <c r="M692">
        <f t="shared" si="66"/>
        <v>28</v>
      </c>
      <c r="N692" s="7" t="s">
        <v>903</v>
      </c>
      <c r="O692" s="40">
        <v>2</v>
      </c>
      <c r="Y692">
        <f t="shared" si="64"/>
        <v>712</v>
      </c>
    </row>
    <row r="693" spans="1:25" x14ac:dyDescent="0.25">
      <c r="A693" s="7" t="s">
        <v>913</v>
      </c>
      <c r="B693" s="40">
        <v>544</v>
      </c>
      <c r="C693">
        <f t="shared" si="62"/>
        <v>672</v>
      </c>
      <c r="D693" s="7" t="s">
        <v>908</v>
      </c>
      <c r="E693">
        <f t="shared" si="61"/>
        <v>6</v>
      </c>
      <c r="G693" s="7" t="s">
        <v>904</v>
      </c>
      <c r="H693" s="40">
        <v>295</v>
      </c>
      <c r="I693">
        <f t="shared" si="63"/>
        <v>260</v>
      </c>
      <c r="J693" s="7" t="s">
        <v>904</v>
      </c>
      <c r="K693" s="7"/>
      <c r="L693">
        <f t="shared" si="65"/>
        <v>295</v>
      </c>
      <c r="M693">
        <f t="shared" si="66"/>
        <v>144</v>
      </c>
      <c r="N693" s="7" t="s">
        <v>904</v>
      </c>
      <c r="O693" s="40">
        <v>1</v>
      </c>
      <c r="Y693">
        <f t="shared" si="64"/>
        <v>712</v>
      </c>
    </row>
    <row r="694" spans="1:25" x14ac:dyDescent="0.25">
      <c r="A694" s="7" t="s">
        <v>914</v>
      </c>
      <c r="B694" s="40">
        <v>212</v>
      </c>
      <c r="C694">
        <f t="shared" si="62"/>
        <v>193</v>
      </c>
      <c r="D694" s="7" t="s">
        <v>909</v>
      </c>
      <c r="E694">
        <f t="shared" si="61"/>
        <v>150</v>
      </c>
      <c r="G694" s="7" t="s">
        <v>905</v>
      </c>
      <c r="H694" s="40">
        <v>459</v>
      </c>
      <c r="I694">
        <f t="shared" si="63"/>
        <v>192</v>
      </c>
      <c r="J694" s="7" t="s">
        <v>905</v>
      </c>
      <c r="K694" s="7"/>
      <c r="L694">
        <f t="shared" si="65"/>
        <v>459</v>
      </c>
      <c r="M694">
        <f t="shared" si="66"/>
        <v>144</v>
      </c>
      <c r="N694" s="7" t="s">
        <v>905</v>
      </c>
      <c r="O694" s="40">
        <v>1</v>
      </c>
      <c r="Y694">
        <f t="shared" si="64"/>
        <v>712</v>
      </c>
    </row>
    <row r="695" spans="1:25" x14ac:dyDescent="0.25">
      <c r="A695" s="7" t="s">
        <v>915</v>
      </c>
      <c r="B695" s="40">
        <v>19</v>
      </c>
      <c r="C695">
        <f t="shared" si="62"/>
        <v>441</v>
      </c>
      <c r="D695" s="7" t="s">
        <v>910</v>
      </c>
      <c r="E695">
        <f t="shared" si="61"/>
        <v>45</v>
      </c>
      <c r="G695" s="7" t="s">
        <v>906</v>
      </c>
      <c r="H695" s="40">
        <v>258</v>
      </c>
      <c r="I695">
        <f t="shared" si="63"/>
        <v>283</v>
      </c>
      <c r="J695" s="7" t="s">
        <v>906</v>
      </c>
      <c r="K695" s="7"/>
      <c r="L695">
        <f t="shared" si="65"/>
        <v>258</v>
      </c>
      <c r="M695">
        <f t="shared" si="66"/>
        <v>28</v>
      </c>
      <c r="N695" s="7" t="s">
        <v>906</v>
      </c>
      <c r="O695" s="40">
        <v>2</v>
      </c>
      <c r="Y695">
        <f t="shared" si="64"/>
        <v>712</v>
      </c>
    </row>
    <row r="696" spans="1:25" x14ac:dyDescent="0.25">
      <c r="A696" s="7" t="s">
        <v>916</v>
      </c>
      <c r="B696" s="40">
        <v>40</v>
      </c>
      <c r="C696">
        <f t="shared" si="62"/>
        <v>165</v>
      </c>
      <c r="D696" s="7" t="s">
        <v>911</v>
      </c>
      <c r="E696">
        <f t="shared" si="61"/>
        <v>190</v>
      </c>
      <c r="G696" s="7" t="s">
        <v>907</v>
      </c>
      <c r="H696" s="40">
        <v>2400</v>
      </c>
      <c r="I696">
        <f t="shared" si="63"/>
        <v>42</v>
      </c>
      <c r="J696" s="7" t="s">
        <v>907</v>
      </c>
      <c r="K696" s="7"/>
      <c r="L696">
        <f t="shared" si="65"/>
        <v>2400</v>
      </c>
      <c r="M696">
        <f t="shared" si="66"/>
        <v>144</v>
      </c>
      <c r="N696" s="7" t="s">
        <v>907</v>
      </c>
      <c r="O696" s="40">
        <v>1</v>
      </c>
      <c r="Y696">
        <f t="shared" si="64"/>
        <v>712</v>
      </c>
    </row>
    <row r="697" spans="1:25" x14ac:dyDescent="0.25">
      <c r="A697" s="7" t="s">
        <v>917</v>
      </c>
      <c r="B697" s="40">
        <v>57</v>
      </c>
      <c r="C697">
        <f t="shared" si="62"/>
        <v>549</v>
      </c>
      <c r="D697" s="7" t="s">
        <v>912</v>
      </c>
      <c r="E697">
        <f t="shared" si="61"/>
        <v>26</v>
      </c>
      <c r="G697" s="7" t="s">
        <v>908</v>
      </c>
      <c r="H697" s="40">
        <v>8</v>
      </c>
      <c r="I697">
        <f t="shared" si="63"/>
        <v>709</v>
      </c>
      <c r="J697" s="7" t="s">
        <v>908</v>
      </c>
      <c r="K697" s="7"/>
      <c r="L697">
        <f t="shared" si="65"/>
        <v>8</v>
      </c>
      <c r="M697">
        <f t="shared" si="66"/>
        <v>144</v>
      </c>
      <c r="N697" s="7" t="s">
        <v>908</v>
      </c>
      <c r="O697" s="40">
        <v>1</v>
      </c>
      <c r="Y697">
        <f t="shared" si="64"/>
        <v>712</v>
      </c>
    </row>
    <row r="698" spans="1:25" x14ac:dyDescent="0.25">
      <c r="A698" s="7" t="s">
        <v>919</v>
      </c>
      <c r="B698" s="40">
        <v>715</v>
      </c>
      <c r="C698">
        <f t="shared" si="62"/>
        <v>62</v>
      </c>
      <c r="D698" s="7" t="s">
        <v>913</v>
      </c>
      <c r="E698">
        <f t="shared" si="61"/>
        <v>544</v>
      </c>
      <c r="G698" s="7" t="s">
        <v>909</v>
      </c>
      <c r="H698" s="40">
        <v>89</v>
      </c>
      <c r="I698">
        <f t="shared" si="63"/>
        <v>470</v>
      </c>
      <c r="J698" s="7" t="s">
        <v>909</v>
      </c>
      <c r="K698" s="7"/>
      <c r="L698">
        <f t="shared" si="65"/>
        <v>89</v>
      </c>
      <c r="M698">
        <f t="shared" si="66"/>
        <v>144</v>
      </c>
      <c r="N698" s="7" t="s">
        <v>909</v>
      </c>
      <c r="O698" s="40">
        <v>1</v>
      </c>
      <c r="Y698">
        <f t="shared" si="64"/>
        <v>712</v>
      </c>
    </row>
    <row r="699" spans="1:25" x14ac:dyDescent="0.25">
      <c r="A699" s="7" t="s">
        <v>920</v>
      </c>
      <c r="B699" s="40">
        <v>22</v>
      </c>
      <c r="C699">
        <f t="shared" si="62"/>
        <v>143</v>
      </c>
      <c r="D699" s="7" t="s">
        <v>914</v>
      </c>
      <c r="E699">
        <f t="shared" si="61"/>
        <v>212</v>
      </c>
      <c r="G699" s="7" t="s">
        <v>910</v>
      </c>
      <c r="H699" s="40">
        <v>0</v>
      </c>
      <c r="I699">
        <f t="shared" si="63"/>
        <v>754</v>
      </c>
      <c r="J699" s="7" t="s">
        <v>910</v>
      </c>
      <c r="K699" s="7"/>
      <c r="L699">
        <f t="shared" si="65"/>
        <v>0</v>
      </c>
      <c r="M699">
        <f t="shared" si="66"/>
        <v>144</v>
      </c>
      <c r="N699" s="7" t="s">
        <v>910</v>
      </c>
      <c r="O699" s="40">
        <v>1</v>
      </c>
      <c r="Y699">
        <f t="shared" si="64"/>
        <v>712</v>
      </c>
    </row>
    <row r="700" spans="1:25" x14ac:dyDescent="0.25">
      <c r="A700" s="7" t="s">
        <v>921</v>
      </c>
      <c r="B700" s="40">
        <v>1000</v>
      </c>
      <c r="C700">
        <f t="shared" si="62"/>
        <v>603</v>
      </c>
      <c r="D700" s="7" t="s">
        <v>915</v>
      </c>
      <c r="E700">
        <f t="shared" si="61"/>
        <v>19</v>
      </c>
      <c r="G700" s="7" t="s">
        <v>911</v>
      </c>
      <c r="H700" s="40">
        <v>232</v>
      </c>
      <c r="I700">
        <f t="shared" si="63"/>
        <v>306</v>
      </c>
      <c r="J700" s="7" t="s">
        <v>911</v>
      </c>
      <c r="K700" s="7"/>
      <c r="L700">
        <f t="shared" si="65"/>
        <v>232</v>
      </c>
      <c r="M700">
        <f t="shared" si="66"/>
        <v>28</v>
      </c>
      <c r="N700" s="7" t="s">
        <v>911</v>
      </c>
      <c r="O700" s="40">
        <v>2</v>
      </c>
      <c r="Y700">
        <f t="shared" si="64"/>
        <v>712</v>
      </c>
    </row>
    <row r="701" spans="1:25" x14ac:dyDescent="0.25">
      <c r="A701" s="7" t="s">
        <v>922</v>
      </c>
      <c r="B701" s="40">
        <v>70</v>
      </c>
      <c r="C701">
        <f t="shared" si="62"/>
        <v>454</v>
      </c>
      <c r="D701" s="7" t="s">
        <v>916</v>
      </c>
      <c r="E701">
        <f t="shared" si="61"/>
        <v>40</v>
      </c>
      <c r="G701" s="7" t="s">
        <v>912</v>
      </c>
      <c r="H701" s="40">
        <v>40</v>
      </c>
      <c r="I701">
        <f t="shared" si="63"/>
        <v>587</v>
      </c>
      <c r="J701" s="7" t="s">
        <v>912</v>
      </c>
      <c r="K701" s="7"/>
      <c r="L701">
        <f t="shared" si="65"/>
        <v>40</v>
      </c>
      <c r="M701">
        <f t="shared" si="66"/>
        <v>144</v>
      </c>
      <c r="N701" s="7" t="s">
        <v>912</v>
      </c>
      <c r="O701" s="40">
        <v>1</v>
      </c>
      <c r="Y701">
        <f t="shared" si="64"/>
        <v>712</v>
      </c>
    </row>
    <row r="702" spans="1:25" x14ac:dyDescent="0.25">
      <c r="A702" s="7" t="s">
        <v>924</v>
      </c>
      <c r="B702" s="40">
        <v>50</v>
      </c>
      <c r="C702">
        <f t="shared" si="62"/>
        <v>400</v>
      </c>
      <c r="D702" s="7" t="s">
        <v>917</v>
      </c>
      <c r="E702">
        <f t="shared" si="61"/>
        <v>57</v>
      </c>
      <c r="G702" s="7" t="s">
        <v>913</v>
      </c>
      <c r="H702" s="40">
        <v>24</v>
      </c>
      <c r="I702">
        <f t="shared" si="63"/>
        <v>633</v>
      </c>
      <c r="J702" s="7" t="s">
        <v>913</v>
      </c>
      <c r="K702" s="7"/>
      <c r="L702">
        <f t="shared" si="65"/>
        <v>24</v>
      </c>
      <c r="M702">
        <f t="shared" si="66"/>
        <v>28</v>
      </c>
      <c r="N702" s="7" t="s">
        <v>913</v>
      </c>
      <c r="O702" s="40">
        <v>2</v>
      </c>
      <c r="Y702">
        <f t="shared" si="64"/>
        <v>712</v>
      </c>
    </row>
    <row r="703" spans="1:25" x14ac:dyDescent="0.25">
      <c r="A703" s="7" t="s">
        <v>925</v>
      </c>
      <c r="B703" s="40">
        <v>9</v>
      </c>
      <c r="C703">
        <f t="shared" si="62"/>
        <v>46</v>
      </c>
      <c r="D703" s="7" t="s">
        <v>919</v>
      </c>
      <c r="E703">
        <f t="shared" si="61"/>
        <v>715</v>
      </c>
      <c r="G703" s="7" t="s">
        <v>914</v>
      </c>
      <c r="H703" s="40">
        <v>720</v>
      </c>
      <c r="I703">
        <f t="shared" si="63"/>
        <v>131</v>
      </c>
      <c r="J703" s="7" t="s">
        <v>914</v>
      </c>
      <c r="K703" s="7"/>
      <c r="L703">
        <f t="shared" si="65"/>
        <v>720</v>
      </c>
      <c r="M703">
        <f t="shared" si="66"/>
        <v>9</v>
      </c>
      <c r="N703" s="7" t="s">
        <v>914</v>
      </c>
      <c r="O703" s="40">
        <v>3</v>
      </c>
      <c r="Y703">
        <f t="shared" si="64"/>
        <v>712</v>
      </c>
    </row>
    <row r="704" spans="1:25" x14ac:dyDescent="0.25">
      <c r="A704" s="7" t="s">
        <v>926</v>
      </c>
      <c r="B704" s="40">
        <v>25</v>
      </c>
      <c r="C704">
        <f t="shared" si="62"/>
        <v>581</v>
      </c>
      <c r="D704" s="7" t="s">
        <v>920</v>
      </c>
      <c r="E704">
        <f t="shared" si="61"/>
        <v>22</v>
      </c>
      <c r="G704" s="7" t="s">
        <v>915</v>
      </c>
      <c r="H704" s="40">
        <v>0</v>
      </c>
      <c r="I704">
        <f t="shared" si="63"/>
        <v>754</v>
      </c>
      <c r="J704" s="7" t="s">
        <v>915</v>
      </c>
      <c r="K704" s="7"/>
      <c r="L704">
        <f t="shared" si="65"/>
        <v>0</v>
      </c>
      <c r="M704">
        <f t="shared" si="66"/>
        <v>144</v>
      </c>
      <c r="N704" s="7" t="s">
        <v>915</v>
      </c>
      <c r="O704" s="40">
        <v>1</v>
      </c>
      <c r="Y704">
        <f t="shared" si="64"/>
        <v>712</v>
      </c>
    </row>
    <row r="705" spans="1:25" x14ac:dyDescent="0.25">
      <c r="A705" s="7" t="s">
        <v>927</v>
      </c>
      <c r="B705" s="40">
        <v>225</v>
      </c>
      <c r="C705">
        <f t="shared" si="62"/>
        <v>30</v>
      </c>
      <c r="D705" s="7" t="s">
        <v>921</v>
      </c>
      <c r="E705">
        <f t="shared" si="61"/>
        <v>1000</v>
      </c>
      <c r="G705" s="7" t="s">
        <v>916</v>
      </c>
      <c r="H705" s="40">
        <v>0</v>
      </c>
      <c r="I705">
        <f t="shared" si="63"/>
        <v>754</v>
      </c>
      <c r="J705" s="7" t="s">
        <v>916</v>
      </c>
      <c r="K705" s="7"/>
      <c r="L705">
        <f t="shared" si="65"/>
        <v>0</v>
      </c>
      <c r="M705">
        <f t="shared" si="66"/>
        <v>144</v>
      </c>
      <c r="N705" s="7" t="s">
        <v>916</v>
      </c>
      <c r="O705" s="40">
        <v>1</v>
      </c>
      <c r="Y705">
        <f t="shared" si="64"/>
        <v>712</v>
      </c>
    </row>
    <row r="706" spans="1:25" x14ac:dyDescent="0.25">
      <c r="A706" s="7" t="s">
        <v>928</v>
      </c>
      <c r="B706" s="40">
        <v>50</v>
      </c>
      <c r="C706">
        <f t="shared" si="62"/>
        <v>350</v>
      </c>
      <c r="D706" s="7" t="s">
        <v>922</v>
      </c>
      <c r="E706">
        <f t="shared" si="61"/>
        <v>70</v>
      </c>
      <c r="G706" s="7" t="s">
        <v>917</v>
      </c>
      <c r="H706" s="40">
        <v>125</v>
      </c>
      <c r="I706">
        <f t="shared" si="63"/>
        <v>415</v>
      </c>
      <c r="J706" s="7" t="s">
        <v>917</v>
      </c>
      <c r="K706" s="7"/>
      <c r="L706">
        <f t="shared" si="65"/>
        <v>125</v>
      </c>
      <c r="M706">
        <f t="shared" si="66"/>
        <v>144</v>
      </c>
      <c r="N706" s="7" t="s">
        <v>917</v>
      </c>
      <c r="O706" s="40">
        <v>1</v>
      </c>
      <c r="Y706">
        <f t="shared" si="64"/>
        <v>712</v>
      </c>
    </row>
    <row r="707" spans="1:25" x14ac:dyDescent="0.25">
      <c r="A707" s="7" t="s">
        <v>929</v>
      </c>
      <c r="B707" s="40">
        <v>145</v>
      </c>
      <c r="C707">
        <f t="shared" si="62"/>
        <v>410</v>
      </c>
      <c r="D707" s="7" t="s">
        <v>924</v>
      </c>
      <c r="E707">
        <f t="shared" si="61"/>
        <v>50</v>
      </c>
      <c r="G707" s="7" t="s">
        <v>919</v>
      </c>
      <c r="H707" s="40">
        <v>18</v>
      </c>
      <c r="I707">
        <f t="shared" si="63"/>
        <v>661</v>
      </c>
      <c r="J707" s="7" t="s">
        <v>919</v>
      </c>
      <c r="K707" s="7"/>
      <c r="L707">
        <f t="shared" si="65"/>
        <v>18</v>
      </c>
      <c r="M707">
        <f t="shared" si="66"/>
        <v>144</v>
      </c>
      <c r="N707" s="7" t="s">
        <v>919</v>
      </c>
      <c r="O707" s="40">
        <v>1</v>
      </c>
      <c r="Y707">
        <f t="shared" si="64"/>
        <v>712</v>
      </c>
    </row>
    <row r="708" spans="1:25" x14ac:dyDescent="0.25">
      <c r="A708" s="7" t="s">
        <v>930</v>
      </c>
      <c r="B708" s="40">
        <v>200</v>
      </c>
      <c r="C708">
        <f t="shared" si="62"/>
        <v>662</v>
      </c>
      <c r="D708" s="7" t="s">
        <v>925</v>
      </c>
      <c r="E708">
        <f t="shared" si="61"/>
        <v>9</v>
      </c>
      <c r="G708" s="7" t="s">
        <v>920</v>
      </c>
      <c r="H708" s="40">
        <v>712</v>
      </c>
      <c r="I708">
        <f t="shared" si="63"/>
        <v>135</v>
      </c>
      <c r="J708" s="7" t="s">
        <v>920</v>
      </c>
      <c r="K708" s="7"/>
      <c r="L708">
        <f t="shared" si="65"/>
        <v>712</v>
      </c>
      <c r="M708">
        <f t="shared" si="66"/>
        <v>28</v>
      </c>
      <c r="N708" s="7" t="s">
        <v>920</v>
      </c>
      <c r="O708" s="40">
        <v>2</v>
      </c>
      <c r="Y708">
        <f t="shared" si="64"/>
        <v>712</v>
      </c>
    </row>
    <row r="709" spans="1:25" x14ac:dyDescent="0.25">
      <c r="A709" s="7" t="s">
        <v>931</v>
      </c>
      <c r="B709" s="40">
        <v>12</v>
      </c>
      <c r="C709">
        <f t="shared" si="62"/>
        <v>554</v>
      </c>
      <c r="D709" s="7" t="s">
        <v>926</v>
      </c>
      <c r="E709">
        <f t="shared" si="61"/>
        <v>25</v>
      </c>
      <c r="G709" s="7" t="s">
        <v>921</v>
      </c>
      <c r="H709" s="40">
        <v>2000</v>
      </c>
      <c r="I709">
        <f t="shared" si="63"/>
        <v>51</v>
      </c>
      <c r="J709" s="7" t="s">
        <v>921</v>
      </c>
      <c r="K709" s="7"/>
      <c r="L709">
        <f t="shared" si="65"/>
        <v>2000</v>
      </c>
      <c r="M709">
        <f t="shared" si="66"/>
        <v>144</v>
      </c>
      <c r="N709" s="7" t="s">
        <v>921</v>
      </c>
      <c r="O709" s="40">
        <v>1</v>
      </c>
      <c r="Y709">
        <f t="shared" si="64"/>
        <v>712</v>
      </c>
    </row>
    <row r="710" spans="1:25" x14ac:dyDescent="0.25">
      <c r="A710" s="7" t="s">
        <v>932</v>
      </c>
      <c r="B710" s="40">
        <v>200</v>
      </c>
      <c r="C710">
        <f t="shared" si="62"/>
        <v>135</v>
      </c>
      <c r="D710" s="7" t="s">
        <v>927</v>
      </c>
      <c r="E710">
        <f t="shared" si="61"/>
        <v>225</v>
      </c>
      <c r="G710" s="7" t="s">
        <v>922</v>
      </c>
      <c r="H710" s="40">
        <v>23</v>
      </c>
      <c r="I710">
        <f t="shared" si="63"/>
        <v>640</v>
      </c>
      <c r="J710" s="7" t="s">
        <v>922</v>
      </c>
      <c r="K710" s="7"/>
      <c r="L710">
        <f t="shared" si="65"/>
        <v>23</v>
      </c>
      <c r="M710">
        <f t="shared" si="66"/>
        <v>144</v>
      </c>
      <c r="N710" s="7" t="s">
        <v>922</v>
      </c>
      <c r="O710" s="40">
        <v>1</v>
      </c>
      <c r="Y710">
        <f t="shared" si="64"/>
        <v>712</v>
      </c>
    </row>
    <row r="711" spans="1:25" x14ac:dyDescent="0.25">
      <c r="A711" s="7" t="s">
        <v>933</v>
      </c>
      <c r="B711" s="40">
        <v>0</v>
      </c>
      <c r="C711">
        <f t="shared" si="62"/>
        <v>410</v>
      </c>
      <c r="D711" s="7" t="s">
        <v>928</v>
      </c>
      <c r="E711">
        <f t="shared" si="61"/>
        <v>50</v>
      </c>
      <c r="G711" s="7" t="s">
        <v>924</v>
      </c>
      <c r="H711" s="40">
        <v>26</v>
      </c>
      <c r="I711">
        <f t="shared" si="63"/>
        <v>624</v>
      </c>
      <c r="J711" s="7" t="s">
        <v>924</v>
      </c>
      <c r="K711" s="7"/>
      <c r="L711">
        <f t="shared" si="65"/>
        <v>26</v>
      </c>
      <c r="M711">
        <f t="shared" si="66"/>
        <v>144</v>
      </c>
      <c r="N711" s="7" t="s">
        <v>924</v>
      </c>
      <c r="O711" s="40">
        <v>1</v>
      </c>
      <c r="Y711">
        <f t="shared" si="64"/>
        <v>712</v>
      </c>
    </row>
    <row r="712" spans="1:25" x14ac:dyDescent="0.25">
      <c r="A712" s="7" t="s">
        <v>934</v>
      </c>
      <c r="B712" s="40">
        <v>208</v>
      </c>
      <c r="C712">
        <f t="shared" si="62"/>
        <v>208</v>
      </c>
      <c r="D712" s="7" t="s">
        <v>929</v>
      </c>
      <c r="E712">
        <f t="shared" si="61"/>
        <v>145</v>
      </c>
      <c r="G712" s="7" t="s">
        <v>925</v>
      </c>
      <c r="H712" s="40">
        <v>15</v>
      </c>
      <c r="I712">
        <f t="shared" si="63"/>
        <v>679</v>
      </c>
      <c r="J712" s="7" t="s">
        <v>925</v>
      </c>
      <c r="K712" s="7"/>
      <c r="L712">
        <f t="shared" si="65"/>
        <v>15</v>
      </c>
      <c r="M712">
        <f t="shared" si="66"/>
        <v>144</v>
      </c>
      <c r="N712" s="7" t="s">
        <v>925</v>
      </c>
      <c r="O712" s="40">
        <v>1</v>
      </c>
      <c r="Y712">
        <f t="shared" si="64"/>
        <v>712</v>
      </c>
    </row>
    <row r="713" spans="1:25" x14ac:dyDescent="0.25">
      <c r="A713" s="7" t="s">
        <v>935</v>
      </c>
      <c r="B713" s="40">
        <v>20</v>
      </c>
      <c r="C713">
        <f t="shared" si="62"/>
        <v>147</v>
      </c>
      <c r="D713" s="7" t="s">
        <v>930</v>
      </c>
      <c r="E713">
        <f t="shared" ref="E713:E776" si="67">VLOOKUP(D:D,A708:B1532,2,0)</f>
        <v>200</v>
      </c>
      <c r="G713" s="7" t="s">
        <v>926</v>
      </c>
      <c r="H713" s="40">
        <v>197</v>
      </c>
      <c r="I713">
        <f t="shared" si="63"/>
        <v>337</v>
      </c>
      <c r="J713" s="7" t="s">
        <v>926</v>
      </c>
      <c r="K713" s="7"/>
      <c r="L713">
        <f t="shared" si="65"/>
        <v>197</v>
      </c>
      <c r="M713">
        <f t="shared" si="66"/>
        <v>144</v>
      </c>
      <c r="N713" s="7" t="s">
        <v>926</v>
      </c>
      <c r="O713" s="40">
        <v>1</v>
      </c>
      <c r="Y713">
        <f t="shared" si="64"/>
        <v>712</v>
      </c>
    </row>
    <row r="714" spans="1:25" x14ac:dyDescent="0.25">
      <c r="A714" s="7" t="s">
        <v>936</v>
      </c>
      <c r="B714" s="40">
        <v>35</v>
      </c>
      <c r="C714">
        <f t="shared" ref="C714:C777" si="68">RANK(E:E,E:E)</f>
        <v>640</v>
      </c>
      <c r="D714" s="7" t="s">
        <v>931</v>
      </c>
      <c r="E714">
        <f t="shared" si="67"/>
        <v>12</v>
      </c>
      <c r="G714" s="7" t="s">
        <v>927</v>
      </c>
      <c r="H714" s="40">
        <v>60</v>
      </c>
      <c r="I714">
        <f t="shared" si="63"/>
        <v>525</v>
      </c>
      <c r="J714" s="7" t="s">
        <v>927</v>
      </c>
      <c r="K714" s="7"/>
      <c r="L714">
        <f t="shared" si="65"/>
        <v>60</v>
      </c>
      <c r="M714">
        <f t="shared" si="66"/>
        <v>28</v>
      </c>
      <c r="N714" s="7" t="s">
        <v>927</v>
      </c>
      <c r="O714" s="40">
        <v>2</v>
      </c>
      <c r="Y714">
        <f t="shared" si="64"/>
        <v>712</v>
      </c>
    </row>
    <row r="715" spans="1:25" x14ac:dyDescent="0.25">
      <c r="A715" s="7" t="s">
        <v>937</v>
      </c>
      <c r="B715" s="40">
        <v>50</v>
      </c>
      <c r="C715">
        <f t="shared" si="68"/>
        <v>147</v>
      </c>
      <c r="D715" s="7" t="s">
        <v>932</v>
      </c>
      <c r="E715">
        <f t="shared" si="67"/>
        <v>200</v>
      </c>
      <c r="G715" s="7" t="s">
        <v>928</v>
      </c>
      <c r="H715" s="40">
        <v>103</v>
      </c>
      <c r="I715">
        <f t="shared" si="63"/>
        <v>442</v>
      </c>
      <c r="J715" s="7" t="s">
        <v>928</v>
      </c>
      <c r="K715" s="7"/>
      <c r="L715">
        <f t="shared" si="65"/>
        <v>103</v>
      </c>
      <c r="M715">
        <f t="shared" si="66"/>
        <v>144</v>
      </c>
      <c r="N715" s="7" t="s">
        <v>928</v>
      </c>
      <c r="O715" s="40">
        <v>1</v>
      </c>
      <c r="Y715">
        <f t="shared" si="64"/>
        <v>712</v>
      </c>
    </row>
    <row r="716" spans="1:25" x14ac:dyDescent="0.25">
      <c r="A716" s="7" t="s">
        <v>938</v>
      </c>
      <c r="B716" s="40">
        <v>6</v>
      </c>
      <c r="C716">
        <f t="shared" si="68"/>
        <v>683</v>
      </c>
      <c r="D716" s="7" t="s">
        <v>933</v>
      </c>
      <c r="E716">
        <f t="shared" si="67"/>
        <v>0</v>
      </c>
      <c r="G716" s="7" t="s">
        <v>929</v>
      </c>
      <c r="H716" s="40">
        <v>820</v>
      </c>
      <c r="I716">
        <f t="shared" si="63"/>
        <v>117</v>
      </c>
      <c r="J716" s="7" t="s">
        <v>929</v>
      </c>
      <c r="K716" s="7"/>
      <c r="L716">
        <f t="shared" si="65"/>
        <v>820</v>
      </c>
      <c r="M716">
        <f t="shared" si="66"/>
        <v>28</v>
      </c>
      <c r="N716" s="7" t="s">
        <v>929</v>
      </c>
      <c r="O716" s="40">
        <v>2</v>
      </c>
      <c r="Y716">
        <f t="shared" si="64"/>
        <v>712</v>
      </c>
    </row>
    <row r="717" spans="1:25" x14ac:dyDescent="0.25">
      <c r="A717" s="7" t="s">
        <v>939</v>
      </c>
      <c r="B717" s="40">
        <v>39</v>
      </c>
      <c r="C717">
        <f t="shared" si="68"/>
        <v>145</v>
      </c>
      <c r="D717" s="7" t="s">
        <v>934</v>
      </c>
      <c r="E717">
        <f t="shared" si="67"/>
        <v>208</v>
      </c>
      <c r="G717" s="7" t="s">
        <v>930</v>
      </c>
      <c r="H717" s="40">
        <v>652</v>
      </c>
      <c r="I717">
        <f t="shared" ref="I717:I780" si="69">RANK(L:L,L:L)</f>
        <v>147</v>
      </c>
      <c r="J717" s="7" t="s">
        <v>930</v>
      </c>
      <c r="K717" s="7"/>
      <c r="L717">
        <f t="shared" si="65"/>
        <v>652</v>
      </c>
      <c r="M717">
        <f t="shared" si="66"/>
        <v>144</v>
      </c>
      <c r="N717" s="7" t="s">
        <v>930</v>
      </c>
      <c r="O717" s="40">
        <v>1</v>
      </c>
      <c r="Y717">
        <f t="shared" ref="Y717:Y780" si="70">RANK(AA:AA,AA:AA)</f>
        <v>712</v>
      </c>
    </row>
    <row r="718" spans="1:25" x14ac:dyDescent="0.25">
      <c r="A718" s="7" t="s">
        <v>940</v>
      </c>
      <c r="B718" s="40">
        <v>50</v>
      </c>
      <c r="C718">
        <f t="shared" si="68"/>
        <v>588</v>
      </c>
      <c r="D718" s="7" t="s">
        <v>935</v>
      </c>
      <c r="E718">
        <f t="shared" si="67"/>
        <v>20</v>
      </c>
      <c r="G718" s="7" t="s">
        <v>931</v>
      </c>
      <c r="H718" s="40">
        <v>233</v>
      </c>
      <c r="I718">
        <f t="shared" si="69"/>
        <v>304</v>
      </c>
      <c r="J718" s="7" t="s">
        <v>931</v>
      </c>
      <c r="K718" s="7"/>
      <c r="L718">
        <f t="shared" ref="L718:L781" si="71">VLOOKUP(G718,G717:H1540,2,0)</f>
        <v>233</v>
      </c>
      <c r="M718">
        <f t="shared" ref="M718:M781" si="72">RANK(O:O,O:O)</f>
        <v>144</v>
      </c>
      <c r="N718" s="7" t="s">
        <v>931</v>
      </c>
      <c r="O718" s="40">
        <v>1</v>
      </c>
      <c r="Y718">
        <f t="shared" si="70"/>
        <v>712</v>
      </c>
    </row>
    <row r="719" spans="1:25" x14ac:dyDescent="0.25">
      <c r="A719" s="7" t="s">
        <v>941</v>
      </c>
      <c r="B719" s="40">
        <v>0</v>
      </c>
      <c r="C719">
        <f t="shared" si="68"/>
        <v>494</v>
      </c>
      <c r="D719" s="7" t="s">
        <v>936</v>
      </c>
      <c r="E719">
        <f t="shared" si="67"/>
        <v>35</v>
      </c>
      <c r="G719" s="7" t="s">
        <v>932</v>
      </c>
      <c r="H719" s="40">
        <v>5100</v>
      </c>
      <c r="I719">
        <f t="shared" si="69"/>
        <v>22</v>
      </c>
      <c r="J719" s="7" t="s">
        <v>932</v>
      </c>
      <c r="K719" s="7"/>
      <c r="L719">
        <f t="shared" si="71"/>
        <v>5100</v>
      </c>
      <c r="M719">
        <f t="shared" si="72"/>
        <v>144</v>
      </c>
      <c r="N719" s="7" t="s">
        <v>932</v>
      </c>
      <c r="O719" s="40">
        <v>1</v>
      </c>
      <c r="Y719">
        <f t="shared" si="70"/>
        <v>712</v>
      </c>
    </row>
    <row r="720" spans="1:25" x14ac:dyDescent="0.25">
      <c r="A720" s="7" t="s">
        <v>942</v>
      </c>
      <c r="B720" s="40">
        <v>900</v>
      </c>
      <c r="C720">
        <f t="shared" si="68"/>
        <v>410</v>
      </c>
      <c r="D720" s="7" t="s">
        <v>937</v>
      </c>
      <c r="E720">
        <f t="shared" si="67"/>
        <v>50</v>
      </c>
      <c r="G720" s="7" t="s">
        <v>933</v>
      </c>
      <c r="H720" s="40">
        <v>114</v>
      </c>
      <c r="I720">
        <f t="shared" si="69"/>
        <v>429</v>
      </c>
      <c r="J720" s="7" t="s">
        <v>933</v>
      </c>
      <c r="K720" s="7"/>
      <c r="L720">
        <f t="shared" si="71"/>
        <v>114</v>
      </c>
      <c r="M720">
        <f t="shared" si="72"/>
        <v>144</v>
      </c>
      <c r="N720" s="7" t="s">
        <v>933</v>
      </c>
      <c r="O720" s="40">
        <v>1</v>
      </c>
      <c r="Y720">
        <f t="shared" si="70"/>
        <v>712</v>
      </c>
    </row>
    <row r="721" spans="1:25" x14ac:dyDescent="0.25">
      <c r="A721" s="7" t="s">
        <v>943</v>
      </c>
      <c r="B721" s="40">
        <v>100</v>
      </c>
      <c r="C721">
        <f t="shared" si="68"/>
        <v>672</v>
      </c>
      <c r="D721" s="7" t="s">
        <v>938</v>
      </c>
      <c r="E721">
        <f t="shared" si="67"/>
        <v>6</v>
      </c>
      <c r="G721" s="7" t="s">
        <v>934</v>
      </c>
      <c r="H721" s="40">
        <v>44</v>
      </c>
      <c r="I721">
        <f t="shared" si="69"/>
        <v>574</v>
      </c>
      <c r="J721" s="7" t="s">
        <v>934</v>
      </c>
      <c r="K721" s="7"/>
      <c r="L721">
        <f t="shared" si="71"/>
        <v>44</v>
      </c>
      <c r="M721">
        <f t="shared" si="72"/>
        <v>28</v>
      </c>
      <c r="N721" s="7" t="s">
        <v>934</v>
      </c>
      <c r="O721" s="40">
        <v>2</v>
      </c>
      <c r="Y721">
        <f t="shared" si="70"/>
        <v>712</v>
      </c>
    </row>
    <row r="722" spans="1:25" x14ac:dyDescent="0.25">
      <c r="A722" s="7" t="s">
        <v>944</v>
      </c>
      <c r="B722" s="40">
        <v>500</v>
      </c>
      <c r="C722">
        <f t="shared" si="68"/>
        <v>482</v>
      </c>
      <c r="D722" s="7" t="s">
        <v>939</v>
      </c>
      <c r="E722">
        <f t="shared" si="67"/>
        <v>39</v>
      </c>
      <c r="G722" s="7" t="s">
        <v>935</v>
      </c>
      <c r="H722" s="40">
        <v>68</v>
      </c>
      <c r="I722">
        <f t="shared" si="69"/>
        <v>513</v>
      </c>
      <c r="J722" s="7" t="s">
        <v>935</v>
      </c>
      <c r="K722" s="7"/>
      <c r="L722">
        <f t="shared" si="71"/>
        <v>68</v>
      </c>
      <c r="M722">
        <f t="shared" si="72"/>
        <v>28</v>
      </c>
      <c r="N722" s="7" t="s">
        <v>935</v>
      </c>
      <c r="O722" s="40">
        <v>2</v>
      </c>
      <c r="Y722">
        <f t="shared" si="70"/>
        <v>712</v>
      </c>
    </row>
    <row r="723" spans="1:25" x14ac:dyDescent="0.25">
      <c r="A723" s="7" t="s">
        <v>945</v>
      </c>
      <c r="B723" s="40">
        <v>100</v>
      </c>
      <c r="C723">
        <f t="shared" si="68"/>
        <v>410</v>
      </c>
      <c r="D723" s="7" t="s">
        <v>940</v>
      </c>
      <c r="E723">
        <f t="shared" si="67"/>
        <v>50</v>
      </c>
      <c r="G723" s="7" t="s">
        <v>936</v>
      </c>
      <c r="H723" s="40">
        <v>40</v>
      </c>
      <c r="I723">
        <f t="shared" si="69"/>
        <v>587</v>
      </c>
      <c r="J723" s="7" t="s">
        <v>936</v>
      </c>
      <c r="K723" s="7"/>
      <c r="L723">
        <f t="shared" si="71"/>
        <v>40</v>
      </c>
      <c r="M723">
        <f t="shared" si="72"/>
        <v>144</v>
      </c>
      <c r="N723" s="7" t="s">
        <v>936</v>
      </c>
      <c r="O723" s="40">
        <v>1</v>
      </c>
      <c r="Y723">
        <f t="shared" si="70"/>
        <v>712</v>
      </c>
    </row>
    <row r="724" spans="1:25" x14ac:dyDescent="0.25">
      <c r="A724" s="7" t="s">
        <v>946</v>
      </c>
      <c r="B724" s="40">
        <v>72</v>
      </c>
      <c r="C724">
        <f t="shared" si="68"/>
        <v>683</v>
      </c>
      <c r="D724" s="7" t="s">
        <v>941</v>
      </c>
      <c r="E724">
        <f t="shared" si="67"/>
        <v>0</v>
      </c>
      <c r="G724" s="7" t="s">
        <v>937</v>
      </c>
      <c r="H724" s="40">
        <v>28</v>
      </c>
      <c r="I724">
        <f t="shared" si="69"/>
        <v>621</v>
      </c>
      <c r="J724" s="7" t="s">
        <v>937</v>
      </c>
      <c r="K724" s="7"/>
      <c r="L724">
        <f t="shared" si="71"/>
        <v>28</v>
      </c>
      <c r="M724">
        <f t="shared" si="72"/>
        <v>144</v>
      </c>
      <c r="N724" s="7" t="s">
        <v>937</v>
      </c>
      <c r="O724" s="40">
        <v>1</v>
      </c>
      <c r="Y724">
        <f t="shared" si="70"/>
        <v>712</v>
      </c>
    </row>
    <row r="725" spans="1:25" x14ac:dyDescent="0.25">
      <c r="A725" s="7" t="s">
        <v>948</v>
      </c>
      <c r="B725" s="40">
        <v>0</v>
      </c>
      <c r="C725">
        <f t="shared" si="68"/>
        <v>35</v>
      </c>
      <c r="D725" s="7" t="s">
        <v>942</v>
      </c>
      <c r="E725">
        <f t="shared" si="67"/>
        <v>900</v>
      </c>
      <c r="G725" s="7" t="s">
        <v>938</v>
      </c>
      <c r="H725" s="40">
        <v>12</v>
      </c>
      <c r="I725">
        <f t="shared" si="69"/>
        <v>691</v>
      </c>
      <c r="J725" s="7" t="s">
        <v>938</v>
      </c>
      <c r="K725" s="7"/>
      <c r="L725">
        <f t="shared" si="71"/>
        <v>12</v>
      </c>
      <c r="M725">
        <f t="shared" si="72"/>
        <v>144</v>
      </c>
      <c r="N725" s="7" t="s">
        <v>938</v>
      </c>
      <c r="O725" s="40">
        <v>1</v>
      </c>
      <c r="Y725">
        <f t="shared" si="70"/>
        <v>712</v>
      </c>
    </row>
    <row r="726" spans="1:25" x14ac:dyDescent="0.25">
      <c r="A726" s="7" t="s">
        <v>949</v>
      </c>
      <c r="B726" s="40">
        <v>390</v>
      </c>
      <c r="C726">
        <f t="shared" si="68"/>
        <v>254</v>
      </c>
      <c r="D726" s="7" t="s">
        <v>943</v>
      </c>
      <c r="E726">
        <f t="shared" si="67"/>
        <v>100</v>
      </c>
      <c r="G726" s="7" t="s">
        <v>939</v>
      </c>
      <c r="H726" s="40">
        <v>118</v>
      </c>
      <c r="I726">
        <f t="shared" si="69"/>
        <v>425</v>
      </c>
      <c r="J726" s="7" t="s">
        <v>939</v>
      </c>
      <c r="K726" s="7"/>
      <c r="L726">
        <f t="shared" si="71"/>
        <v>118</v>
      </c>
      <c r="M726">
        <f t="shared" si="72"/>
        <v>144</v>
      </c>
      <c r="N726" s="7" t="s">
        <v>939</v>
      </c>
      <c r="O726" s="40">
        <v>1</v>
      </c>
      <c r="Y726">
        <f t="shared" si="70"/>
        <v>712</v>
      </c>
    </row>
    <row r="727" spans="1:25" x14ac:dyDescent="0.25">
      <c r="A727" s="7" t="s">
        <v>950</v>
      </c>
      <c r="B727" s="40">
        <v>1300</v>
      </c>
      <c r="C727">
        <f t="shared" si="68"/>
        <v>66</v>
      </c>
      <c r="D727" s="7" t="s">
        <v>944</v>
      </c>
      <c r="E727">
        <f t="shared" si="67"/>
        <v>500</v>
      </c>
      <c r="G727" s="7" t="s">
        <v>940</v>
      </c>
      <c r="H727" s="40">
        <v>430</v>
      </c>
      <c r="I727">
        <f t="shared" si="69"/>
        <v>196</v>
      </c>
      <c r="J727" s="7" t="s">
        <v>940</v>
      </c>
      <c r="K727" s="7"/>
      <c r="L727">
        <f t="shared" si="71"/>
        <v>430</v>
      </c>
      <c r="M727">
        <f t="shared" si="72"/>
        <v>144</v>
      </c>
      <c r="N727" s="7" t="s">
        <v>940</v>
      </c>
      <c r="O727" s="40">
        <v>1</v>
      </c>
      <c r="Y727">
        <f t="shared" si="70"/>
        <v>712</v>
      </c>
    </row>
    <row r="728" spans="1:25" x14ac:dyDescent="0.25">
      <c r="A728" s="7" t="s">
        <v>951</v>
      </c>
      <c r="B728" s="40">
        <v>35</v>
      </c>
      <c r="C728">
        <f t="shared" si="68"/>
        <v>254</v>
      </c>
      <c r="D728" s="7" t="s">
        <v>945</v>
      </c>
      <c r="E728">
        <f t="shared" si="67"/>
        <v>100</v>
      </c>
      <c r="G728" s="7" t="s">
        <v>941</v>
      </c>
      <c r="H728" s="40">
        <v>194</v>
      </c>
      <c r="I728">
        <f t="shared" si="69"/>
        <v>339</v>
      </c>
      <c r="J728" s="7" t="s">
        <v>941</v>
      </c>
      <c r="K728" s="7"/>
      <c r="L728">
        <f t="shared" si="71"/>
        <v>194</v>
      </c>
      <c r="M728">
        <f t="shared" si="72"/>
        <v>144</v>
      </c>
      <c r="N728" s="7" t="s">
        <v>941</v>
      </c>
      <c r="O728" s="40">
        <v>1</v>
      </c>
      <c r="Y728">
        <f t="shared" si="70"/>
        <v>712</v>
      </c>
    </row>
    <row r="729" spans="1:25" x14ac:dyDescent="0.25">
      <c r="A729" s="7" t="s">
        <v>952</v>
      </c>
      <c r="B729" s="40">
        <v>75</v>
      </c>
      <c r="C729">
        <f t="shared" si="68"/>
        <v>349</v>
      </c>
      <c r="D729" s="7" t="s">
        <v>946</v>
      </c>
      <c r="E729">
        <f t="shared" si="67"/>
        <v>72</v>
      </c>
      <c r="G729" s="7" t="s">
        <v>942</v>
      </c>
      <c r="H729" s="40">
        <v>1200</v>
      </c>
      <c r="I729">
        <f t="shared" si="69"/>
        <v>84</v>
      </c>
      <c r="J729" s="7" t="s">
        <v>942</v>
      </c>
      <c r="K729" s="7"/>
      <c r="L729">
        <f t="shared" si="71"/>
        <v>1200</v>
      </c>
      <c r="M729">
        <f t="shared" si="72"/>
        <v>144</v>
      </c>
      <c r="N729" s="7" t="s">
        <v>942</v>
      </c>
      <c r="O729" s="40">
        <v>1</v>
      </c>
      <c r="Y729">
        <f t="shared" si="70"/>
        <v>712</v>
      </c>
    </row>
    <row r="730" spans="1:25" x14ac:dyDescent="0.25">
      <c r="A730" s="7" t="s">
        <v>953</v>
      </c>
      <c r="B730" s="40">
        <v>0</v>
      </c>
      <c r="C730">
        <f t="shared" si="68"/>
        <v>683</v>
      </c>
      <c r="D730" s="7" t="s">
        <v>948</v>
      </c>
      <c r="E730">
        <f t="shared" si="67"/>
        <v>0</v>
      </c>
      <c r="G730" s="7" t="s">
        <v>943</v>
      </c>
      <c r="H730" s="40">
        <v>205</v>
      </c>
      <c r="I730">
        <f t="shared" si="69"/>
        <v>326</v>
      </c>
      <c r="J730" s="7" t="s">
        <v>943</v>
      </c>
      <c r="K730" s="7"/>
      <c r="L730">
        <f t="shared" si="71"/>
        <v>205</v>
      </c>
      <c r="M730">
        <f t="shared" si="72"/>
        <v>144</v>
      </c>
      <c r="N730" s="7" t="s">
        <v>943</v>
      </c>
      <c r="O730" s="40">
        <v>1</v>
      </c>
      <c r="Y730">
        <f t="shared" si="70"/>
        <v>712</v>
      </c>
    </row>
    <row r="731" spans="1:25" x14ac:dyDescent="0.25">
      <c r="A731" s="7" t="s">
        <v>954</v>
      </c>
      <c r="B731" s="40">
        <v>0</v>
      </c>
      <c r="C731">
        <f t="shared" si="68"/>
        <v>89</v>
      </c>
      <c r="D731" s="7" t="s">
        <v>949</v>
      </c>
      <c r="E731">
        <f t="shared" si="67"/>
        <v>390</v>
      </c>
      <c r="G731" s="7" t="s">
        <v>944</v>
      </c>
      <c r="H731" s="40">
        <v>11</v>
      </c>
      <c r="I731">
        <f t="shared" si="69"/>
        <v>695</v>
      </c>
      <c r="J731" s="7" t="s">
        <v>944</v>
      </c>
      <c r="K731" s="7"/>
      <c r="L731">
        <f t="shared" si="71"/>
        <v>11</v>
      </c>
      <c r="M731">
        <f t="shared" si="72"/>
        <v>144</v>
      </c>
      <c r="N731" s="7" t="s">
        <v>944</v>
      </c>
      <c r="O731" s="40">
        <v>1</v>
      </c>
      <c r="Y731">
        <f t="shared" si="70"/>
        <v>712</v>
      </c>
    </row>
    <row r="732" spans="1:25" x14ac:dyDescent="0.25">
      <c r="A732" s="7" t="s">
        <v>955</v>
      </c>
      <c r="B732" s="40">
        <v>0</v>
      </c>
      <c r="C732">
        <f t="shared" si="68"/>
        <v>21</v>
      </c>
      <c r="D732" s="7" t="s">
        <v>950</v>
      </c>
      <c r="E732">
        <f t="shared" si="67"/>
        <v>1300</v>
      </c>
      <c r="G732" s="7" t="s">
        <v>945</v>
      </c>
      <c r="H732" s="40">
        <v>416</v>
      </c>
      <c r="I732">
        <f t="shared" si="69"/>
        <v>201</v>
      </c>
      <c r="J732" s="7" t="s">
        <v>945</v>
      </c>
      <c r="K732" s="7"/>
      <c r="L732">
        <f t="shared" si="71"/>
        <v>416</v>
      </c>
      <c r="M732">
        <f t="shared" si="72"/>
        <v>144</v>
      </c>
      <c r="N732" s="7" t="s">
        <v>945</v>
      </c>
      <c r="O732" s="40">
        <v>1</v>
      </c>
      <c r="Y732">
        <f t="shared" si="70"/>
        <v>712</v>
      </c>
    </row>
    <row r="733" spans="1:25" x14ac:dyDescent="0.25">
      <c r="A733" s="7" t="s">
        <v>957</v>
      </c>
      <c r="B733" s="40">
        <v>47</v>
      </c>
      <c r="C733">
        <f t="shared" si="68"/>
        <v>494</v>
      </c>
      <c r="D733" s="7" t="s">
        <v>951</v>
      </c>
      <c r="E733">
        <f t="shared" si="67"/>
        <v>35</v>
      </c>
      <c r="G733" s="7" t="s">
        <v>946</v>
      </c>
      <c r="H733" s="40">
        <v>281</v>
      </c>
      <c r="I733">
        <f t="shared" si="69"/>
        <v>268</v>
      </c>
      <c r="J733" s="7" t="s">
        <v>946</v>
      </c>
      <c r="K733" s="7"/>
      <c r="L733">
        <f t="shared" si="71"/>
        <v>281</v>
      </c>
      <c r="M733">
        <f t="shared" si="72"/>
        <v>144</v>
      </c>
      <c r="N733" s="7" t="s">
        <v>946</v>
      </c>
      <c r="O733" s="40">
        <v>1</v>
      </c>
      <c r="Y733">
        <f t="shared" si="70"/>
        <v>712</v>
      </c>
    </row>
    <row r="734" spans="1:25" x14ac:dyDescent="0.25">
      <c r="A734" s="7" t="s">
        <v>958</v>
      </c>
      <c r="B734" s="40">
        <v>0</v>
      </c>
      <c r="C734">
        <f t="shared" si="68"/>
        <v>341</v>
      </c>
      <c r="D734" s="7" t="s">
        <v>952</v>
      </c>
      <c r="E734">
        <f t="shared" si="67"/>
        <v>75</v>
      </c>
      <c r="G734" s="7" t="s">
        <v>948</v>
      </c>
      <c r="H734" s="40">
        <v>108</v>
      </c>
      <c r="I734">
        <f t="shared" si="69"/>
        <v>437</v>
      </c>
      <c r="J734" s="7" t="s">
        <v>948</v>
      </c>
      <c r="K734" s="7"/>
      <c r="L734">
        <f t="shared" si="71"/>
        <v>108</v>
      </c>
      <c r="M734">
        <f t="shared" si="72"/>
        <v>144</v>
      </c>
      <c r="N734" s="7" t="s">
        <v>948</v>
      </c>
      <c r="O734" s="40">
        <v>1</v>
      </c>
      <c r="Y734">
        <f t="shared" si="70"/>
        <v>712</v>
      </c>
    </row>
    <row r="735" spans="1:25" x14ac:dyDescent="0.25">
      <c r="A735" s="7" t="s">
        <v>959</v>
      </c>
      <c r="B735" s="40">
        <v>3074</v>
      </c>
      <c r="C735">
        <f t="shared" si="68"/>
        <v>683</v>
      </c>
      <c r="D735" s="7" t="s">
        <v>953</v>
      </c>
      <c r="E735">
        <f t="shared" si="67"/>
        <v>0</v>
      </c>
      <c r="G735" s="7" t="s">
        <v>949</v>
      </c>
      <c r="H735" s="40">
        <v>2800</v>
      </c>
      <c r="I735">
        <f t="shared" si="69"/>
        <v>36</v>
      </c>
      <c r="J735" s="7" t="s">
        <v>949</v>
      </c>
      <c r="K735" s="7"/>
      <c r="L735">
        <f t="shared" si="71"/>
        <v>2800</v>
      </c>
      <c r="M735">
        <f t="shared" si="72"/>
        <v>144</v>
      </c>
      <c r="N735" s="7" t="s">
        <v>949</v>
      </c>
      <c r="O735" s="40">
        <v>1</v>
      </c>
      <c r="Y735">
        <f t="shared" si="70"/>
        <v>712</v>
      </c>
    </row>
    <row r="736" spans="1:25" x14ac:dyDescent="0.25">
      <c r="A736" s="7" t="s">
        <v>960</v>
      </c>
      <c r="B736" s="40">
        <v>150</v>
      </c>
      <c r="C736">
        <f t="shared" si="68"/>
        <v>683</v>
      </c>
      <c r="D736" s="7" t="s">
        <v>954</v>
      </c>
      <c r="E736">
        <f t="shared" si="67"/>
        <v>0</v>
      </c>
      <c r="G736" s="7" t="s">
        <v>950</v>
      </c>
      <c r="H736" s="40">
        <v>3000</v>
      </c>
      <c r="I736">
        <f t="shared" si="69"/>
        <v>33</v>
      </c>
      <c r="J736" s="7" t="s">
        <v>950</v>
      </c>
      <c r="K736" s="7"/>
      <c r="L736">
        <f t="shared" si="71"/>
        <v>3000</v>
      </c>
      <c r="M736">
        <f t="shared" si="72"/>
        <v>28</v>
      </c>
      <c r="N736" s="7" t="s">
        <v>950</v>
      </c>
      <c r="O736" s="40">
        <v>2</v>
      </c>
      <c r="Y736">
        <f t="shared" si="70"/>
        <v>712</v>
      </c>
    </row>
    <row r="737" spans="1:25" x14ac:dyDescent="0.25">
      <c r="A737" s="7" t="s">
        <v>961</v>
      </c>
      <c r="B737" s="40">
        <v>160</v>
      </c>
      <c r="C737">
        <f t="shared" si="68"/>
        <v>683</v>
      </c>
      <c r="D737" s="7" t="s">
        <v>955</v>
      </c>
      <c r="E737">
        <f t="shared" si="67"/>
        <v>0</v>
      </c>
      <c r="G737" s="7" t="s">
        <v>951</v>
      </c>
      <c r="H737" s="40">
        <v>244</v>
      </c>
      <c r="I737">
        <f t="shared" si="69"/>
        <v>293</v>
      </c>
      <c r="J737" s="7" t="s">
        <v>951</v>
      </c>
      <c r="K737" s="7"/>
      <c r="L737">
        <f t="shared" si="71"/>
        <v>244</v>
      </c>
      <c r="M737">
        <f t="shared" si="72"/>
        <v>144</v>
      </c>
      <c r="N737" s="7" t="s">
        <v>951</v>
      </c>
      <c r="O737" s="40">
        <v>1</v>
      </c>
      <c r="Y737">
        <f t="shared" si="70"/>
        <v>712</v>
      </c>
    </row>
    <row r="738" spans="1:25" x14ac:dyDescent="0.25">
      <c r="A738" s="7" t="s">
        <v>962</v>
      </c>
      <c r="B738" s="40">
        <v>0</v>
      </c>
      <c r="C738">
        <f t="shared" si="68"/>
        <v>435</v>
      </c>
      <c r="D738" s="7" t="s">
        <v>957</v>
      </c>
      <c r="E738">
        <f t="shared" si="67"/>
        <v>47</v>
      </c>
      <c r="G738" s="7" t="s">
        <v>952</v>
      </c>
      <c r="H738" s="40">
        <v>332</v>
      </c>
      <c r="I738">
        <f t="shared" si="69"/>
        <v>238</v>
      </c>
      <c r="J738" s="7" t="s">
        <v>952</v>
      </c>
      <c r="K738" s="7"/>
      <c r="L738">
        <f t="shared" si="71"/>
        <v>332</v>
      </c>
      <c r="M738">
        <f t="shared" si="72"/>
        <v>28</v>
      </c>
      <c r="N738" s="7" t="s">
        <v>952</v>
      </c>
      <c r="O738" s="40">
        <v>2</v>
      </c>
      <c r="Y738">
        <f t="shared" si="70"/>
        <v>712</v>
      </c>
    </row>
    <row r="739" spans="1:25" x14ac:dyDescent="0.25">
      <c r="A739" s="7" t="s">
        <v>963</v>
      </c>
      <c r="B739" s="40">
        <v>349</v>
      </c>
      <c r="C739">
        <f t="shared" si="68"/>
        <v>683</v>
      </c>
      <c r="D739" s="7" t="s">
        <v>958</v>
      </c>
      <c r="E739">
        <f t="shared" si="67"/>
        <v>0</v>
      </c>
      <c r="G739" s="7" t="s">
        <v>953</v>
      </c>
      <c r="H739" s="40">
        <v>0</v>
      </c>
      <c r="I739">
        <f t="shared" si="69"/>
        <v>754</v>
      </c>
      <c r="J739" s="7" t="s">
        <v>953</v>
      </c>
      <c r="K739" s="7"/>
      <c r="L739">
        <f t="shared" si="71"/>
        <v>0</v>
      </c>
      <c r="M739">
        <f t="shared" si="72"/>
        <v>144</v>
      </c>
      <c r="N739" s="7" t="s">
        <v>953</v>
      </c>
      <c r="O739" s="40">
        <v>1</v>
      </c>
      <c r="Y739">
        <f t="shared" si="70"/>
        <v>712</v>
      </c>
    </row>
    <row r="740" spans="1:25" x14ac:dyDescent="0.25">
      <c r="A740" s="7" t="s">
        <v>964</v>
      </c>
      <c r="B740" s="40">
        <v>18</v>
      </c>
      <c r="C740">
        <f t="shared" si="68"/>
        <v>13</v>
      </c>
      <c r="D740" s="7" t="s">
        <v>959</v>
      </c>
      <c r="E740">
        <f t="shared" si="67"/>
        <v>3074</v>
      </c>
      <c r="G740" s="7" t="s">
        <v>954</v>
      </c>
      <c r="H740" s="40">
        <v>188</v>
      </c>
      <c r="I740">
        <f t="shared" si="69"/>
        <v>347</v>
      </c>
      <c r="J740" s="7" t="s">
        <v>954</v>
      </c>
      <c r="K740" s="7"/>
      <c r="L740">
        <f t="shared" si="71"/>
        <v>188</v>
      </c>
      <c r="M740">
        <f t="shared" si="72"/>
        <v>144</v>
      </c>
      <c r="N740" s="7" t="s">
        <v>954</v>
      </c>
      <c r="O740" s="40">
        <v>1</v>
      </c>
      <c r="Y740">
        <f t="shared" si="70"/>
        <v>712</v>
      </c>
    </row>
    <row r="741" spans="1:25" x14ac:dyDescent="0.25">
      <c r="A741" s="7" t="s">
        <v>965</v>
      </c>
      <c r="B741" s="40">
        <v>120</v>
      </c>
      <c r="C741">
        <f t="shared" si="68"/>
        <v>193</v>
      </c>
      <c r="D741" s="7" t="s">
        <v>960</v>
      </c>
      <c r="E741">
        <f t="shared" si="67"/>
        <v>150</v>
      </c>
      <c r="G741" s="7" t="s">
        <v>955</v>
      </c>
      <c r="H741" s="40">
        <v>17</v>
      </c>
      <c r="I741">
        <f t="shared" si="69"/>
        <v>665</v>
      </c>
      <c r="J741" s="7" t="s">
        <v>955</v>
      </c>
      <c r="K741" s="7"/>
      <c r="L741">
        <f t="shared" si="71"/>
        <v>17</v>
      </c>
      <c r="M741">
        <f t="shared" si="72"/>
        <v>144</v>
      </c>
      <c r="N741" s="7" t="s">
        <v>955</v>
      </c>
      <c r="O741" s="40">
        <v>1</v>
      </c>
      <c r="Y741">
        <f t="shared" si="70"/>
        <v>712</v>
      </c>
    </row>
    <row r="742" spans="1:25" x14ac:dyDescent="0.25">
      <c r="A742" s="7" t="s">
        <v>966</v>
      </c>
      <c r="B742" s="40">
        <v>39</v>
      </c>
      <c r="C742">
        <f t="shared" si="68"/>
        <v>184</v>
      </c>
      <c r="D742" s="7" t="s">
        <v>961</v>
      </c>
      <c r="E742">
        <f t="shared" si="67"/>
        <v>160</v>
      </c>
      <c r="G742" s="7" t="s">
        <v>957</v>
      </c>
      <c r="H742" s="40">
        <v>169</v>
      </c>
      <c r="I742">
        <f t="shared" si="69"/>
        <v>364</v>
      </c>
      <c r="J742" s="7" t="s">
        <v>957</v>
      </c>
      <c r="K742" s="7"/>
      <c r="L742">
        <f t="shared" si="71"/>
        <v>169</v>
      </c>
      <c r="M742">
        <f t="shared" si="72"/>
        <v>144</v>
      </c>
      <c r="N742" s="7" t="s">
        <v>957</v>
      </c>
      <c r="O742" s="40">
        <v>1</v>
      </c>
      <c r="Y742">
        <f t="shared" si="70"/>
        <v>712</v>
      </c>
    </row>
    <row r="743" spans="1:25" x14ac:dyDescent="0.25">
      <c r="A743" s="7" t="s">
        <v>967</v>
      </c>
      <c r="B743" s="40">
        <v>25</v>
      </c>
      <c r="C743">
        <f t="shared" si="68"/>
        <v>683</v>
      </c>
      <c r="D743" s="7" t="s">
        <v>962</v>
      </c>
      <c r="E743">
        <f t="shared" si="67"/>
        <v>0</v>
      </c>
      <c r="G743" s="7" t="s">
        <v>958</v>
      </c>
      <c r="H743" s="40">
        <v>91</v>
      </c>
      <c r="I743">
        <f t="shared" si="69"/>
        <v>468</v>
      </c>
      <c r="J743" s="7" t="s">
        <v>958</v>
      </c>
      <c r="K743" s="7"/>
      <c r="L743">
        <f t="shared" si="71"/>
        <v>91</v>
      </c>
      <c r="M743">
        <f t="shared" si="72"/>
        <v>144</v>
      </c>
      <c r="N743" s="7" t="s">
        <v>958</v>
      </c>
      <c r="O743" s="40">
        <v>1</v>
      </c>
      <c r="Y743">
        <f t="shared" si="70"/>
        <v>712</v>
      </c>
    </row>
    <row r="744" spans="1:25" x14ac:dyDescent="0.25">
      <c r="A744" s="7" t="s">
        <v>968</v>
      </c>
      <c r="B744" s="40">
        <v>8</v>
      </c>
      <c r="C744">
        <f t="shared" si="68"/>
        <v>95</v>
      </c>
      <c r="D744" s="7" t="s">
        <v>963</v>
      </c>
      <c r="E744">
        <f t="shared" si="67"/>
        <v>349</v>
      </c>
      <c r="G744" s="7" t="s">
        <v>959</v>
      </c>
      <c r="H744" s="40">
        <v>4100</v>
      </c>
      <c r="I744">
        <f t="shared" si="69"/>
        <v>27</v>
      </c>
      <c r="J744" s="7" t="s">
        <v>959</v>
      </c>
      <c r="K744" s="7"/>
      <c r="L744">
        <f t="shared" si="71"/>
        <v>4100</v>
      </c>
      <c r="M744">
        <f t="shared" si="72"/>
        <v>9</v>
      </c>
      <c r="N744" s="7" t="s">
        <v>959</v>
      </c>
      <c r="O744" s="40">
        <v>3</v>
      </c>
      <c r="Y744">
        <f t="shared" si="70"/>
        <v>712</v>
      </c>
    </row>
    <row r="745" spans="1:25" x14ac:dyDescent="0.25">
      <c r="A745" s="7" t="s">
        <v>969</v>
      </c>
      <c r="B745" s="40">
        <v>0</v>
      </c>
      <c r="C745">
        <f t="shared" si="68"/>
        <v>607</v>
      </c>
      <c r="D745" s="7" t="s">
        <v>964</v>
      </c>
      <c r="E745">
        <f t="shared" si="67"/>
        <v>18</v>
      </c>
      <c r="G745" s="7" t="s">
        <v>960</v>
      </c>
      <c r="H745" s="40">
        <v>1600</v>
      </c>
      <c r="I745">
        <f t="shared" si="69"/>
        <v>65</v>
      </c>
      <c r="J745" s="7" t="s">
        <v>960</v>
      </c>
      <c r="K745" s="7"/>
      <c r="L745">
        <f t="shared" si="71"/>
        <v>1600</v>
      </c>
      <c r="M745">
        <f t="shared" si="72"/>
        <v>144</v>
      </c>
      <c r="N745" s="7" t="s">
        <v>960</v>
      </c>
      <c r="O745" s="40">
        <v>1</v>
      </c>
      <c r="Y745">
        <f t="shared" si="70"/>
        <v>712</v>
      </c>
    </row>
    <row r="746" spans="1:25" x14ac:dyDescent="0.25">
      <c r="A746" s="7" t="s">
        <v>970</v>
      </c>
      <c r="B746" s="40">
        <v>217</v>
      </c>
      <c r="C746">
        <f t="shared" si="68"/>
        <v>238</v>
      </c>
      <c r="D746" s="7" t="s">
        <v>965</v>
      </c>
      <c r="E746">
        <f t="shared" si="67"/>
        <v>120</v>
      </c>
      <c r="G746" s="7" t="s">
        <v>961</v>
      </c>
      <c r="H746" s="40">
        <v>229</v>
      </c>
      <c r="I746">
        <f t="shared" si="69"/>
        <v>308</v>
      </c>
      <c r="J746" s="7" t="s">
        <v>961</v>
      </c>
      <c r="K746" s="7"/>
      <c r="L746">
        <f t="shared" si="71"/>
        <v>229</v>
      </c>
      <c r="M746">
        <f t="shared" si="72"/>
        <v>144</v>
      </c>
      <c r="N746" s="7" t="s">
        <v>961</v>
      </c>
      <c r="O746" s="40">
        <v>1</v>
      </c>
      <c r="Y746">
        <f t="shared" si="70"/>
        <v>712</v>
      </c>
    </row>
    <row r="747" spans="1:25" x14ac:dyDescent="0.25">
      <c r="A747" s="7" t="s">
        <v>971</v>
      </c>
      <c r="B747" s="40">
        <v>170</v>
      </c>
      <c r="C747">
        <f t="shared" si="68"/>
        <v>482</v>
      </c>
      <c r="D747" s="7" t="s">
        <v>966</v>
      </c>
      <c r="E747">
        <f t="shared" si="67"/>
        <v>39</v>
      </c>
      <c r="G747" s="7" t="s">
        <v>962</v>
      </c>
      <c r="H747" s="40">
        <v>8</v>
      </c>
      <c r="I747">
        <f t="shared" si="69"/>
        <v>709</v>
      </c>
      <c r="J747" s="7" t="s">
        <v>962</v>
      </c>
      <c r="K747" s="7"/>
      <c r="L747">
        <f t="shared" si="71"/>
        <v>8</v>
      </c>
      <c r="M747">
        <f t="shared" si="72"/>
        <v>144</v>
      </c>
      <c r="N747" s="7" t="s">
        <v>962</v>
      </c>
      <c r="O747" s="40">
        <v>1</v>
      </c>
      <c r="Y747">
        <f t="shared" si="70"/>
        <v>712</v>
      </c>
    </row>
    <row r="748" spans="1:25" x14ac:dyDescent="0.25">
      <c r="A748" s="7" t="s">
        <v>972</v>
      </c>
      <c r="B748" s="40">
        <v>40</v>
      </c>
      <c r="C748">
        <f t="shared" si="68"/>
        <v>554</v>
      </c>
      <c r="D748" s="7" t="s">
        <v>967</v>
      </c>
      <c r="E748">
        <f t="shared" si="67"/>
        <v>25</v>
      </c>
      <c r="G748" s="7" t="s">
        <v>963</v>
      </c>
      <c r="H748" s="40">
        <v>227</v>
      </c>
      <c r="I748">
        <f t="shared" si="69"/>
        <v>311</v>
      </c>
      <c r="J748" s="7" t="s">
        <v>963</v>
      </c>
      <c r="K748" s="7"/>
      <c r="L748">
        <f t="shared" si="71"/>
        <v>227</v>
      </c>
      <c r="M748">
        <f t="shared" si="72"/>
        <v>144</v>
      </c>
      <c r="N748" s="7" t="s">
        <v>963</v>
      </c>
      <c r="O748" s="40">
        <v>1</v>
      </c>
      <c r="Y748">
        <f t="shared" si="70"/>
        <v>712</v>
      </c>
    </row>
    <row r="749" spans="1:25" x14ac:dyDescent="0.25">
      <c r="A749" s="7" t="s">
        <v>973</v>
      </c>
      <c r="B749" s="40">
        <v>800</v>
      </c>
      <c r="C749">
        <f t="shared" si="68"/>
        <v>666</v>
      </c>
      <c r="D749" s="7" t="s">
        <v>968</v>
      </c>
      <c r="E749">
        <f t="shared" si="67"/>
        <v>8</v>
      </c>
      <c r="G749" s="7" t="s">
        <v>964</v>
      </c>
      <c r="H749" s="40">
        <v>23</v>
      </c>
      <c r="I749">
        <f t="shared" si="69"/>
        <v>640</v>
      </c>
      <c r="J749" s="7" t="s">
        <v>964</v>
      </c>
      <c r="K749" s="7"/>
      <c r="L749">
        <f t="shared" si="71"/>
        <v>23</v>
      </c>
      <c r="M749">
        <f t="shared" si="72"/>
        <v>144</v>
      </c>
      <c r="N749" s="7" t="s">
        <v>964</v>
      </c>
      <c r="O749" s="40">
        <v>1</v>
      </c>
      <c r="Y749">
        <f t="shared" si="70"/>
        <v>712</v>
      </c>
    </row>
    <row r="750" spans="1:25" x14ac:dyDescent="0.25">
      <c r="A750" s="7" t="s">
        <v>974</v>
      </c>
      <c r="B750" s="40">
        <v>300</v>
      </c>
      <c r="C750">
        <f t="shared" si="68"/>
        <v>683</v>
      </c>
      <c r="D750" s="7" t="s">
        <v>969</v>
      </c>
      <c r="E750">
        <f t="shared" si="67"/>
        <v>0</v>
      </c>
      <c r="G750" s="7" t="s">
        <v>965</v>
      </c>
      <c r="H750" s="40">
        <v>138</v>
      </c>
      <c r="I750">
        <f t="shared" si="69"/>
        <v>398</v>
      </c>
      <c r="J750" s="7" t="s">
        <v>965</v>
      </c>
      <c r="K750" s="7"/>
      <c r="L750">
        <f t="shared" si="71"/>
        <v>138</v>
      </c>
      <c r="M750">
        <f t="shared" si="72"/>
        <v>144</v>
      </c>
      <c r="N750" s="7" t="s">
        <v>965</v>
      </c>
      <c r="O750" s="40">
        <v>1</v>
      </c>
      <c r="Y750">
        <f t="shared" si="70"/>
        <v>712</v>
      </c>
    </row>
    <row r="751" spans="1:25" x14ac:dyDescent="0.25">
      <c r="A751" s="7" t="s">
        <v>975</v>
      </c>
      <c r="B751" s="40">
        <v>115</v>
      </c>
      <c r="C751">
        <f t="shared" si="68"/>
        <v>141</v>
      </c>
      <c r="D751" s="7" t="s">
        <v>970</v>
      </c>
      <c r="E751">
        <f t="shared" si="67"/>
        <v>217</v>
      </c>
      <c r="G751" s="7" t="s">
        <v>966</v>
      </c>
      <c r="H751" s="40">
        <v>240</v>
      </c>
      <c r="I751">
        <f t="shared" si="69"/>
        <v>299</v>
      </c>
      <c r="J751" s="7" t="s">
        <v>966</v>
      </c>
      <c r="K751" s="7"/>
      <c r="L751">
        <f t="shared" si="71"/>
        <v>240</v>
      </c>
      <c r="M751">
        <f t="shared" si="72"/>
        <v>144</v>
      </c>
      <c r="N751" s="7" t="s">
        <v>966</v>
      </c>
      <c r="O751" s="40">
        <v>1</v>
      </c>
      <c r="Y751">
        <f t="shared" si="70"/>
        <v>712</v>
      </c>
    </row>
    <row r="752" spans="1:25" x14ac:dyDescent="0.25">
      <c r="A752" s="7" t="s">
        <v>976</v>
      </c>
      <c r="B752" s="40">
        <v>147</v>
      </c>
      <c r="C752">
        <f t="shared" si="68"/>
        <v>176</v>
      </c>
      <c r="D752" s="7" t="s">
        <v>971</v>
      </c>
      <c r="E752">
        <f t="shared" si="67"/>
        <v>170</v>
      </c>
      <c r="G752" s="7" t="s">
        <v>967</v>
      </c>
      <c r="H752" s="40">
        <v>10</v>
      </c>
      <c r="I752">
        <f t="shared" si="69"/>
        <v>701</v>
      </c>
      <c r="J752" s="7" t="s">
        <v>967</v>
      </c>
      <c r="K752" s="7"/>
      <c r="L752">
        <f t="shared" si="71"/>
        <v>10</v>
      </c>
      <c r="M752">
        <f t="shared" si="72"/>
        <v>144</v>
      </c>
      <c r="N752" s="7" t="s">
        <v>967</v>
      </c>
      <c r="O752" s="40">
        <v>1</v>
      </c>
      <c r="Y752">
        <f t="shared" si="70"/>
        <v>712</v>
      </c>
    </row>
    <row r="753" spans="1:25" x14ac:dyDescent="0.25">
      <c r="A753" s="7" t="s">
        <v>977</v>
      </c>
      <c r="B753" s="40">
        <v>15</v>
      </c>
      <c r="C753">
        <f t="shared" si="68"/>
        <v>454</v>
      </c>
      <c r="D753" s="7" t="s">
        <v>972</v>
      </c>
      <c r="E753">
        <f t="shared" si="67"/>
        <v>40</v>
      </c>
      <c r="G753" s="7" t="s">
        <v>968</v>
      </c>
      <c r="H753" s="40">
        <v>10</v>
      </c>
      <c r="I753">
        <f t="shared" si="69"/>
        <v>701</v>
      </c>
      <c r="J753" s="7" t="s">
        <v>968</v>
      </c>
      <c r="K753" s="7"/>
      <c r="L753">
        <f t="shared" si="71"/>
        <v>10</v>
      </c>
      <c r="M753">
        <f t="shared" si="72"/>
        <v>144</v>
      </c>
      <c r="N753" s="7" t="s">
        <v>968</v>
      </c>
      <c r="O753" s="40">
        <v>1</v>
      </c>
      <c r="Y753">
        <f t="shared" si="70"/>
        <v>712</v>
      </c>
    </row>
    <row r="754" spans="1:25" x14ac:dyDescent="0.25">
      <c r="A754" s="7" t="s">
        <v>978</v>
      </c>
      <c r="B754" s="40">
        <v>15</v>
      </c>
      <c r="C754">
        <f t="shared" si="68"/>
        <v>39</v>
      </c>
      <c r="D754" s="7" t="s">
        <v>973</v>
      </c>
      <c r="E754">
        <f t="shared" si="67"/>
        <v>800</v>
      </c>
      <c r="G754" s="7" t="s">
        <v>969</v>
      </c>
      <c r="H754" s="40">
        <v>21</v>
      </c>
      <c r="I754">
        <f t="shared" si="69"/>
        <v>648</v>
      </c>
      <c r="J754" s="7" t="s">
        <v>969</v>
      </c>
      <c r="K754" s="7"/>
      <c r="L754">
        <f t="shared" si="71"/>
        <v>21</v>
      </c>
      <c r="M754">
        <f t="shared" si="72"/>
        <v>144</v>
      </c>
      <c r="N754" s="7" t="s">
        <v>969</v>
      </c>
      <c r="O754" s="40">
        <v>1</v>
      </c>
      <c r="Y754">
        <f t="shared" si="70"/>
        <v>712</v>
      </c>
    </row>
    <row r="755" spans="1:25" x14ac:dyDescent="0.25">
      <c r="A755" s="7" t="s">
        <v>979</v>
      </c>
      <c r="B755" s="40">
        <v>16</v>
      </c>
      <c r="C755">
        <f t="shared" si="68"/>
        <v>103</v>
      </c>
      <c r="D755" s="7" t="s">
        <v>974</v>
      </c>
      <c r="E755">
        <f t="shared" si="67"/>
        <v>300</v>
      </c>
      <c r="G755" s="7" t="s">
        <v>970</v>
      </c>
      <c r="H755" s="40">
        <v>893</v>
      </c>
      <c r="I755">
        <f t="shared" si="69"/>
        <v>111</v>
      </c>
      <c r="J755" s="7" t="s">
        <v>970</v>
      </c>
      <c r="K755" s="7"/>
      <c r="L755">
        <f t="shared" si="71"/>
        <v>893</v>
      </c>
      <c r="M755">
        <f t="shared" si="72"/>
        <v>28</v>
      </c>
      <c r="N755" s="7" t="s">
        <v>970</v>
      </c>
      <c r="O755" s="40">
        <v>2</v>
      </c>
      <c r="Y755">
        <f t="shared" si="70"/>
        <v>712</v>
      </c>
    </row>
    <row r="756" spans="1:25" x14ac:dyDescent="0.25">
      <c r="A756" s="7" t="s">
        <v>980</v>
      </c>
      <c r="B756" s="40">
        <v>70</v>
      </c>
      <c r="C756">
        <f t="shared" si="68"/>
        <v>245</v>
      </c>
      <c r="D756" s="7" t="s">
        <v>975</v>
      </c>
      <c r="E756">
        <f t="shared" si="67"/>
        <v>115</v>
      </c>
      <c r="G756" s="7" t="s">
        <v>971</v>
      </c>
      <c r="H756" s="40">
        <v>2</v>
      </c>
      <c r="I756">
        <f t="shared" si="69"/>
        <v>737</v>
      </c>
      <c r="J756" s="7" t="s">
        <v>971</v>
      </c>
      <c r="K756" s="7"/>
      <c r="L756">
        <f t="shared" si="71"/>
        <v>2</v>
      </c>
      <c r="M756">
        <f t="shared" si="72"/>
        <v>28</v>
      </c>
      <c r="N756" s="7" t="s">
        <v>971</v>
      </c>
      <c r="O756" s="40">
        <v>2</v>
      </c>
      <c r="Y756">
        <f t="shared" si="70"/>
        <v>712</v>
      </c>
    </row>
    <row r="757" spans="1:25" x14ac:dyDescent="0.25">
      <c r="A757" s="7" t="s">
        <v>981</v>
      </c>
      <c r="B757" s="40">
        <v>101</v>
      </c>
      <c r="C757">
        <f t="shared" si="68"/>
        <v>206</v>
      </c>
      <c r="D757" s="7" t="s">
        <v>976</v>
      </c>
      <c r="E757">
        <f t="shared" si="67"/>
        <v>147</v>
      </c>
      <c r="G757" s="7" t="s">
        <v>972</v>
      </c>
      <c r="H757" s="40">
        <v>11</v>
      </c>
      <c r="I757">
        <f t="shared" si="69"/>
        <v>695</v>
      </c>
      <c r="J757" s="7" t="s">
        <v>972</v>
      </c>
      <c r="K757" s="7"/>
      <c r="L757">
        <f t="shared" si="71"/>
        <v>11</v>
      </c>
      <c r="M757">
        <f t="shared" si="72"/>
        <v>144</v>
      </c>
      <c r="N757" s="7" t="s">
        <v>972</v>
      </c>
      <c r="O757" s="40">
        <v>1</v>
      </c>
      <c r="Y757">
        <f t="shared" si="70"/>
        <v>712</v>
      </c>
    </row>
    <row r="758" spans="1:25" x14ac:dyDescent="0.25">
      <c r="A758" s="7" t="s">
        <v>982</v>
      </c>
      <c r="B758" s="40">
        <v>180</v>
      </c>
      <c r="C758">
        <f t="shared" si="68"/>
        <v>622</v>
      </c>
      <c r="D758" s="7" t="s">
        <v>977</v>
      </c>
      <c r="E758">
        <f t="shared" si="67"/>
        <v>15</v>
      </c>
      <c r="G758" s="7" t="s">
        <v>973</v>
      </c>
      <c r="H758" s="40">
        <v>7400</v>
      </c>
      <c r="I758">
        <f t="shared" si="69"/>
        <v>18</v>
      </c>
      <c r="J758" s="7" t="s">
        <v>973</v>
      </c>
      <c r="K758" s="7"/>
      <c r="L758">
        <f t="shared" si="71"/>
        <v>7400</v>
      </c>
      <c r="M758">
        <f t="shared" si="72"/>
        <v>28</v>
      </c>
      <c r="N758" s="7" t="s">
        <v>973</v>
      </c>
      <c r="O758" s="40">
        <v>2</v>
      </c>
      <c r="Y758">
        <f t="shared" si="70"/>
        <v>712</v>
      </c>
    </row>
    <row r="759" spans="1:25" x14ac:dyDescent="0.25">
      <c r="A759" s="7" t="s">
        <v>983</v>
      </c>
      <c r="B759" s="40">
        <v>12</v>
      </c>
      <c r="C759">
        <f t="shared" si="68"/>
        <v>622</v>
      </c>
      <c r="D759" s="7" t="s">
        <v>978</v>
      </c>
      <c r="E759">
        <f t="shared" si="67"/>
        <v>15</v>
      </c>
      <c r="G759" s="7" t="s">
        <v>974</v>
      </c>
      <c r="H759" s="40">
        <v>521</v>
      </c>
      <c r="I759">
        <f t="shared" si="69"/>
        <v>173</v>
      </c>
      <c r="J759" s="7" t="s">
        <v>974</v>
      </c>
      <c r="K759" s="7"/>
      <c r="L759">
        <f t="shared" si="71"/>
        <v>521</v>
      </c>
      <c r="M759">
        <f t="shared" si="72"/>
        <v>144</v>
      </c>
      <c r="N759" s="7" t="s">
        <v>974</v>
      </c>
      <c r="O759" s="40">
        <v>1</v>
      </c>
      <c r="Y759">
        <f t="shared" si="70"/>
        <v>712</v>
      </c>
    </row>
    <row r="760" spans="1:25" x14ac:dyDescent="0.25">
      <c r="A760" s="7" t="s">
        <v>984</v>
      </c>
      <c r="B760" s="40">
        <v>50</v>
      </c>
      <c r="C760">
        <f t="shared" si="68"/>
        <v>617</v>
      </c>
      <c r="D760" s="7" t="s">
        <v>979</v>
      </c>
      <c r="E760">
        <f t="shared" si="67"/>
        <v>16</v>
      </c>
      <c r="G760" s="7" t="s">
        <v>975</v>
      </c>
      <c r="H760" s="40">
        <v>654</v>
      </c>
      <c r="I760">
        <f t="shared" si="69"/>
        <v>146</v>
      </c>
      <c r="J760" s="7" t="s">
        <v>975</v>
      </c>
      <c r="K760" s="7"/>
      <c r="L760">
        <f t="shared" si="71"/>
        <v>654</v>
      </c>
      <c r="M760">
        <f t="shared" si="72"/>
        <v>144</v>
      </c>
      <c r="N760" s="7" t="s">
        <v>975</v>
      </c>
      <c r="O760" s="40">
        <v>1</v>
      </c>
      <c r="Y760">
        <f t="shared" si="70"/>
        <v>712</v>
      </c>
    </row>
    <row r="761" spans="1:25" x14ac:dyDescent="0.25">
      <c r="A761" s="7" t="s">
        <v>985</v>
      </c>
      <c r="B761" s="40">
        <v>40</v>
      </c>
      <c r="C761">
        <f t="shared" si="68"/>
        <v>350</v>
      </c>
      <c r="D761" s="7" t="s">
        <v>980</v>
      </c>
      <c r="E761">
        <f t="shared" si="67"/>
        <v>70</v>
      </c>
      <c r="G761" s="7" t="s">
        <v>976</v>
      </c>
      <c r="H761" s="40">
        <v>1120</v>
      </c>
      <c r="I761">
        <f t="shared" si="69"/>
        <v>93</v>
      </c>
      <c r="J761" s="7" t="s">
        <v>976</v>
      </c>
      <c r="K761" s="7"/>
      <c r="L761">
        <f t="shared" si="71"/>
        <v>1120</v>
      </c>
      <c r="M761">
        <f t="shared" si="72"/>
        <v>28</v>
      </c>
      <c r="N761" s="7" t="s">
        <v>976</v>
      </c>
      <c r="O761" s="40">
        <v>2</v>
      </c>
      <c r="Y761">
        <f t="shared" si="70"/>
        <v>712</v>
      </c>
    </row>
    <row r="762" spans="1:25" x14ac:dyDescent="0.25">
      <c r="A762" s="7" t="s">
        <v>986</v>
      </c>
      <c r="B762" s="40">
        <v>1100</v>
      </c>
      <c r="C762">
        <f t="shared" si="68"/>
        <v>253</v>
      </c>
      <c r="D762" s="7" t="s">
        <v>981</v>
      </c>
      <c r="E762">
        <f t="shared" si="67"/>
        <v>101</v>
      </c>
      <c r="G762" s="7" t="s">
        <v>977</v>
      </c>
      <c r="H762" s="40">
        <v>40</v>
      </c>
      <c r="I762">
        <f t="shared" si="69"/>
        <v>587</v>
      </c>
      <c r="J762" s="7" t="s">
        <v>977</v>
      </c>
      <c r="K762" s="7"/>
      <c r="L762">
        <f t="shared" si="71"/>
        <v>40</v>
      </c>
      <c r="M762">
        <f t="shared" si="72"/>
        <v>144</v>
      </c>
      <c r="N762" s="7" t="s">
        <v>977</v>
      </c>
      <c r="O762" s="40">
        <v>1</v>
      </c>
      <c r="Y762">
        <f t="shared" si="70"/>
        <v>712</v>
      </c>
    </row>
    <row r="763" spans="1:25" x14ac:dyDescent="0.25">
      <c r="A763" s="7" t="s">
        <v>987</v>
      </c>
      <c r="B763" s="40">
        <v>400</v>
      </c>
      <c r="C763">
        <f t="shared" si="68"/>
        <v>169</v>
      </c>
      <c r="D763" s="7" t="s">
        <v>982</v>
      </c>
      <c r="E763">
        <f t="shared" si="67"/>
        <v>180</v>
      </c>
      <c r="G763" s="7" t="s">
        <v>978</v>
      </c>
      <c r="H763" s="40">
        <v>556</v>
      </c>
      <c r="I763">
        <f t="shared" si="69"/>
        <v>162</v>
      </c>
      <c r="J763" s="7" t="s">
        <v>978</v>
      </c>
      <c r="K763" s="7"/>
      <c r="L763">
        <f t="shared" si="71"/>
        <v>556</v>
      </c>
      <c r="M763">
        <f t="shared" si="72"/>
        <v>28</v>
      </c>
      <c r="N763" s="7" t="s">
        <v>978</v>
      </c>
      <c r="O763" s="40">
        <v>2</v>
      </c>
      <c r="Y763">
        <f t="shared" si="70"/>
        <v>712</v>
      </c>
    </row>
    <row r="764" spans="1:25" x14ac:dyDescent="0.25">
      <c r="A764" s="7" t="s">
        <v>988</v>
      </c>
      <c r="B764" s="40">
        <v>23</v>
      </c>
      <c r="C764">
        <f t="shared" si="68"/>
        <v>640</v>
      </c>
      <c r="D764" s="7" t="s">
        <v>983</v>
      </c>
      <c r="E764">
        <f t="shared" si="67"/>
        <v>12</v>
      </c>
      <c r="G764" s="7" t="s">
        <v>979</v>
      </c>
      <c r="H764" s="40">
        <v>0</v>
      </c>
      <c r="I764">
        <f t="shared" si="69"/>
        <v>754</v>
      </c>
      <c r="J764" s="7" t="s">
        <v>979</v>
      </c>
      <c r="K764" s="7"/>
      <c r="L764">
        <f t="shared" si="71"/>
        <v>0</v>
      </c>
      <c r="M764">
        <f t="shared" si="72"/>
        <v>144</v>
      </c>
      <c r="N764" s="7" t="s">
        <v>979</v>
      </c>
      <c r="O764" s="40">
        <v>1</v>
      </c>
      <c r="Y764">
        <f t="shared" si="70"/>
        <v>712</v>
      </c>
    </row>
    <row r="765" spans="1:25" x14ac:dyDescent="0.25">
      <c r="A765" s="7" t="s">
        <v>989</v>
      </c>
      <c r="B765" s="40">
        <v>90</v>
      </c>
      <c r="C765">
        <f t="shared" si="68"/>
        <v>410</v>
      </c>
      <c r="D765" s="7" t="s">
        <v>984</v>
      </c>
      <c r="E765">
        <f t="shared" si="67"/>
        <v>50</v>
      </c>
      <c r="G765" s="7" t="s">
        <v>980</v>
      </c>
      <c r="H765" s="40">
        <v>180</v>
      </c>
      <c r="I765">
        <f t="shared" si="69"/>
        <v>356</v>
      </c>
      <c r="J765" s="7" t="s">
        <v>980</v>
      </c>
      <c r="K765" s="7"/>
      <c r="L765">
        <f t="shared" si="71"/>
        <v>180</v>
      </c>
      <c r="M765">
        <f t="shared" si="72"/>
        <v>144</v>
      </c>
      <c r="N765" s="7" t="s">
        <v>980</v>
      </c>
      <c r="O765" s="40">
        <v>1</v>
      </c>
      <c r="Y765">
        <f t="shared" si="70"/>
        <v>712</v>
      </c>
    </row>
    <row r="766" spans="1:25" x14ac:dyDescent="0.25">
      <c r="A766" s="7" t="s">
        <v>991</v>
      </c>
      <c r="B766" s="40">
        <v>0</v>
      </c>
      <c r="C766">
        <f t="shared" si="68"/>
        <v>454</v>
      </c>
      <c r="D766" s="7" t="s">
        <v>985</v>
      </c>
      <c r="E766">
        <f t="shared" si="67"/>
        <v>40</v>
      </c>
      <c r="G766" s="7" t="s">
        <v>981</v>
      </c>
      <c r="H766" s="40">
        <v>564</v>
      </c>
      <c r="I766">
        <f t="shared" si="69"/>
        <v>159</v>
      </c>
      <c r="J766" s="7" t="s">
        <v>981</v>
      </c>
      <c r="K766" s="7"/>
      <c r="L766">
        <f t="shared" si="71"/>
        <v>564</v>
      </c>
      <c r="M766">
        <f t="shared" si="72"/>
        <v>28</v>
      </c>
      <c r="N766" s="7" t="s">
        <v>981</v>
      </c>
      <c r="O766" s="40">
        <v>2</v>
      </c>
      <c r="Y766">
        <f t="shared" si="70"/>
        <v>712</v>
      </c>
    </row>
    <row r="767" spans="1:25" x14ac:dyDescent="0.25">
      <c r="A767" s="7" t="s">
        <v>992</v>
      </c>
      <c r="B767" s="40">
        <v>70</v>
      </c>
      <c r="C767">
        <f t="shared" si="68"/>
        <v>26</v>
      </c>
      <c r="D767" s="7" t="s">
        <v>986</v>
      </c>
      <c r="E767">
        <f t="shared" si="67"/>
        <v>1100</v>
      </c>
      <c r="G767" s="7" t="s">
        <v>982</v>
      </c>
      <c r="H767" s="40">
        <v>706</v>
      </c>
      <c r="I767">
        <f t="shared" si="69"/>
        <v>137</v>
      </c>
      <c r="J767" s="7" t="s">
        <v>982</v>
      </c>
      <c r="K767" s="7"/>
      <c r="L767">
        <f t="shared" si="71"/>
        <v>706</v>
      </c>
      <c r="M767">
        <f t="shared" si="72"/>
        <v>144</v>
      </c>
      <c r="N767" s="7" t="s">
        <v>982</v>
      </c>
      <c r="O767" s="40">
        <v>1</v>
      </c>
      <c r="Y767">
        <f t="shared" si="70"/>
        <v>712</v>
      </c>
    </row>
    <row r="768" spans="1:25" x14ac:dyDescent="0.25">
      <c r="A768" s="7" t="s">
        <v>993</v>
      </c>
      <c r="B768" s="40">
        <v>36</v>
      </c>
      <c r="C768">
        <f t="shared" si="68"/>
        <v>83</v>
      </c>
      <c r="D768" s="7" t="s">
        <v>987</v>
      </c>
      <c r="E768">
        <f t="shared" si="67"/>
        <v>400</v>
      </c>
      <c r="G768" s="7" t="s">
        <v>983</v>
      </c>
      <c r="H768" s="40">
        <v>19</v>
      </c>
      <c r="I768">
        <f t="shared" si="69"/>
        <v>659</v>
      </c>
      <c r="J768" s="7" t="s">
        <v>983</v>
      </c>
      <c r="K768" s="7"/>
      <c r="L768">
        <f t="shared" si="71"/>
        <v>19</v>
      </c>
      <c r="M768">
        <f t="shared" si="72"/>
        <v>144</v>
      </c>
      <c r="N768" s="7" t="s">
        <v>983</v>
      </c>
      <c r="O768" s="40">
        <v>1</v>
      </c>
      <c r="Y768">
        <f t="shared" si="70"/>
        <v>712</v>
      </c>
    </row>
    <row r="769" spans="1:25" x14ac:dyDescent="0.25">
      <c r="A769" s="7" t="s">
        <v>994</v>
      </c>
      <c r="B769" s="40">
        <v>40</v>
      </c>
      <c r="C769">
        <f t="shared" si="68"/>
        <v>570</v>
      </c>
      <c r="D769" s="7" t="s">
        <v>988</v>
      </c>
      <c r="E769">
        <f t="shared" si="67"/>
        <v>23</v>
      </c>
      <c r="G769" s="7" t="s">
        <v>984</v>
      </c>
      <c r="H769" s="40">
        <v>53</v>
      </c>
      <c r="I769">
        <f t="shared" si="69"/>
        <v>550</v>
      </c>
      <c r="J769" s="7" t="s">
        <v>984</v>
      </c>
      <c r="K769" s="7"/>
      <c r="L769">
        <f t="shared" si="71"/>
        <v>53</v>
      </c>
      <c r="M769">
        <f t="shared" si="72"/>
        <v>144</v>
      </c>
      <c r="N769" s="7" t="s">
        <v>984</v>
      </c>
      <c r="O769" s="40">
        <v>1</v>
      </c>
      <c r="Y769">
        <f t="shared" si="70"/>
        <v>712</v>
      </c>
    </row>
    <row r="770" spans="1:25" x14ac:dyDescent="0.25">
      <c r="A770" s="7" t="s">
        <v>995</v>
      </c>
      <c r="B770" s="40">
        <v>300</v>
      </c>
      <c r="C770">
        <f t="shared" si="68"/>
        <v>298</v>
      </c>
      <c r="D770" s="7" t="s">
        <v>989</v>
      </c>
      <c r="E770">
        <f t="shared" si="67"/>
        <v>90</v>
      </c>
      <c r="G770" s="7" t="s">
        <v>985</v>
      </c>
      <c r="H770" s="40">
        <v>44</v>
      </c>
      <c r="I770">
        <f t="shared" si="69"/>
        <v>574</v>
      </c>
      <c r="J770" s="7" t="s">
        <v>985</v>
      </c>
      <c r="K770" s="7"/>
      <c r="L770">
        <f t="shared" si="71"/>
        <v>44</v>
      </c>
      <c r="M770">
        <f t="shared" si="72"/>
        <v>144</v>
      </c>
      <c r="N770" s="7" t="s">
        <v>985</v>
      </c>
      <c r="O770" s="40">
        <v>1</v>
      </c>
      <c r="Y770">
        <f t="shared" si="70"/>
        <v>712</v>
      </c>
    </row>
    <row r="771" spans="1:25" x14ac:dyDescent="0.25">
      <c r="A771" s="7" t="s">
        <v>996</v>
      </c>
      <c r="B771" s="40">
        <v>13</v>
      </c>
      <c r="C771">
        <f t="shared" si="68"/>
        <v>683</v>
      </c>
      <c r="D771" s="7" t="s">
        <v>991</v>
      </c>
      <c r="E771">
        <f t="shared" si="67"/>
        <v>0</v>
      </c>
      <c r="G771" s="7" t="s">
        <v>986</v>
      </c>
      <c r="H771" s="40">
        <v>134</v>
      </c>
      <c r="I771">
        <f t="shared" si="69"/>
        <v>402</v>
      </c>
      <c r="J771" s="7" t="s">
        <v>986</v>
      </c>
      <c r="K771" s="7"/>
      <c r="L771">
        <f t="shared" si="71"/>
        <v>134</v>
      </c>
      <c r="M771">
        <f t="shared" si="72"/>
        <v>144</v>
      </c>
      <c r="N771" s="7" t="s">
        <v>986</v>
      </c>
      <c r="O771" s="40">
        <v>1</v>
      </c>
      <c r="Y771">
        <f t="shared" si="70"/>
        <v>712</v>
      </c>
    </row>
    <row r="772" spans="1:25" x14ac:dyDescent="0.25">
      <c r="A772" s="7" t="s">
        <v>997</v>
      </c>
      <c r="B772" s="40">
        <v>1300</v>
      </c>
      <c r="C772">
        <f t="shared" si="68"/>
        <v>350</v>
      </c>
      <c r="D772" s="7" t="s">
        <v>992</v>
      </c>
      <c r="E772">
        <f t="shared" si="67"/>
        <v>70</v>
      </c>
      <c r="G772" s="7" t="s">
        <v>987</v>
      </c>
      <c r="H772" s="40">
        <v>1136</v>
      </c>
      <c r="I772">
        <f t="shared" si="69"/>
        <v>92</v>
      </c>
      <c r="J772" s="7" t="s">
        <v>987</v>
      </c>
      <c r="K772" s="7"/>
      <c r="L772">
        <f t="shared" si="71"/>
        <v>1136</v>
      </c>
      <c r="M772">
        <f t="shared" si="72"/>
        <v>28</v>
      </c>
      <c r="N772" s="7" t="s">
        <v>987</v>
      </c>
      <c r="O772" s="40">
        <v>2</v>
      </c>
      <c r="Y772">
        <f t="shared" si="70"/>
        <v>712</v>
      </c>
    </row>
    <row r="773" spans="1:25" x14ac:dyDescent="0.25">
      <c r="A773" s="7" t="s">
        <v>998</v>
      </c>
      <c r="B773" s="40">
        <v>84</v>
      </c>
      <c r="C773">
        <f t="shared" si="68"/>
        <v>490</v>
      </c>
      <c r="D773" s="7" t="s">
        <v>993</v>
      </c>
      <c r="E773">
        <f t="shared" si="67"/>
        <v>36</v>
      </c>
      <c r="G773" s="7" t="s">
        <v>988</v>
      </c>
      <c r="H773" s="40">
        <v>91</v>
      </c>
      <c r="I773">
        <f t="shared" si="69"/>
        <v>468</v>
      </c>
      <c r="J773" s="7" t="s">
        <v>988</v>
      </c>
      <c r="K773" s="7"/>
      <c r="L773">
        <f t="shared" si="71"/>
        <v>91</v>
      </c>
      <c r="M773">
        <f t="shared" si="72"/>
        <v>144</v>
      </c>
      <c r="N773" s="7" t="s">
        <v>988</v>
      </c>
      <c r="O773" s="40">
        <v>1</v>
      </c>
      <c r="Y773">
        <f t="shared" si="70"/>
        <v>712</v>
      </c>
    </row>
    <row r="774" spans="1:25" x14ac:dyDescent="0.25">
      <c r="A774" s="7" t="s">
        <v>999</v>
      </c>
      <c r="B774" s="40">
        <v>110</v>
      </c>
      <c r="C774">
        <f t="shared" si="68"/>
        <v>454</v>
      </c>
      <c r="D774" s="7" t="s">
        <v>994</v>
      </c>
      <c r="E774">
        <f t="shared" si="67"/>
        <v>40</v>
      </c>
      <c r="G774" s="7" t="s">
        <v>989</v>
      </c>
      <c r="H774" s="40">
        <v>38</v>
      </c>
      <c r="I774">
        <f t="shared" si="69"/>
        <v>595</v>
      </c>
      <c r="J774" s="7" t="s">
        <v>989</v>
      </c>
      <c r="K774" s="7"/>
      <c r="L774">
        <f t="shared" si="71"/>
        <v>38</v>
      </c>
      <c r="M774">
        <f t="shared" si="72"/>
        <v>144</v>
      </c>
      <c r="N774" s="7" t="s">
        <v>989</v>
      </c>
      <c r="O774" s="40">
        <v>1</v>
      </c>
      <c r="Y774">
        <f t="shared" si="70"/>
        <v>712</v>
      </c>
    </row>
    <row r="775" spans="1:25" x14ac:dyDescent="0.25">
      <c r="A775" s="7" t="s">
        <v>1001</v>
      </c>
      <c r="B775" s="40">
        <v>0</v>
      </c>
      <c r="C775">
        <f t="shared" si="68"/>
        <v>103</v>
      </c>
      <c r="D775" s="7" t="s">
        <v>995</v>
      </c>
      <c r="E775">
        <f t="shared" si="67"/>
        <v>300</v>
      </c>
      <c r="G775" s="7" t="s">
        <v>991</v>
      </c>
      <c r="H775" s="40">
        <v>1</v>
      </c>
      <c r="I775">
        <f t="shared" si="69"/>
        <v>747</v>
      </c>
      <c r="J775" s="7" t="s">
        <v>991</v>
      </c>
      <c r="K775" s="7"/>
      <c r="L775">
        <f t="shared" si="71"/>
        <v>1</v>
      </c>
      <c r="M775">
        <f t="shared" si="72"/>
        <v>144</v>
      </c>
      <c r="N775" s="7" t="s">
        <v>991</v>
      </c>
      <c r="O775" s="40">
        <v>1</v>
      </c>
      <c r="Y775">
        <f t="shared" si="70"/>
        <v>712</v>
      </c>
    </row>
    <row r="776" spans="1:25" x14ac:dyDescent="0.25">
      <c r="A776" s="7" t="s">
        <v>1002</v>
      </c>
      <c r="B776" s="40">
        <v>50</v>
      </c>
      <c r="C776">
        <f t="shared" si="68"/>
        <v>634</v>
      </c>
      <c r="D776" s="7" t="s">
        <v>996</v>
      </c>
      <c r="E776">
        <f t="shared" si="67"/>
        <v>13</v>
      </c>
      <c r="G776" s="7" t="s">
        <v>992</v>
      </c>
      <c r="H776" s="40">
        <v>183</v>
      </c>
      <c r="I776">
        <f t="shared" si="69"/>
        <v>351</v>
      </c>
      <c r="J776" s="7" t="s">
        <v>992</v>
      </c>
      <c r="K776" s="7"/>
      <c r="L776">
        <f t="shared" si="71"/>
        <v>183</v>
      </c>
      <c r="M776">
        <f t="shared" si="72"/>
        <v>144</v>
      </c>
      <c r="N776" s="7" t="s">
        <v>992</v>
      </c>
      <c r="O776" s="40">
        <v>1</v>
      </c>
      <c r="Y776">
        <f t="shared" si="70"/>
        <v>712</v>
      </c>
    </row>
    <row r="777" spans="1:25" x14ac:dyDescent="0.25">
      <c r="A777" s="7" t="s">
        <v>1003</v>
      </c>
      <c r="B777" s="40">
        <v>335</v>
      </c>
      <c r="C777">
        <f t="shared" si="68"/>
        <v>21</v>
      </c>
      <c r="D777" s="7" t="s">
        <v>997</v>
      </c>
      <c r="E777">
        <f t="shared" ref="E777:E831" si="73">VLOOKUP(D:D,A772:B1596,2,0)</f>
        <v>1300</v>
      </c>
      <c r="G777" s="7" t="s">
        <v>993</v>
      </c>
      <c r="H777" s="40">
        <v>188</v>
      </c>
      <c r="I777">
        <f t="shared" si="69"/>
        <v>347</v>
      </c>
      <c r="J777" s="7" t="s">
        <v>993</v>
      </c>
      <c r="K777" s="7"/>
      <c r="L777">
        <f t="shared" si="71"/>
        <v>188</v>
      </c>
      <c r="M777">
        <f t="shared" si="72"/>
        <v>144</v>
      </c>
      <c r="N777" s="7" t="s">
        <v>993</v>
      </c>
      <c r="O777" s="40">
        <v>1</v>
      </c>
      <c r="Y777">
        <f t="shared" si="70"/>
        <v>712</v>
      </c>
    </row>
    <row r="778" spans="1:25" x14ac:dyDescent="0.25">
      <c r="A778" s="7" t="s">
        <v>1004</v>
      </c>
      <c r="B778" s="40">
        <v>29</v>
      </c>
      <c r="C778">
        <f t="shared" ref="C778:C831" si="74">RANK(E:E,E:E)</f>
        <v>316</v>
      </c>
      <c r="D778" s="7" t="s">
        <v>998</v>
      </c>
      <c r="E778">
        <f t="shared" si="73"/>
        <v>84</v>
      </c>
      <c r="G778" s="7" t="s">
        <v>994</v>
      </c>
      <c r="H778" s="40">
        <v>34</v>
      </c>
      <c r="I778">
        <f t="shared" si="69"/>
        <v>603</v>
      </c>
      <c r="J778" s="7" t="s">
        <v>994</v>
      </c>
      <c r="K778" s="7"/>
      <c r="L778">
        <f t="shared" si="71"/>
        <v>34</v>
      </c>
      <c r="M778">
        <f t="shared" si="72"/>
        <v>144</v>
      </c>
      <c r="N778" s="7" t="s">
        <v>994</v>
      </c>
      <c r="O778" s="40">
        <v>1</v>
      </c>
      <c r="Y778">
        <f t="shared" si="70"/>
        <v>712</v>
      </c>
    </row>
    <row r="779" spans="1:25" x14ac:dyDescent="0.25">
      <c r="A779" s="7" t="s">
        <v>1005</v>
      </c>
      <c r="B779" s="40">
        <v>30</v>
      </c>
      <c r="C779">
        <f t="shared" si="74"/>
        <v>248</v>
      </c>
      <c r="D779" s="7" t="s">
        <v>999</v>
      </c>
      <c r="E779">
        <f t="shared" si="73"/>
        <v>110</v>
      </c>
      <c r="G779" s="7" t="s">
        <v>995</v>
      </c>
      <c r="H779" s="40">
        <v>1900</v>
      </c>
      <c r="I779">
        <f t="shared" si="69"/>
        <v>55</v>
      </c>
      <c r="J779" s="7" t="s">
        <v>995</v>
      </c>
      <c r="K779" s="7"/>
      <c r="L779">
        <f t="shared" si="71"/>
        <v>1900</v>
      </c>
      <c r="M779">
        <f t="shared" si="72"/>
        <v>144</v>
      </c>
      <c r="N779" s="7" t="s">
        <v>995</v>
      </c>
      <c r="O779" s="40">
        <v>1</v>
      </c>
      <c r="Y779">
        <f t="shared" si="70"/>
        <v>712</v>
      </c>
    </row>
    <row r="780" spans="1:25" x14ac:dyDescent="0.25">
      <c r="A780" s="7" t="s">
        <v>1006</v>
      </c>
      <c r="B780" s="40">
        <v>45</v>
      </c>
      <c r="C780">
        <f t="shared" si="74"/>
        <v>683</v>
      </c>
      <c r="D780" s="7" t="s">
        <v>1001</v>
      </c>
      <c r="E780">
        <f t="shared" si="73"/>
        <v>0</v>
      </c>
      <c r="G780" s="7" t="s">
        <v>996</v>
      </c>
      <c r="H780" s="40">
        <v>94</v>
      </c>
      <c r="I780">
        <f t="shared" si="69"/>
        <v>463</v>
      </c>
      <c r="J780" s="7" t="s">
        <v>996</v>
      </c>
      <c r="K780" s="7"/>
      <c r="L780">
        <f t="shared" si="71"/>
        <v>94</v>
      </c>
      <c r="M780">
        <f t="shared" si="72"/>
        <v>144</v>
      </c>
      <c r="N780" s="7" t="s">
        <v>996</v>
      </c>
      <c r="O780" s="40">
        <v>1</v>
      </c>
      <c r="Y780">
        <f t="shared" si="70"/>
        <v>712</v>
      </c>
    </row>
    <row r="781" spans="1:25" x14ac:dyDescent="0.25">
      <c r="A781" s="7" t="s">
        <v>1009</v>
      </c>
      <c r="B781" s="40">
        <v>0</v>
      </c>
      <c r="C781">
        <f t="shared" si="74"/>
        <v>410</v>
      </c>
      <c r="D781" s="7" t="s">
        <v>1002</v>
      </c>
      <c r="E781">
        <f t="shared" si="73"/>
        <v>50</v>
      </c>
      <c r="G781" s="7" t="s">
        <v>997</v>
      </c>
      <c r="H781" s="40">
        <v>0</v>
      </c>
      <c r="I781">
        <f t="shared" ref="I781:I834" si="75">RANK(L:L,L:L)</f>
        <v>754</v>
      </c>
      <c r="J781" s="7" t="s">
        <v>997</v>
      </c>
      <c r="K781" s="7"/>
      <c r="L781">
        <f t="shared" si="71"/>
        <v>0</v>
      </c>
      <c r="M781">
        <f t="shared" si="72"/>
        <v>144</v>
      </c>
      <c r="N781" s="7" t="s">
        <v>997</v>
      </c>
      <c r="O781" s="40">
        <v>1</v>
      </c>
      <c r="Y781">
        <f t="shared" ref="Y781:Y835" si="76">RANK(AA:AA,AA:AA)</f>
        <v>712</v>
      </c>
    </row>
    <row r="782" spans="1:25" x14ac:dyDescent="0.25">
      <c r="A782" s="7" t="s">
        <v>1010</v>
      </c>
      <c r="B782" s="40">
        <v>140</v>
      </c>
      <c r="C782">
        <f t="shared" si="74"/>
        <v>97</v>
      </c>
      <c r="D782" s="7" t="s">
        <v>1003</v>
      </c>
      <c r="E782">
        <f t="shared" si="73"/>
        <v>335</v>
      </c>
      <c r="G782" s="7" t="s">
        <v>998</v>
      </c>
      <c r="H782" s="40">
        <v>170</v>
      </c>
      <c r="I782">
        <f t="shared" si="75"/>
        <v>362</v>
      </c>
      <c r="J782" s="7" t="s">
        <v>998</v>
      </c>
      <c r="K782" s="7"/>
      <c r="L782">
        <f t="shared" ref="L782:L835" si="77">VLOOKUP(G782,G781:H1604,2,0)</f>
        <v>170</v>
      </c>
      <c r="M782">
        <f t="shared" ref="M782:M835" si="78">RANK(O:O,O:O)</f>
        <v>28</v>
      </c>
      <c r="N782" s="7" t="s">
        <v>998</v>
      </c>
      <c r="O782" s="40">
        <v>2</v>
      </c>
      <c r="Y782">
        <f t="shared" si="76"/>
        <v>712</v>
      </c>
    </row>
    <row r="783" spans="1:25" x14ac:dyDescent="0.25">
      <c r="A783" s="7" t="s">
        <v>1011</v>
      </c>
      <c r="B783" s="40">
        <v>80</v>
      </c>
      <c r="C783">
        <f t="shared" si="74"/>
        <v>541</v>
      </c>
      <c r="D783" s="7" t="s">
        <v>1004</v>
      </c>
      <c r="E783">
        <f t="shared" si="73"/>
        <v>29</v>
      </c>
      <c r="G783" s="7" t="s">
        <v>999</v>
      </c>
      <c r="H783" s="40">
        <v>347</v>
      </c>
      <c r="I783">
        <f t="shared" si="75"/>
        <v>234</v>
      </c>
      <c r="J783" s="7" t="s">
        <v>999</v>
      </c>
      <c r="K783" s="7"/>
      <c r="L783">
        <f t="shared" si="77"/>
        <v>347</v>
      </c>
      <c r="M783">
        <f t="shared" si="78"/>
        <v>144</v>
      </c>
      <c r="N783" s="7" t="s">
        <v>999</v>
      </c>
      <c r="O783" s="40">
        <v>1</v>
      </c>
      <c r="Y783">
        <f t="shared" si="76"/>
        <v>712</v>
      </c>
    </row>
    <row r="784" spans="1:25" x14ac:dyDescent="0.25">
      <c r="A784" s="7" t="s">
        <v>1012</v>
      </c>
      <c r="B784" s="40">
        <v>147</v>
      </c>
      <c r="C784">
        <f t="shared" si="74"/>
        <v>512</v>
      </c>
      <c r="D784" s="7" t="s">
        <v>1005</v>
      </c>
      <c r="E784">
        <f t="shared" si="73"/>
        <v>30</v>
      </c>
      <c r="G784" s="7" t="s">
        <v>1001</v>
      </c>
      <c r="H784" s="40">
        <v>40</v>
      </c>
      <c r="I784">
        <f t="shared" si="75"/>
        <v>587</v>
      </c>
      <c r="J784" s="7" t="s">
        <v>1001</v>
      </c>
      <c r="K784" s="7"/>
      <c r="L784">
        <f t="shared" si="77"/>
        <v>40</v>
      </c>
      <c r="M784">
        <f t="shared" si="78"/>
        <v>144</v>
      </c>
      <c r="N784" s="7" t="s">
        <v>1001</v>
      </c>
      <c r="O784" s="40">
        <v>1</v>
      </c>
      <c r="Y784">
        <f t="shared" si="76"/>
        <v>712</v>
      </c>
    </row>
    <row r="785" spans="1:25" x14ac:dyDescent="0.25">
      <c r="A785" s="7" t="s">
        <v>1013</v>
      </c>
      <c r="B785" s="40">
        <v>27</v>
      </c>
      <c r="C785">
        <f t="shared" si="74"/>
        <v>441</v>
      </c>
      <c r="D785" s="7" t="s">
        <v>1006</v>
      </c>
      <c r="E785">
        <f t="shared" si="73"/>
        <v>45</v>
      </c>
      <c r="G785" s="7" t="s">
        <v>1002</v>
      </c>
      <c r="H785" s="40">
        <v>52</v>
      </c>
      <c r="I785">
        <f t="shared" si="75"/>
        <v>551</v>
      </c>
      <c r="J785" s="7" t="s">
        <v>1002</v>
      </c>
      <c r="K785" s="7"/>
      <c r="L785">
        <f t="shared" si="77"/>
        <v>52</v>
      </c>
      <c r="M785">
        <f t="shared" si="78"/>
        <v>144</v>
      </c>
      <c r="N785" s="7" t="s">
        <v>1002</v>
      </c>
      <c r="O785" s="40">
        <v>1</v>
      </c>
      <c r="Y785">
        <f t="shared" si="76"/>
        <v>712</v>
      </c>
    </row>
    <row r="786" spans="1:25" x14ac:dyDescent="0.25">
      <c r="A786" s="7" t="s">
        <v>1014</v>
      </c>
      <c r="B786" s="40">
        <v>23</v>
      </c>
      <c r="C786">
        <f t="shared" si="74"/>
        <v>683</v>
      </c>
      <c r="D786" s="7" t="s">
        <v>1009</v>
      </c>
      <c r="E786">
        <f t="shared" si="73"/>
        <v>0</v>
      </c>
      <c r="G786" s="7" t="s">
        <v>1003</v>
      </c>
      <c r="H786" s="40">
        <v>1178</v>
      </c>
      <c r="I786">
        <f t="shared" si="75"/>
        <v>91</v>
      </c>
      <c r="J786" s="7" t="s">
        <v>1003</v>
      </c>
      <c r="K786" s="7"/>
      <c r="L786">
        <f t="shared" si="77"/>
        <v>1178</v>
      </c>
      <c r="M786">
        <f t="shared" si="78"/>
        <v>3</v>
      </c>
      <c r="N786" s="7" t="s">
        <v>1003</v>
      </c>
      <c r="O786" s="40">
        <v>4</v>
      </c>
      <c r="Y786">
        <f t="shared" si="76"/>
        <v>712</v>
      </c>
    </row>
    <row r="787" spans="1:25" x14ac:dyDescent="0.25">
      <c r="A787" s="7" t="s">
        <v>1015</v>
      </c>
      <c r="B787" s="40">
        <v>100</v>
      </c>
      <c r="C787">
        <f t="shared" si="74"/>
        <v>212</v>
      </c>
      <c r="D787" s="7" t="s">
        <v>1010</v>
      </c>
      <c r="E787">
        <f t="shared" si="73"/>
        <v>140</v>
      </c>
      <c r="G787" s="7" t="s">
        <v>1004</v>
      </c>
      <c r="H787" s="40">
        <v>705</v>
      </c>
      <c r="I787">
        <f t="shared" si="75"/>
        <v>138</v>
      </c>
      <c r="J787" s="7" t="s">
        <v>1004</v>
      </c>
      <c r="K787" s="7"/>
      <c r="L787">
        <f t="shared" si="77"/>
        <v>705</v>
      </c>
      <c r="M787">
        <f t="shared" si="78"/>
        <v>9</v>
      </c>
      <c r="N787" s="7" t="s">
        <v>1004</v>
      </c>
      <c r="O787" s="40">
        <v>3</v>
      </c>
      <c r="Y787">
        <f t="shared" si="76"/>
        <v>712</v>
      </c>
    </row>
    <row r="788" spans="1:25" x14ac:dyDescent="0.25">
      <c r="A788" s="7" t="s">
        <v>1016</v>
      </c>
      <c r="B788" s="40">
        <v>52</v>
      </c>
      <c r="C788">
        <f t="shared" si="74"/>
        <v>322</v>
      </c>
      <c r="D788" s="7" t="s">
        <v>1011</v>
      </c>
      <c r="E788">
        <f t="shared" si="73"/>
        <v>80</v>
      </c>
      <c r="G788" s="7" t="s">
        <v>1005</v>
      </c>
      <c r="H788" s="40">
        <v>41</v>
      </c>
      <c r="I788">
        <f t="shared" si="75"/>
        <v>580</v>
      </c>
      <c r="J788" s="7" t="s">
        <v>1005</v>
      </c>
      <c r="K788" s="7"/>
      <c r="L788">
        <f t="shared" si="77"/>
        <v>41</v>
      </c>
      <c r="M788">
        <f t="shared" si="78"/>
        <v>144</v>
      </c>
      <c r="N788" s="7" t="s">
        <v>1005</v>
      </c>
      <c r="O788" s="40">
        <v>1</v>
      </c>
      <c r="Y788">
        <f t="shared" si="76"/>
        <v>712</v>
      </c>
    </row>
    <row r="789" spans="1:25" x14ac:dyDescent="0.25">
      <c r="A789" s="7" t="s">
        <v>1017</v>
      </c>
      <c r="B789" s="40">
        <v>100</v>
      </c>
      <c r="C789">
        <f t="shared" si="74"/>
        <v>206</v>
      </c>
      <c r="D789" s="7" t="s">
        <v>1012</v>
      </c>
      <c r="E789">
        <f t="shared" si="73"/>
        <v>147</v>
      </c>
      <c r="G789" s="7" t="s">
        <v>1006</v>
      </c>
      <c r="H789" s="40">
        <v>130</v>
      </c>
      <c r="I789">
        <f t="shared" si="75"/>
        <v>408</v>
      </c>
      <c r="J789" s="7" t="s">
        <v>1006</v>
      </c>
      <c r="K789" s="7"/>
      <c r="L789">
        <f t="shared" si="77"/>
        <v>130</v>
      </c>
      <c r="M789">
        <f t="shared" si="78"/>
        <v>144</v>
      </c>
      <c r="N789" s="7" t="s">
        <v>1006</v>
      </c>
      <c r="O789" s="40">
        <v>1</v>
      </c>
      <c r="Y789">
        <f t="shared" si="76"/>
        <v>712</v>
      </c>
    </row>
    <row r="790" spans="1:25" x14ac:dyDescent="0.25">
      <c r="A790" s="7" t="s">
        <v>1018</v>
      </c>
      <c r="B790" s="40">
        <v>685</v>
      </c>
      <c r="C790">
        <f t="shared" si="74"/>
        <v>546</v>
      </c>
      <c r="D790" s="7" t="s">
        <v>1013</v>
      </c>
      <c r="E790">
        <f t="shared" si="73"/>
        <v>27</v>
      </c>
      <c r="G790" s="7" t="s">
        <v>1009</v>
      </c>
      <c r="H790" s="40">
        <v>62</v>
      </c>
      <c r="I790">
        <f t="shared" si="75"/>
        <v>523</v>
      </c>
      <c r="J790" s="7" t="s">
        <v>1009</v>
      </c>
      <c r="K790" s="7"/>
      <c r="L790">
        <f t="shared" si="77"/>
        <v>62</v>
      </c>
      <c r="M790">
        <f t="shared" si="78"/>
        <v>144</v>
      </c>
      <c r="N790" s="7" t="s">
        <v>1009</v>
      </c>
      <c r="O790" s="40">
        <v>1</v>
      </c>
      <c r="Y790">
        <f t="shared" si="76"/>
        <v>712</v>
      </c>
    </row>
    <row r="791" spans="1:25" x14ac:dyDescent="0.25">
      <c r="A791" s="7" t="s">
        <v>1019</v>
      </c>
      <c r="B791" s="40">
        <v>500</v>
      </c>
      <c r="C791">
        <f t="shared" si="74"/>
        <v>570</v>
      </c>
      <c r="D791" s="7" t="s">
        <v>1014</v>
      </c>
      <c r="E791">
        <f t="shared" si="73"/>
        <v>23</v>
      </c>
      <c r="G791" s="7" t="s">
        <v>1010</v>
      </c>
      <c r="H791" s="40">
        <v>356</v>
      </c>
      <c r="I791">
        <f t="shared" si="75"/>
        <v>224</v>
      </c>
      <c r="J791" s="7" t="s">
        <v>1010</v>
      </c>
      <c r="K791" s="7"/>
      <c r="L791">
        <f t="shared" si="77"/>
        <v>356</v>
      </c>
      <c r="M791">
        <f t="shared" si="78"/>
        <v>28</v>
      </c>
      <c r="N791" s="7" t="s">
        <v>1010</v>
      </c>
      <c r="O791" s="40">
        <v>2</v>
      </c>
      <c r="Y791">
        <f t="shared" si="76"/>
        <v>712</v>
      </c>
    </row>
    <row r="792" spans="1:25" x14ac:dyDescent="0.25">
      <c r="A792" s="7" t="s">
        <v>1021</v>
      </c>
      <c r="B792" s="40">
        <v>200</v>
      </c>
      <c r="C792">
        <f t="shared" si="74"/>
        <v>254</v>
      </c>
      <c r="D792" s="7" t="s">
        <v>1015</v>
      </c>
      <c r="E792">
        <f t="shared" si="73"/>
        <v>100</v>
      </c>
      <c r="G792" s="7" t="s">
        <v>1011</v>
      </c>
      <c r="H792" s="40">
        <v>379</v>
      </c>
      <c r="I792">
        <f t="shared" si="75"/>
        <v>216</v>
      </c>
      <c r="J792" s="7" t="s">
        <v>1011</v>
      </c>
      <c r="K792" s="7"/>
      <c r="L792">
        <f t="shared" si="77"/>
        <v>379</v>
      </c>
      <c r="M792">
        <f t="shared" si="78"/>
        <v>144</v>
      </c>
      <c r="N792" s="7" t="s">
        <v>1011</v>
      </c>
      <c r="O792" s="40">
        <v>1</v>
      </c>
      <c r="Y792">
        <f t="shared" si="76"/>
        <v>712</v>
      </c>
    </row>
    <row r="793" spans="1:25" x14ac:dyDescent="0.25">
      <c r="A793" s="7" t="s">
        <v>1023</v>
      </c>
      <c r="B793" s="40">
        <v>18</v>
      </c>
      <c r="C793">
        <f t="shared" si="74"/>
        <v>406</v>
      </c>
      <c r="D793" s="7" t="s">
        <v>1016</v>
      </c>
      <c r="E793">
        <f t="shared" si="73"/>
        <v>52</v>
      </c>
      <c r="G793" s="7" t="s">
        <v>1012</v>
      </c>
      <c r="H793" s="40">
        <v>73</v>
      </c>
      <c r="I793">
        <f t="shared" si="75"/>
        <v>502</v>
      </c>
      <c r="J793" s="7" t="s">
        <v>1012</v>
      </c>
      <c r="K793" s="7"/>
      <c r="L793">
        <f t="shared" si="77"/>
        <v>73</v>
      </c>
      <c r="M793">
        <f t="shared" si="78"/>
        <v>28</v>
      </c>
      <c r="N793" s="7" t="s">
        <v>1012</v>
      </c>
      <c r="O793" s="40">
        <v>2</v>
      </c>
      <c r="Y793">
        <f t="shared" si="76"/>
        <v>712</v>
      </c>
    </row>
    <row r="794" spans="1:25" x14ac:dyDescent="0.25">
      <c r="A794" s="7" t="s">
        <v>1024</v>
      </c>
      <c r="B794" s="40">
        <v>30</v>
      </c>
      <c r="C794">
        <f t="shared" si="74"/>
        <v>254</v>
      </c>
      <c r="D794" s="7" t="s">
        <v>1017</v>
      </c>
      <c r="E794">
        <f t="shared" si="73"/>
        <v>100</v>
      </c>
      <c r="G794" s="7" t="s">
        <v>1013</v>
      </c>
      <c r="H794" s="40">
        <v>56</v>
      </c>
      <c r="I794">
        <f t="shared" si="75"/>
        <v>542</v>
      </c>
      <c r="J794" s="7" t="s">
        <v>1013</v>
      </c>
      <c r="K794" s="7"/>
      <c r="L794">
        <f t="shared" si="77"/>
        <v>56</v>
      </c>
      <c r="M794">
        <f t="shared" si="78"/>
        <v>144</v>
      </c>
      <c r="N794" s="7" t="s">
        <v>1013</v>
      </c>
      <c r="O794" s="40">
        <v>1</v>
      </c>
      <c r="Y794">
        <f t="shared" si="76"/>
        <v>712</v>
      </c>
    </row>
    <row r="795" spans="1:25" x14ac:dyDescent="0.25">
      <c r="A795" s="7" t="s">
        <v>1025</v>
      </c>
      <c r="B795" s="40">
        <v>86</v>
      </c>
      <c r="C795">
        <f t="shared" si="74"/>
        <v>48</v>
      </c>
      <c r="D795" s="7" t="s">
        <v>1018</v>
      </c>
      <c r="E795">
        <f t="shared" si="73"/>
        <v>685</v>
      </c>
      <c r="G795" s="7" t="s">
        <v>1014</v>
      </c>
      <c r="H795" s="40">
        <v>3</v>
      </c>
      <c r="I795">
        <f t="shared" si="75"/>
        <v>731</v>
      </c>
      <c r="J795" s="7" t="s">
        <v>1014</v>
      </c>
      <c r="K795" s="7"/>
      <c r="L795">
        <f t="shared" si="77"/>
        <v>3</v>
      </c>
      <c r="M795">
        <f t="shared" si="78"/>
        <v>144</v>
      </c>
      <c r="N795" s="7" t="s">
        <v>1014</v>
      </c>
      <c r="O795" s="40">
        <v>1</v>
      </c>
      <c r="Y795">
        <f t="shared" si="76"/>
        <v>712</v>
      </c>
    </row>
    <row r="796" spans="1:25" x14ac:dyDescent="0.25">
      <c r="A796" s="7" t="s">
        <v>1026</v>
      </c>
      <c r="B796" s="40">
        <v>150</v>
      </c>
      <c r="C796">
        <f t="shared" si="74"/>
        <v>66</v>
      </c>
      <c r="D796" s="7" t="s">
        <v>1019</v>
      </c>
      <c r="E796">
        <f t="shared" si="73"/>
        <v>500</v>
      </c>
      <c r="G796" s="7" t="s">
        <v>1015</v>
      </c>
      <c r="H796" s="40">
        <v>17</v>
      </c>
      <c r="I796">
        <f t="shared" si="75"/>
        <v>665</v>
      </c>
      <c r="J796" s="7" t="s">
        <v>1015</v>
      </c>
      <c r="K796" s="7"/>
      <c r="L796">
        <f t="shared" si="77"/>
        <v>17</v>
      </c>
      <c r="M796">
        <f t="shared" si="78"/>
        <v>144</v>
      </c>
      <c r="N796" s="7" t="s">
        <v>1015</v>
      </c>
      <c r="O796" s="40">
        <v>1</v>
      </c>
      <c r="Y796">
        <f t="shared" si="76"/>
        <v>712</v>
      </c>
    </row>
    <row r="797" spans="1:25" x14ac:dyDescent="0.25">
      <c r="A797" s="7" t="s">
        <v>1027</v>
      </c>
      <c r="B797" s="40">
        <v>0</v>
      </c>
      <c r="C797">
        <f t="shared" si="74"/>
        <v>147</v>
      </c>
      <c r="D797" s="7" t="s">
        <v>1021</v>
      </c>
      <c r="E797">
        <f t="shared" si="73"/>
        <v>200</v>
      </c>
      <c r="G797" s="7" t="s">
        <v>1016</v>
      </c>
      <c r="H797" s="40">
        <v>481</v>
      </c>
      <c r="I797">
        <f t="shared" si="75"/>
        <v>184</v>
      </c>
      <c r="J797" s="7" t="s">
        <v>1016</v>
      </c>
      <c r="K797" s="7"/>
      <c r="L797">
        <f t="shared" si="77"/>
        <v>481</v>
      </c>
      <c r="M797">
        <f t="shared" si="78"/>
        <v>144</v>
      </c>
      <c r="N797" s="7" t="s">
        <v>1016</v>
      </c>
      <c r="O797" s="40">
        <v>1</v>
      </c>
      <c r="Y797">
        <f t="shared" si="76"/>
        <v>712</v>
      </c>
    </row>
    <row r="798" spans="1:25" x14ac:dyDescent="0.25">
      <c r="A798" s="7" t="s">
        <v>1028</v>
      </c>
      <c r="B798" s="40">
        <v>0</v>
      </c>
      <c r="C798">
        <f t="shared" si="74"/>
        <v>607</v>
      </c>
      <c r="D798" s="7" t="s">
        <v>1023</v>
      </c>
      <c r="E798">
        <f t="shared" si="73"/>
        <v>18</v>
      </c>
      <c r="G798" s="7" t="s">
        <v>1017</v>
      </c>
      <c r="H798" s="40">
        <v>59</v>
      </c>
      <c r="I798">
        <f t="shared" si="75"/>
        <v>530</v>
      </c>
      <c r="J798" s="7" t="s">
        <v>1017</v>
      </c>
      <c r="K798" s="7"/>
      <c r="L798">
        <f t="shared" si="77"/>
        <v>59</v>
      </c>
      <c r="M798">
        <f t="shared" si="78"/>
        <v>144</v>
      </c>
      <c r="N798" s="7" t="s">
        <v>1017</v>
      </c>
      <c r="O798" s="40">
        <v>1</v>
      </c>
      <c r="Y798">
        <f t="shared" si="76"/>
        <v>712</v>
      </c>
    </row>
    <row r="799" spans="1:25" x14ac:dyDescent="0.25">
      <c r="A799" s="7" t="s">
        <v>1029</v>
      </c>
      <c r="B799" s="40">
        <v>130</v>
      </c>
      <c r="C799">
        <f t="shared" si="74"/>
        <v>512</v>
      </c>
      <c r="D799" s="7" t="s">
        <v>1024</v>
      </c>
      <c r="E799">
        <f t="shared" si="73"/>
        <v>30</v>
      </c>
      <c r="G799" s="7" t="s">
        <v>1018</v>
      </c>
      <c r="H799" s="40">
        <v>784</v>
      </c>
      <c r="I799">
        <f t="shared" si="75"/>
        <v>122</v>
      </c>
      <c r="J799" s="7" t="s">
        <v>1018</v>
      </c>
      <c r="K799" s="7"/>
      <c r="L799">
        <f t="shared" si="77"/>
        <v>784</v>
      </c>
      <c r="M799">
        <f t="shared" si="78"/>
        <v>28</v>
      </c>
      <c r="N799" s="7" t="s">
        <v>1018</v>
      </c>
      <c r="O799" s="40">
        <v>2</v>
      </c>
      <c r="Y799">
        <f t="shared" si="76"/>
        <v>712</v>
      </c>
    </row>
    <row r="800" spans="1:25" x14ac:dyDescent="0.25">
      <c r="A800" s="7" t="s">
        <v>1030</v>
      </c>
      <c r="B800" s="40">
        <v>40</v>
      </c>
      <c r="C800">
        <f t="shared" si="74"/>
        <v>313</v>
      </c>
      <c r="D800" s="7" t="s">
        <v>1025</v>
      </c>
      <c r="E800">
        <f t="shared" si="73"/>
        <v>86</v>
      </c>
      <c r="G800" s="7" t="s">
        <v>1019</v>
      </c>
      <c r="H800" s="40">
        <v>200</v>
      </c>
      <c r="I800">
        <f t="shared" si="75"/>
        <v>334</v>
      </c>
      <c r="J800" s="7" t="s">
        <v>1019</v>
      </c>
      <c r="K800" s="7"/>
      <c r="L800">
        <f t="shared" si="77"/>
        <v>200</v>
      </c>
      <c r="M800">
        <f t="shared" si="78"/>
        <v>144</v>
      </c>
      <c r="N800" s="7" t="s">
        <v>1019</v>
      </c>
      <c r="O800" s="40">
        <v>1</v>
      </c>
      <c r="Y800">
        <f t="shared" si="76"/>
        <v>712</v>
      </c>
    </row>
    <row r="801" spans="1:25" x14ac:dyDescent="0.25">
      <c r="A801" s="7" t="s">
        <v>1031</v>
      </c>
      <c r="B801" s="40">
        <v>14</v>
      </c>
      <c r="C801">
        <f t="shared" si="74"/>
        <v>193</v>
      </c>
      <c r="D801" s="7" t="s">
        <v>1026</v>
      </c>
      <c r="E801">
        <f t="shared" si="73"/>
        <v>150</v>
      </c>
      <c r="G801" s="7" t="s">
        <v>1021</v>
      </c>
      <c r="H801" s="40">
        <v>0</v>
      </c>
      <c r="I801">
        <f t="shared" si="75"/>
        <v>754</v>
      </c>
      <c r="J801" s="7" t="s">
        <v>1021</v>
      </c>
      <c r="K801" s="7"/>
      <c r="L801">
        <f t="shared" si="77"/>
        <v>0</v>
      </c>
      <c r="M801">
        <f t="shared" si="78"/>
        <v>144</v>
      </c>
      <c r="N801" s="7" t="s">
        <v>1021</v>
      </c>
      <c r="O801" s="40">
        <v>1</v>
      </c>
      <c r="Y801">
        <f t="shared" si="76"/>
        <v>712</v>
      </c>
    </row>
    <row r="802" spans="1:25" x14ac:dyDescent="0.25">
      <c r="A802" s="7" t="s">
        <v>1032</v>
      </c>
      <c r="B802" s="40">
        <v>40</v>
      </c>
      <c r="C802">
        <f t="shared" si="74"/>
        <v>683</v>
      </c>
      <c r="D802" s="7" t="s">
        <v>1027</v>
      </c>
      <c r="E802">
        <f t="shared" si="73"/>
        <v>0</v>
      </c>
      <c r="G802" s="7" t="s">
        <v>1023</v>
      </c>
      <c r="H802" s="40">
        <v>180</v>
      </c>
      <c r="I802">
        <f t="shared" si="75"/>
        <v>356</v>
      </c>
      <c r="J802" s="7" t="s">
        <v>1023</v>
      </c>
      <c r="K802" s="7"/>
      <c r="L802">
        <f t="shared" si="77"/>
        <v>180</v>
      </c>
      <c r="M802">
        <f t="shared" si="78"/>
        <v>28</v>
      </c>
      <c r="N802" s="7" t="s">
        <v>1023</v>
      </c>
      <c r="O802" s="40">
        <v>2</v>
      </c>
      <c r="Y802">
        <f t="shared" si="76"/>
        <v>712</v>
      </c>
    </row>
    <row r="803" spans="1:25" x14ac:dyDescent="0.25">
      <c r="A803" s="7" t="s">
        <v>1033</v>
      </c>
      <c r="B803" s="40">
        <v>80</v>
      </c>
      <c r="C803">
        <f t="shared" si="74"/>
        <v>683</v>
      </c>
      <c r="D803" s="7" t="s">
        <v>1028</v>
      </c>
      <c r="E803">
        <f t="shared" si="73"/>
        <v>0</v>
      </c>
      <c r="G803" s="7" t="s">
        <v>1024</v>
      </c>
      <c r="H803" s="40">
        <v>114</v>
      </c>
      <c r="I803">
        <f t="shared" si="75"/>
        <v>429</v>
      </c>
      <c r="J803" s="7" t="s">
        <v>1024</v>
      </c>
      <c r="K803" s="7"/>
      <c r="L803">
        <f t="shared" si="77"/>
        <v>114</v>
      </c>
      <c r="M803">
        <f t="shared" si="78"/>
        <v>144</v>
      </c>
      <c r="N803" s="7" t="s">
        <v>1024</v>
      </c>
      <c r="O803" s="40">
        <v>1</v>
      </c>
      <c r="Y803">
        <f t="shared" si="76"/>
        <v>712</v>
      </c>
    </row>
    <row r="804" spans="1:25" x14ac:dyDescent="0.25">
      <c r="A804" s="7" t="s">
        <v>1035</v>
      </c>
      <c r="B804" s="40">
        <v>300</v>
      </c>
      <c r="C804">
        <f t="shared" si="74"/>
        <v>226</v>
      </c>
      <c r="D804" s="7" t="s">
        <v>1029</v>
      </c>
      <c r="E804">
        <f t="shared" si="73"/>
        <v>130</v>
      </c>
      <c r="G804" s="7" t="s">
        <v>1025</v>
      </c>
      <c r="H804" s="40">
        <v>72</v>
      </c>
      <c r="I804">
        <f t="shared" si="75"/>
        <v>503</v>
      </c>
      <c r="J804" s="7" t="s">
        <v>1025</v>
      </c>
      <c r="K804" s="7"/>
      <c r="L804">
        <f t="shared" si="77"/>
        <v>72</v>
      </c>
      <c r="M804">
        <f t="shared" si="78"/>
        <v>144</v>
      </c>
      <c r="N804" s="7" t="s">
        <v>1025</v>
      </c>
      <c r="O804" s="40">
        <v>1</v>
      </c>
      <c r="Y804">
        <f t="shared" si="76"/>
        <v>712</v>
      </c>
    </row>
    <row r="805" spans="1:25" x14ac:dyDescent="0.25">
      <c r="A805" s="7" t="s">
        <v>1036</v>
      </c>
      <c r="B805" s="40">
        <v>80</v>
      </c>
      <c r="C805">
        <f t="shared" si="74"/>
        <v>454</v>
      </c>
      <c r="D805" s="7" t="s">
        <v>1030</v>
      </c>
      <c r="E805">
        <f t="shared" si="73"/>
        <v>40</v>
      </c>
      <c r="G805" s="7" t="s">
        <v>1026</v>
      </c>
      <c r="H805" s="40">
        <v>24</v>
      </c>
      <c r="I805">
        <f t="shared" si="75"/>
        <v>633</v>
      </c>
      <c r="J805" s="7" t="s">
        <v>1026</v>
      </c>
      <c r="K805" s="7"/>
      <c r="L805">
        <f t="shared" si="77"/>
        <v>24</v>
      </c>
      <c r="M805">
        <f t="shared" si="78"/>
        <v>144</v>
      </c>
      <c r="N805" s="7" t="s">
        <v>1026</v>
      </c>
      <c r="O805" s="40">
        <v>1</v>
      </c>
      <c r="Y805">
        <f t="shared" si="76"/>
        <v>712</v>
      </c>
    </row>
    <row r="806" spans="1:25" x14ac:dyDescent="0.25">
      <c r="A806" s="7" t="s">
        <v>1037</v>
      </c>
      <c r="B806" s="40">
        <v>0</v>
      </c>
      <c r="C806">
        <f t="shared" si="74"/>
        <v>631</v>
      </c>
      <c r="D806" s="7" t="s">
        <v>1031</v>
      </c>
      <c r="E806">
        <f t="shared" si="73"/>
        <v>14</v>
      </c>
      <c r="G806" s="7" t="s">
        <v>1027</v>
      </c>
      <c r="H806" s="40">
        <v>20</v>
      </c>
      <c r="I806">
        <f t="shared" si="75"/>
        <v>652</v>
      </c>
      <c r="J806" s="7" t="s">
        <v>1027</v>
      </c>
      <c r="K806" s="7"/>
      <c r="L806">
        <f t="shared" si="77"/>
        <v>20</v>
      </c>
      <c r="M806">
        <f t="shared" si="78"/>
        <v>144</v>
      </c>
      <c r="N806" s="7" t="s">
        <v>1027</v>
      </c>
      <c r="O806" s="40">
        <v>1</v>
      </c>
      <c r="Y806">
        <f t="shared" si="76"/>
        <v>712</v>
      </c>
    </row>
    <row r="807" spans="1:25" x14ac:dyDescent="0.25">
      <c r="A807" s="7" t="s">
        <v>1038</v>
      </c>
      <c r="B807" s="40">
        <v>13</v>
      </c>
      <c r="C807">
        <f t="shared" si="74"/>
        <v>454</v>
      </c>
      <c r="D807" s="7" t="s">
        <v>1032</v>
      </c>
      <c r="E807">
        <f t="shared" si="73"/>
        <v>40</v>
      </c>
      <c r="G807" s="7" t="s">
        <v>1028</v>
      </c>
      <c r="H807" s="40">
        <v>158</v>
      </c>
      <c r="I807">
        <f t="shared" si="75"/>
        <v>377</v>
      </c>
      <c r="J807" s="7" t="s">
        <v>1028</v>
      </c>
      <c r="K807" s="7"/>
      <c r="L807">
        <f t="shared" si="77"/>
        <v>158</v>
      </c>
      <c r="M807">
        <f t="shared" si="78"/>
        <v>144</v>
      </c>
      <c r="N807" s="7" t="s">
        <v>1028</v>
      </c>
      <c r="O807" s="40">
        <v>1</v>
      </c>
      <c r="Y807">
        <f t="shared" si="76"/>
        <v>712</v>
      </c>
    </row>
    <row r="808" spans="1:25" x14ac:dyDescent="0.25">
      <c r="A808" s="7" t="s">
        <v>1039</v>
      </c>
      <c r="B808" s="40">
        <v>960</v>
      </c>
      <c r="C808">
        <f t="shared" si="74"/>
        <v>322</v>
      </c>
      <c r="D808" s="7" t="s">
        <v>1033</v>
      </c>
      <c r="E808">
        <f t="shared" si="73"/>
        <v>80</v>
      </c>
      <c r="G808" s="7" t="s">
        <v>1029</v>
      </c>
      <c r="H808" s="40">
        <v>6</v>
      </c>
      <c r="I808">
        <f t="shared" si="75"/>
        <v>718</v>
      </c>
      <c r="J808" s="7" t="s">
        <v>1029</v>
      </c>
      <c r="K808" s="7"/>
      <c r="L808">
        <f t="shared" si="77"/>
        <v>6</v>
      </c>
      <c r="M808">
        <f t="shared" si="78"/>
        <v>144</v>
      </c>
      <c r="N808" s="7" t="s">
        <v>1029</v>
      </c>
      <c r="O808" s="40">
        <v>1</v>
      </c>
      <c r="Y808">
        <f t="shared" si="76"/>
        <v>712</v>
      </c>
    </row>
    <row r="809" spans="1:25" x14ac:dyDescent="0.25">
      <c r="A809" s="7" t="s">
        <v>1040</v>
      </c>
      <c r="B809" s="40">
        <v>35</v>
      </c>
      <c r="C809">
        <f t="shared" si="74"/>
        <v>103</v>
      </c>
      <c r="D809" s="7" t="s">
        <v>1035</v>
      </c>
      <c r="E809">
        <f t="shared" si="73"/>
        <v>300</v>
      </c>
      <c r="G809" s="7" t="s">
        <v>1030</v>
      </c>
      <c r="H809" s="40">
        <v>30</v>
      </c>
      <c r="I809">
        <f t="shared" si="75"/>
        <v>613</v>
      </c>
      <c r="J809" s="7" t="s">
        <v>1030</v>
      </c>
      <c r="K809" s="7"/>
      <c r="L809">
        <f t="shared" si="77"/>
        <v>30</v>
      </c>
      <c r="M809">
        <f t="shared" si="78"/>
        <v>28</v>
      </c>
      <c r="N809" s="7" t="s">
        <v>1030</v>
      </c>
      <c r="O809" s="40">
        <v>2</v>
      </c>
      <c r="Y809">
        <f t="shared" si="76"/>
        <v>712</v>
      </c>
    </row>
    <row r="810" spans="1:25" x14ac:dyDescent="0.25">
      <c r="A810" s="7" t="s">
        <v>1041</v>
      </c>
      <c r="B810" s="40">
        <v>50</v>
      </c>
      <c r="C810">
        <f t="shared" si="74"/>
        <v>322</v>
      </c>
      <c r="D810" s="7" t="s">
        <v>1036</v>
      </c>
      <c r="E810">
        <f t="shared" si="73"/>
        <v>80</v>
      </c>
      <c r="G810" s="7" t="s">
        <v>1031</v>
      </c>
      <c r="H810" s="40">
        <v>0</v>
      </c>
      <c r="I810">
        <f t="shared" si="75"/>
        <v>754</v>
      </c>
      <c r="J810" s="7" t="s">
        <v>1031</v>
      </c>
      <c r="K810" s="7"/>
      <c r="L810">
        <f t="shared" si="77"/>
        <v>0</v>
      </c>
      <c r="M810">
        <f t="shared" si="78"/>
        <v>144</v>
      </c>
      <c r="N810" s="7" t="s">
        <v>1031</v>
      </c>
      <c r="O810" s="40">
        <v>1</v>
      </c>
      <c r="Y810">
        <f t="shared" si="76"/>
        <v>712</v>
      </c>
    </row>
    <row r="811" spans="1:25" x14ac:dyDescent="0.25">
      <c r="A811" s="7" t="s">
        <v>1042</v>
      </c>
      <c r="B811" s="40">
        <v>27</v>
      </c>
      <c r="C811">
        <f>RANK(E:E,E:E)</f>
        <v>683</v>
      </c>
      <c r="D811" s="7" t="s">
        <v>1037</v>
      </c>
      <c r="E811">
        <f t="shared" si="73"/>
        <v>0</v>
      </c>
      <c r="G811" s="7" t="s">
        <v>1032</v>
      </c>
      <c r="H811" s="40">
        <v>84</v>
      </c>
      <c r="I811">
        <f t="shared" si="75"/>
        <v>478</v>
      </c>
      <c r="J811" s="7" t="s">
        <v>1032</v>
      </c>
      <c r="K811" s="7"/>
      <c r="L811">
        <f t="shared" si="77"/>
        <v>84</v>
      </c>
      <c r="M811">
        <f t="shared" si="78"/>
        <v>28</v>
      </c>
      <c r="N811" s="7" t="s">
        <v>1032</v>
      </c>
      <c r="O811" s="40">
        <v>2</v>
      </c>
      <c r="Y811">
        <f t="shared" si="76"/>
        <v>712</v>
      </c>
    </row>
    <row r="812" spans="1:25" x14ac:dyDescent="0.25">
      <c r="A812" s="7" t="s">
        <v>1043</v>
      </c>
      <c r="B812" s="40">
        <v>100</v>
      </c>
      <c r="C812">
        <f t="shared" si="74"/>
        <v>634</v>
      </c>
      <c r="D812" s="7" t="s">
        <v>1038</v>
      </c>
      <c r="E812">
        <f t="shared" si="73"/>
        <v>13</v>
      </c>
      <c r="G812" s="7" t="s">
        <v>1033</v>
      </c>
      <c r="H812" s="40">
        <v>335</v>
      </c>
      <c r="I812">
        <f t="shared" si="75"/>
        <v>237</v>
      </c>
      <c r="J812" s="7" t="s">
        <v>1033</v>
      </c>
      <c r="K812" s="7"/>
      <c r="L812">
        <f t="shared" si="77"/>
        <v>335</v>
      </c>
      <c r="M812">
        <f t="shared" si="78"/>
        <v>144</v>
      </c>
      <c r="N812" s="7" t="s">
        <v>1033</v>
      </c>
      <c r="O812" s="40">
        <v>1</v>
      </c>
      <c r="Y812">
        <f t="shared" si="76"/>
        <v>712</v>
      </c>
    </row>
    <row r="813" spans="1:25" x14ac:dyDescent="0.25">
      <c r="A813" s="7" t="s">
        <v>1044</v>
      </c>
      <c r="B813" s="40">
        <v>223</v>
      </c>
      <c r="C813">
        <f t="shared" si="74"/>
        <v>33</v>
      </c>
      <c r="D813" s="7" t="s">
        <v>1039</v>
      </c>
      <c r="E813">
        <f t="shared" si="73"/>
        <v>960</v>
      </c>
      <c r="G813" s="7" t="s">
        <v>1035</v>
      </c>
      <c r="H813" s="40">
        <v>1200</v>
      </c>
      <c r="I813">
        <f t="shared" si="75"/>
        <v>84</v>
      </c>
      <c r="J813" s="7" t="s">
        <v>1035</v>
      </c>
      <c r="K813" s="7"/>
      <c r="L813">
        <f t="shared" si="77"/>
        <v>1200</v>
      </c>
      <c r="M813">
        <f t="shared" si="78"/>
        <v>144</v>
      </c>
      <c r="N813" s="7" t="s">
        <v>1035</v>
      </c>
      <c r="O813" s="40">
        <v>1</v>
      </c>
      <c r="Y813">
        <f t="shared" si="76"/>
        <v>712</v>
      </c>
    </row>
    <row r="814" spans="1:25" x14ac:dyDescent="0.25">
      <c r="A814" s="7" t="s">
        <v>1045</v>
      </c>
      <c r="B814" s="40">
        <v>0</v>
      </c>
      <c r="C814">
        <f t="shared" si="74"/>
        <v>494</v>
      </c>
      <c r="D814" s="7" t="s">
        <v>1040</v>
      </c>
      <c r="E814">
        <f t="shared" si="73"/>
        <v>35</v>
      </c>
      <c r="G814" s="7" t="s">
        <v>1036</v>
      </c>
      <c r="H814" s="40">
        <v>765</v>
      </c>
      <c r="I814">
        <f t="shared" si="75"/>
        <v>124</v>
      </c>
      <c r="J814" s="7" t="s">
        <v>1036</v>
      </c>
      <c r="K814" s="7"/>
      <c r="L814">
        <f t="shared" si="77"/>
        <v>765</v>
      </c>
      <c r="M814">
        <f t="shared" si="78"/>
        <v>144</v>
      </c>
      <c r="N814" s="7" t="s">
        <v>1036</v>
      </c>
      <c r="O814" s="40">
        <v>1</v>
      </c>
      <c r="Y814">
        <f t="shared" si="76"/>
        <v>712</v>
      </c>
    </row>
    <row r="815" spans="1:25" x14ac:dyDescent="0.25">
      <c r="A815" s="7" t="s">
        <v>1046</v>
      </c>
      <c r="B815" s="40">
        <v>50</v>
      </c>
      <c r="C815">
        <f t="shared" si="74"/>
        <v>410</v>
      </c>
      <c r="D815" s="7" t="s">
        <v>1041</v>
      </c>
      <c r="E815">
        <f t="shared" si="73"/>
        <v>50</v>
      </c>
      <c r="G815" s="7" t="s">
        <v>1037</v>
      </c>
      <c r="H815" s="40">
        <v>33</v>
      </c>
      <c r="I815">
        <f t="shared" si="75"/>
        <v>605</v>
      </c>
      <c r="J815" s="7" t="s">
        <v>1037</v>
      </c>
      <c r="K815" s="7"/>
      <c r="L815">
        <f t="shared" si="77"/>
        <v>33</v>
      </c>
      <c r="M815">
        <f t="shared" si="78"/>
        <v>144</v>
      </c>
      <c r="N815" s="7" t="s">
        <v>1037</v>
      </c>
      <c r="O815" s="40">
        <v>1</v>
      </c>
      <c r="Y815">
        <f t="shared" si="76"/>
        <v>712</v>
      </c>
    </row>
    <row r="816" spans="1:25" x14ac:dyDescent="0.25">
      <c r="A816" s="7" t="s">
        <v>1047</v>
      </c>
      <c r="B816" s="40">
        <v>0</v>
      </c>
      <c r="C816">
        <f t="shared" si="74"/>
        <v>546</v>
      </c>
      <c r="D816" s="7" t="s">
        <v>1042</v>
      </c>
      <c r="E816">
        <f t="shared" si="73"/>
        <v>27</v>
      </c>
      <c r="G816" s="7" t="s">
        <v>1038</v>
      </c>
      <c r="H816" s="40">
        <v>0</v>
      </c>
      <c r="I816">
        <f t="shared" si="75"/>
        <v>754</v>
      </c>
      <c r="J816" s="7" t="s">
        <v>1038</v>
      </c>
      <c r="K816" s="7"/>
      <c r="L816">
        <f t="shared" si="77"/>
        <v>0</v>
      </c>
      <c r="M816">
        <f t="shared" si="78"/>
        <v>144</v>
      </c>
      <c r="N816" s="7" t="s">
        <v>1038</v>
      </c>
      <c r="O816" s="40">
        <v>1</v>
      </c>
      <c r="Y816">
        <f t="shared" si="76"/>
        <v>712</v>
      </c>
    </row>
    <row r="817" spans="1:39" x14ac:dyDescent="0.25">
      <c r="A817" s="7" t="s">
        <v>1048</v>
      </c>
      <c r="B817" s="40">
        <v>450</v>
      </c>
      <c r="C817">
        <f t="shared" si="74"/>
        <v>254</v>
      </c>
      <c r="D817" s="7" t="s">
        <v>1043</v>
      </c>
      <c r="E817">
        <f t="shared" si="73"/>
        <v>100</v>
      </c>
      <c r="G817" s="7" t="s">
        <v>1039</v>
      </c>
      <c r="H817" s="40">
        <v>154</v>
      </c>
      <c r="I817">
        <f t="shared" si="75"/>
        <v>385</v>
      </c>
      <c r="J817" s="7" t="s">
        <v>1039</v>
      </c>
      <c r="K817" s="7"/>
      <c r="L817">
        <f t="shared" si="77"/>
        <v>154</v>
      </c>
      <c r="M817">
        <f t="shared" si="78"/>
        <v>144</v>
      </c>
      <c r="N817" s="7" t="s">
        <v>1039</v>
      </c>
      <c r="O817" s="40">
        <v>1</v>
      </c>
      <c r="Y817">
        <f t="shared" si="76"/>
        <v>712</v>
      </c>
    </row>
    <row r="818" spans="1:39" x14ac:dyDescent="0.25">
      <c r="A818" s="7" t="s">
        <v>1049</v>
      </c>
      <c r="B818" s="40">
        <v>0</v>
      </c>
      <c r="C818">
        <f t="shared" si="74"/>
        <v>137</v>
      </c>
      <c r="D818" s="7" t="s">
        <v>1044</v>
      </c>
      <c r="E818">
        <f t="shared" si="73"/>
        <v>223</v>
      </c>
      <c r="G818" s="7" t="s">
        <v>1040</v>
      </c>
      <c r="H818" s="40">
        <v>2</v>
      </c>
      <c r="I818">
        <f t="shared" si="75"/>
        <v>737</v>
      </c>
      <c r="J818" s="7" t="s">
        <v>1040</v>
      </c>
      <c r="K818" s="7"/>
      <c r="L818">
        <f t="shared" si="77"/>
        <v>2</v>
      </c>
      <c r="M818">
        <f t="shared" si="78"/>
        <v>144</v>
      </c>
      <c r="N818" s="7" t="s">
        <v>1040</v>
      </c>
      <c r="O818" s="40">
        <v>1</v>
      </c>
      <c r="Y818">
        <f t="shared" si="76"/>
        <v>712</v>
      </c>
    </row>
    <row r="819" spans="1:39" x14ac:dyDescent="0.25">
      <c r="A819" s="7" t="s">
        <v>1050</v>
      </c>
      <c r="B819" s="40">
        <v>1289</v>
      </c>
      <c r="C819">
        <f t="shared" si="74"/>
        <v>683</v>
      </c>
      <c r="D819" s="7" t="s">
        <v>1045</v>
      </c>
      <c r="E819">
        <f t="shared" si="73"/>
        <v>0</v>
      </c>
      <c r="G819" s="7" t="s">
        <v>1041</v>
      </c>
      <c r="H819" s="40">
        <v>165</v>
      </c>
      <c r="I819">
        <f t="shared" si="75"/>
        <v>370</v>
      </c>
      <c r="J819" s="7" t="s">
        <v>1041</v>
      </c>
      <c r="K819" s="7"/>
      <c r="L819">
        <f t="shared" si="77"/>
        <v>165</v>
      </c>
      <c r="M819">
        <f t="shared" si="78"/>
        <v>144</v>
      </c>
      <c r="N819" s="7" t="s">
        <v>1041</v>
      </c>
      <c r="O819" s="40">
        <v>1</v>
      </c>
      <c r="Y819">
        <f t="shared" si="76"/>
        <v>712</v>
      </c>
    </row>
    <row r="820" spans="1:39" x14ac:dyDescent="0.25">
      <c r="A820" s="7" t="s">
        <v>1051</v>
      </c>
      <c r="B820" s="40">
        <v>32</v>
      </c>
      <c r="C820">
        <f t="shared" si="74"/>
        <v>410</v>
      </c>
      <c r="D820" s="7" t="s">
        <v>1046</v>
      </c>
      <c r="E820">
        <f t="shared" si="73"/>
        <v>50</v>
      </c>
      <c r="G820" s="7" t="s">
        <v>1042</v>
      </c>
      <c r="H820" s="40">
        <v>115</v>
      </c>
      <c r="I820">
        <f t="shared" si="75"/>
        <v>428</v>
      </c>
      <c r="J820" s="7" t="s">
        <v>1042</v>
      </c>
      <c r="K820" s="7"/>
      <c r="L820">
        <f t="shared" si="77"/>
        <v>115</v>
      </c>
      <c r="M820">
        <f t="shared" si="78"/>
        <v>144</v>
      </c>
      <c r="N820" s="7" t="s">
        <v>1042</v>
      </c>
      <c r="O820" s="40">
        <v>1</v>
      </c>
      <c r="Y820">
        <f t="shared" si="76"/>
        <v>712</v>
      </c>
    </row>
    <row r="821" spans="1:39" x14ac:dyDescent="0.25">
      <c r="A821" s="7" t="s">
        <v>1052</v>
      </c>
      <c r="B821" s="40">
        <v>25</v>
      </c>
      <c r="C821">
        <f t="shared" si="74"/>
        <v>683</v>
      </c>
      <c r="D821" s="7" t="s">
        <v>1047</v>
      </c>
      <c r="E821">
        <f t="shared" si="73"/>
        <v>0</v>
      </c>
      <c r="G821" s="7" t="s">
        <v>1043</v>
      </c>
      <c r="H821" s="40">
        <v>118</v>
      </c>
      <c r="I821">
        <f t="shared" si="75"/>
        <v>425</v>
      </c>
      <c r="J821" s="7" t="s">
        <v>1043</v>
      </c>
      <c r="K821" s="7"/>
      <c r="L821">
        <f t="shared" si="77"/>
        <v>118</v>
      </c>
      <c r="M821">
        <f t="shared" si="78"/>
        <v>144</v>
      </c>
      <c r="N821" s="7" t="s">
        <v>1043</v>
      </c>
      <c r="O821" s="40">
        <v>1</v>
      </c>
      <c r="Y821">
        <f t="shared" si="76"/>
        <v>712</v>
      </c>
    </row>
    <row r="822" spans="1:39" x14ac:dyDescent="0.25">
      <c r="A822" s="7" t="s">
        <v>1053</v>
      </c>
      <c r="B822" s="40">
        <v>800</v>
      </c>
      <c r="C822">
        <f t="shared" si="74"/>
        <v>78</v>
      </c>
      <c r="D822" s="7" t="s">
        <v>1048</v>
      </c>
      <c r="E822">
        <f t="shared" si="73"/>
        <v>450</v>
      </c>
      <c r="G822" s="7" t="s">
        <v>1044</v>
      </c>
      <c r="H822" s="40">
        <v>84</v>
      </c>
      <c r="I822">
        <f t="shared" si="75"/>
        <v>478</v>
      </c>
      <c r="J822" s="7" t="s">
        <v>1044</v>
      </c>
      <c r="K822" s="7"/>
      <c r="L822">
        <f t="shared" si="77"/>
        <v>84</v>
      </c>
      <c r="M822">
        <f t="shared" si="78"/>
        <v>28</v>
      </c>
      <c r="N822" s="7" t="s">
        <v>1044</v>
      </c>
      <c r="O822" s="40">
        <v>2</v>
      </c>
      <c r="Y822">
        <f t="shared" si="76"/>
        <v>712</v>
      </c>
    </row>
    <row r="823" spans="1:39" x14ac:dyDescent="0.25">
      <c r="A823" s="7" t="s">
        <v>1054</v>
      </c>
      <c r="B823" s="40">
        <v>25</v>
      </c>
      <c r="C823">
        <f t="shared" si="74"/>
        <v>683</v>
      </c>
      <c r="D823" s="7" t="s">
        <v>1049</v>
      </c>
      <c r="E823">
        <f t="shared" si="73"/>
        <v>0</v>
      </c>
      <c r="G823" s="7" t="s">
        <v>1045</v>
      </c>
      <c r="H823" s="40">
        <v>16</v>
      </c>
      <c r="I823">
        <f t="shared" si="75"/>
        <v>671</v>
      </c>
      <c r="J823" s="7" t="s">
        <v>1045</v>
      </c>
      <c r="K823" s="7"/>
      <c r="L823">
        <f t="shared" si="77"/>
        <v>16</v>
      </c>
      <c r="M823">
        <f t="shared" si="78"/>
        <v>144</v>
      </c>
      <c r="N823" s="7" t="s">
        <v>1045</v>
      </c>
      <c r="O823" s="40">
        <v>1</v>
      </c>
      <c r="Y823">
        <f t="shared" si="76"/>
        <v>712</v>
      </c>
    </row>
    <row r="824" spans="1:39" x14ac:dyDescent="0.25">
      <c r="A824" s="7" t="s">
        <v>1055</v>
      </c>
      <c r="B824" s="40">
        <v>76</v>
      </c>
      <c r="C824">
        <f t="shared" si="74"/>
        <v>24</v>
      </c>
      <c r="D824" s="7" t="s">
        <v>1050</v>
      </c>
      <c r="E824">
        <f t="shared" si="73"/>
        <v>1289</v>
      </c>
      <c r="G824" s="7" t="s">
        <v>1046</v>
      </c>
      <c r="H824" s="40">
        <v>46</v>
      </c>
      <c r="I824">
        <f t="shared" si="75"/>
        <v>566</v>
      </c>
      <c r="J824" s="7" t="s">
        <v>1046</v>
      </c>
      <c r="K824" s="7"/>
      <c r="L824">
        <f t="shared" si="77"/>
        <v>46</v>
      </c>
      <c r="M824">
        <f t="shared" si="78"/>
        <v>144</v>
      </c>
      <c r="N824" s="7" t="s">
        <v>1046</v>
      </c>
      <c r="O824" s="40">
        <v>1</v>
      </c>
      <c r="Y824">
        <f t="shared" si="76"/>
        <v>712</v>
      </c>
    </row>
    <row r="825" spans="1:39" x14ac:dyDescent="0.25">
      <c r="A825" s="7" t="s">
        <v>1056</v>
      </c>
      <c r="B825" s="40">
        <v>34</v>
      </c>
      <c r="C825">
        <f t="shared" si="74"/>
        <v>505</v>
      </c>
      <c r="D825" s="7" t="s">
        <v>1051</v>
      </c>
      <c r="E825">
        <f t="shared" si="73"/>
        <v>32</v>
      </c>
      <c r="G825" s="7" t="s">
        <v>1047</v>
      </c>
      <c r="H825" s="40">
        <v>12</v>
      </c>
      <c r="I825">
        <f t="shared" si="75"/>
        <v>691</v>
      </c>
      <c r="J825" s="7" t="s">
        <v>1047</v>
      </c>
      <c r="K825" s="7"/>
      <c r="L825">
        <f t="shared" si="77"/>
        <v>12</v>
      </c>
      <c r="M825">
        <f t="shared" si="78"/>
        <v>144</v>
      </c>
      <c r="N825" s="7" t="s">
        <v>1047</v>
      </c>
      <c r="O825" s="40">
        <v>1</v>
      </c>
      <c r="Y825">
        <f t="shared" si="76"/>
        <v>712</v>
      </c>
    </row>
    <row r="826" spans="1:39" x14ac:dyDescent="0.25">
      <c r="A826" s="7" t="s">
        <v>1057</v>
      </c>
      <c r="B826" s="40">
        <v>23</v>
      </c>
      <c r="C826">
        <f t="shared" si="74"/>
        <v>554</v>
      </c>
      <c r="D826" s="7" t="s">
        <v>1052</v>
      </c>
      <c r="E826">
        <f t="shared" si="73"/>
        <v>25</v>
      </c>
      <c r="G826" s="7" t="s">
        <v>1048</v>
      </c>
      <c r="H826" s="40">
        <v>157</v>
      </c>
      <c r="I826">
        <f t="shared" si="75"/>
        <v>378</v>
      </c>
      <c r="J826" s="7" t="s">
        <v>1048</v>
      </c>
      <c r="K826" s="7"/>
      <c r="L826">
        <f t="shared" si="77"/>
        <v>157</v>
      </c>
      <c r="M826">
        <f t="shared" si="78"/>
        <v>144</v>
      </c>
      <c r="N826" s="7" t="s">
        <v>1048</v>
      </c>
      <c r="O826" s="40">
        <v>1</v>
      </c>
      <c r="Y826">
        <f t="shared" si="76"/>
        <v>712</v>
      </c>
    </row>
    <row r="827" spans="1:39" x14ac:dyDescent="0.25">
      <c r="C827">
        <f t="shared" si="74"/>
        <v>39</v>
      </c>
      <c r="D827" s="7" t="s">
        <v>1053</v>
      </c>
      <c r="E827">
        <f t="shared" si="73"/>
        <v>800</v>
      </c>
      <c r="G827" s="7" t="s">
        <v>1049</v>
      </c>
      <c r="H827" s="40">
        <v>57</v>
      </c>
      <c r="I827">
        <f t="shared" si="75"/>
        <v>541</v>
      </c>
      <c r="J827" s="7" t="s">
        <v>1049</v>
      </c>
      <c r="K827" s="7"/>
      <c r="L827">
        <f t="shared" si="77"/>
        <v>57</v>
      </c>
      <c r="M827">
        <f t="shared" si="78"/>
        <v>144</v>
      </c>
      <c r="N827" s="7" t="s">
        <v>1049</v>
      </c>
      <c r="O827" s="40">
        <v>1</v>
      </c>
      <c r="Y827">
        <f t="shared" si="76"/>
        <v>712</v>
      </c>
    </row>
    <row r="828" spans="1:39" x14ac:dyDescent="0.25">
      <c r="C828">
        <f t="shared" si="74"/>
        <v>554</v>
      </c>
      <c r="D828" s="7" t="s">
        <v>1054</v>
      </c>
      <c r="E828">
        <f t="shared" si="73"/>
        <v>25</v>
      </c>
      <c r="G828" s="7" t="s">
        <v>1050</v>
      </c>
      <c r="H828" s="40">
        <v>3678</v>
      </c>
      <c r="I828">
        <f t="shared" si="75"/>
        <v>29</v>
      </c>
      <c r="J828" s="7" t="s">
        <v>1050</v>
      </c>
      <c r="K828" s="7"/>
      <c r="L828">
        <f t="shared" si="77"/>
        <v>3678</v>
      </c>
      <c r="M828">
        <f t="shared" si="78"/>
        <v>2</v>
      </c>
      <c r="N828" s="7" t="s">
        <v>1050</v>
      </c>
      <c r="O828" s="40">
        <v>6</v>
      </c>
      <c r="Y828">
        <f t="shared" si="76"/>
        <v>712</v>
      </c>
    </row>
    <row r="829" spans="1:39" x14ac:dyDescent="0.25">
      <c r="A829" s="6" t="s">
        <v>1063</v>
      </c>
      <c r="B829" t="s">
        <v>1064</v>
      </c>
      <c r="C829">
        <f t="shared" si="74"/>
        <v>339</v>
      </c>
      <c r="D829" s="7" t="s">
        <v>1055</v>
      </c>
      <c r="E829">
        <f t="shared" si="73"/>
        <v>76</v>
      </c>
      <c r="G829" s="7" t="s">
        <v>1051</v>
      </c>
      <c r="H829" s="40">
        <v>17</v>
      </c>
      <c r="I829">
        <f t="shared" si="75"/>
        <v>665</v>
      </c>
      <c r="J829" s="7" t="s">
        <v>1051</v>
      </c>
      <c r="K829" s="7"/>
      <c r="L829">
        <f t="shared" si="77"/>
        <v>17</v>
      </c>
      <c r="M829">
        <f t="shared" si="78"/>
        <v>144</v>
      </c>
      <c r="N829" s="7" t="s">
        <v>1051</v>
      </c>
      <c r="O829" s="40">
        <v>1</v>
      </c>
      <c r="Y829">
        <f t="shared" si="76"/>
        <v>712</v>
      </c>
    </row>
    <row r="830" spans="1:39" x14ac:dyDescent="0.25">
      <c r="A830" s="7" t="s">
        <v>153</v>
      </c>
      <c r="B830" s="40">
        <v>18150</v>
      </c>
      <c r="C830">
        <f t="shared" si="74"/>
        <v>501</v>
      </c>
      <c r="D830" s="7" t="s">
        <v>1056</v>
      </c>
      <c r="E830">
        <f t="shared" si="73"/>
        <v>34</v>
      </c>
      <c r="G830" s="7" t="s">
        <v>1052</v>
      </c>
      <c r="H830" s="40">
        <v>18</v>
      </c>
      <c r="I830">
        <f t="shared" si="75"/>
        <v>661</v>
      </c>
      <c r="J830" s="7" t="s">
        <v>1052</v>
      </c>
      <c r="K830" s="7"/>
      <c r="L830">
        <f t="shared" si="77"/>
        <v>18</v>
      </c>
      <c r="M830">
        <f t="shared" si="78"/>
        <v>144</v>
      </c>
      <c r="N830" s="7" t="s">
        <v>1052</v>
      </c>
      <c r="O830" s="40">
        <v>1</v>
      </c>
      <c r="Y830">
        <f t="shared" si="76"/>
        <v>712</v>
      </c>
    </row>
    <row r="831" spans="1:39" x14ac:dyDescent="0.25">
      <c r="A831" s="7" t="s">
        <v>794</v>
      </c>
      <c r="B831" s="40">
        <v>12000</v>
      </c>
      <c r="C831">
        <f t="shared" si="74"/>
        <v>570</v>
      </c>
      <c r="D831" s="7" t="s">
        <v>1057</v>
      </c>
      <c r="E831">
        <f t="shared" si="73"/>
        <v>23</v>
      </c>
      <c r="G831" s="7" t="s">
        <v>1053</v>
      </c>
      <c r="H831" s="40">
        <v>1014</v>
      </c>
      <c r="I831">
        <f t="shared" si="75"/>
        <v>98</v>
      </c>
      <c r="J831" s="7" t="s">
        <v>1053</v>
      </c>
      <c r="K831" s="7"/>
      <c r="L831">
        <f t="shared" si="77"/>
        <v>1014</v>
      </c>
      <c r="M831">
        <f t="shared" si="78"/>
        <v>28</v>
      </c>
      <c r="N831" s="7" t="s">
        <v>1053</v>
      </c>
      <c r="O831" s="40">
        <v>2</v>
      </c>
      <c r="Y831">
        <f t="shared" si="76"/>
        <v>712</v>
      </c>
    </row>
    <row r="832" spans="1:39" x14ac:dyDescent="0.25">
      <c r="A832" s="7" t="s">
        <v>663</v>
      </c>
      <c r="B832" s="40">
        <v>8500</v>
      </c>
      <c r="G832" s="7" t="s">
        <v>1054</v>
      </c>
      <c r="H832" s="40">
        <v>0</v>
      </c>
      <c r="I832">
        <f t="shared" si="75"/>
        <v>754</v>
      </c>
      <c r="J832" s="7" t="s">
        <v>1054</v>
      </c>
      <c r="K832" s="7"/>
      <c r="L832">
        <f t="shared" si="77"/>
        <v>0</v>
      </c>
      <c r="M832">
        <f t="shared" si="78"/>
        <v>144</v>
      </c>
      <c r="N832" s="7" t="s">
        <v>1054</v>
      </c>
      <c r="O832" s="40">
        <v>1</v>
      </c>
      <c r="Y832">
        <f t="shared" si="76"/>
        <v>712</v>
      </c>
      <c r="AL832" s="6" t="s">
        <v>8</v>
      </c>
      <c r="AM832" t="s">
        <v>1095</v>
      </c>
    </row>
    <row r="833" spans="1:69" x14ac:dyDescent="0.25">
      <c r="A833" s="7" t="s">
        <v>575</v>
      </c>
      <c r="B833" s="40">
        <v>6650</v>
      </c>
      <c r="G833" s="7" t="s">
        <v>1055</v>
      </c>
      <c r="H833" s="40">
        <v>56</v>
      </c>
      <c r="I833">
        <f t="shared" si="75"/>
        <v>542</v>
      </c>
      <c r="J833" s="7" t="s">
        <v>1055</v>
      </c>
      <c r="K833" s="7"/>
      <c r="L833">
        <f t="shared" si="77"/>
        <v>56</v>
      </c>
      <c r="M833">
        <f t="shared" si="78"/>
        <v>144</v>
      </c>
      <c r="N833" s="7" t="s">
        <v>1055</v>
      </c>
      <c r="O833" s="40">
        <v>1</v>
      </c>
      <c r="Y833">
        <f t="shared" si="76"/>
        <v>712</v>
      </c>
    </row>
    <row r="834" spans="1:69" x14ac:dyDescent="0.25">
      <c r="A834" s="7" t="s">
        <v>333</v>
      </c>
      <c r="B834" s="40">
        <v>4601</v>
      </c>
      <c r="G834" s="7" t="s">
        <v>1056</v>
      </c>
      <c r="H834" s="40">
        <v>81</v>
      </c>
      <c r="I834">
        <f t="shared" si="75"/>
        <v>484</v>
      </c>
      <c r="J834" s="7" t="s">
        <v>1056</v>
      </c>
      <c r="K834" s="7"/>
      <c r="L834">
        <f t="shared" si="77"/>
        <v>81</v>
      </c>
      <c r="M834">
        <f t="shared" si="78"/>
        <v>144</v>
      </c>
      <c r="N834" s="7" t="s">
        <v>1056</v>
      </c>
      <c r="O834" s="40">
        <v>1</v>
      </c>
      <c r="Y834">
        <f t="shared" si="76"/>
        <v>712</v>
      </c>
      <c r="AL834" t="s">
        <v>1064</v>
      </c>
    </row>
    <row r="835" spans="1:69" x14ac:dyDescent="0.25">
      <c r="A835" s="7" t="s">
        <v>460</v>
      </c>
      <c r="B835" s="40">
        <v>4100</v>
      </c>
      <c r="G835" s="7" t="s">
        <v>1057</v>
      </c>
      <c r="H835" s="40">
        <v>203</v>
      </c>
      <c r="I835" s="6" t="s">
        <v>8</v>
      </c>
      <c r="J835" t="s">
        <v>1095</v>
      </c>
      <c r="K835" s="7"/>
      <c r="L835">
        <f t="shared" si="77"/>
        <v>203</v>
      </c>
      <c r="M835">
        <f t="shared" si="78"/>
        <v>144</v>
      </c>
      <c r="N835" s="7" t="s">
        <v>1057</v>
      </c>
      <c r="O835" s="40">
        <v>1</v>
      </c>
      <c r="Y835">
        <f t="shared" si="76"/>
        <v>712</v>
      </c>
      <c r="AL835" s="27">
        <v>193367</v>
      </c>
    </row>
    <row r="836" spans="1:69" x14ac:dyDescent="0.25">
      <c r="A836" s="7" t="s">
        <v>391</v>
      </c>
      <c r="B836" s="40">
        <v>4000</v>
      </c>
      <c r="J836" s="7"/>
    </row>
    <row r="837" spans="1:69" ht="15" customHeight="1" x14ac:dyDescent="0.25">
      <c r="A837" s="7" t="s">
        <v>428</v>
      </c>
      <c r="B837" s="40">
        <v>4000</v>
      </c>
      <c r="F837" s="6" t="s">
        <v>1063</v>
      </c>
      <c r="G837" t="s">
        <v>1066</v>
      </c>
      <c r="I837" t="s">
        <v>1106</v>
      </c>
      <c r="K837" s="13" t="e">
        <f>GETPIVOTDATA("funds_raised_millions",$I$837)</f>
        <v>#REF!</v>
      </c>
      <c r="AO837" s="33">
        <f>GETPIVOTDATA("total_laid_off",$AL$834)/AO842</f>
        <v>234.95382746051033</v>
      </c>
      <c r="AP837" s="33"/>
    </row>
    <row r="838" spans="1:69" ht="15" customHeight="1" x14ac:dyDescent="0.25">
      <c r="A838" s="7" t="s">
        <v>872</v>
      </c>
      <c r="B838" s="40">
        <v>3900</v>
      </c>
      <c r="F838" s="7" t="s">
        <v>392</v>
      </c>
      <c r="G838" s="40">
        <v>35600</v>
      </c>
      <c r="I838" s="40">
        <v>1000</v>
      </c>
      <c r="K838" s="12" t="s">
        <v>1097</v>
      </c>
      <c r="M838" s="6" t="s">
        <v>8</v>
      </c>
      <c r="N838" t="s">
        <v>1095</v>
      </c>
      <c r="O838" s="12">
        <f>GETPIVOTDATA("total_laid_off",$M$840)</f>
        <v>193367</v>
      </c>
      <c r="Q838" s="6" t="s">
        <v>10</v>
      </c>
      <c r="R838" t="s">
        <v>1095</v>
      </c>
      <c r="AO838" s="33"/>
      <c r="AP838" s="33"/>
    </row>
    <row r="839" spans="1:69" x14ac:dyDescent="0.25">
      <c r="A839" s="7" t="s">
        <v>268</v>
      </c>
      <c r="B839" s="40">
        <v>3900</v>
      </c>
      <c r="F839" s="7" t="s">
        <v>574</v>
      </c>
      <c r="G839" s="40">
        <v>26500</v>
      </c>
      <c r="N839" s="7"/>
      <c r="O839" s="12" t="s">
        <v>1098</v>
      </c>
      <c r="R839" s="7"/>
      <c r="V839" s="7"/>
      <c r="BJ839" s="6" t="s">
        <v>1063</v>
      </c>
      <c r="BK839" t="s">
        <v>1066</v>
      </c>
      <c r="BL839" t="s">
        <v>1064</v>
      </c>
      <c r="BN839" t="s">
        <v>1063</v>
      </c>
      <c r="BO839" t="s">
        <v>1111</v>
      </c>
      <c r="BP839" t="s">
        <v>1112</v>
      </c>
      <c r="BQ839" t="s">
        <v>1110</v>
      </c>
    </row>
    <row r="840" spans="1:69" hidden="1" x14ac:dyDescent="0.25">
      <c r="F840" s="7" t="s">
        <v>193</v>
      </c>
      <c r="G840" s="40">
        <v>14400</v>
      </c>
      <c r="M840" t="s">
        <v>1064</v>
      </c>
      <c r="Q840" t="s">
        <v>1064</v>
      </c>
      <c r="V840" s="6" t="s">
        <v>1104</v>
      </c>
      <c r="AA840" s="6" t="s">
        <v>1104</v>
      </c>
      <c r="AF840" s="6" t="s">
        <v>8</v>
      </c>
      <c r="AG840" t="s">
        <v>1095</v>
      </c>
      <c r="AI840">
        <f>COUNTA(AJ844:AJ1666)</f>
        <v>823</v>
      </c>
      <c r="BG840" s="30">
        <f>AZ842/BF841</f>
        <v>0.92037786774628882</v>
      </c>
      <c r="BH840" s="30"/>
      <c r="BJ840" s="7">
        <v>99</v>
      </c>
      <c r="BK840" s="40">
        <v>244</v>
      </c>
      <c r="BL840" s="40">
        <v>75</v>
      </c>
      <c r="BN840">
        <f t="shared" ref="BN840" si="79">VLOOKUP(BJ840,BJ840:BL1663,1,0)</f>
        <v>99</v>
      </c>
      <c r="BO840">
        <f>RANK($BK$839:$BK$1662,$BK$839:$BK$1662,0)</f>
        <v>281</v>
      </c>
      <c r="BP840">
        <f>RANK($BL$840:$BL$1662,$BL$840:$BL$1662,0)</f>
        <v>341</v>
      </c>
      <c r="BQ840">
        <f>BO840+BP840</f>
        <v>622</v>
      </c>
    </row>
    <row r="841" spans="1:69" hidden="1" x14ac:dyDescent="0.25">
      <c r="F841" s="7" t="s">
        <v>796</v>
      </c>
      <c r="G841" s="40">
        <v>13600</v>
      </c>
      <c r="I841" s="36">
        <f>GETPIVOTDATA("company",$I$837)</f>
        <v>1000</v>
      </c>
      <c r="M841" s="40">
        <v>193367</v>
      </c>
      <c r="Q841" s="40">
        <v>193367</v>
      </c>
      <c r="V841" t="s">
        <v>19</v>
      </c>
      <c r="W841" t="s">
        <v>1105</v>
      </c>
      <c r="AA841" t="s">
        <v>41</v>
      </c>
      <c r="AB841" t="s">
        <v>1105</v>
      </c>
      <c r="AD841" s="35">
        <f>GETPIVOTDATA("total_laid_off",$Z$840)</f>
        <v>30545</v>
      </c>
      <c r="BF841">
        <f>COUNTA(BC843:BC1583)</f>
        <v>741</v>
      </c>
      <c r="BG841" s="30"/>
      <c r="BH841" s="30"/>
      <c r="BJ841" s="7" t="s">
        <v>26</v>
      </c>
      <c r="BK841" s="40">
        <v>21</v>
      </c>
      <c r="BL841" s="40">
        <v>19</v>
      </c>
      <c r="BN841" t="str">
        <f>VLOOKUP(BJ841,BJ841:BL1663,1,0)</f>
        <v>#Paid</v>
      </c>
      <c r="BO841">
        <f t="shared" ref="BO841:BO904" si="80">RANK($BK$839:$BK$1662,$BK$839:$BK$1662,0)</f>
        <v>636</v>
      </c>
      <c r="BP841">
        <f t="shared" ref="BP841:BP904" si="81">RANK($BL$840:$BL$1662,$BL$840:$BL$1662,0)</f>
        <v>603</v>
      </c>
      <c r="BQ841">
        <f t="shared" ref="BQ841:BQ904" si="82">BO841+BP841</f>
        <v>1239</v>
      </c>
    </row>
    <row r="842" spans="1:69" hidden="1" x14ac:dyDescent="0.25">
      <c r="F842" s="7" t="s">
        <v>116</v>
      </c>
      <c r="G842" s="40">
        <v>11800</v>
      </c>
      <c r="I842" s="36"/>
      <c r="R842" s="35">
        <f>GETPIVOTDATA("total_laid_off",$Q$840)</f>
        <v>193367</v>
      </c>
      <c r="S842" s="35"/>
      <c r="U842" t="s">
        <v>1064</v>
      </c>
      <c r="V842" s="40">
        <v>130761</v>
      </c>
      <c r="W842" s="40">
        <v>130761</v>
      </c>
      <c r="Z842" t="s">
        <v>1064</v>
      </c>
      <c r="AA842" s="27">
        <v>30545</v>
      </c>
      <c r="AB842" s="27">
        <v>30545</v>
      </c>
      <c r="AD842" s="35"/>
      <c r="AF842" t="s">
        <v>1066</v>
      </c>
      <c r="AL842" s="6" t="s">
        <v>1063</v>
      </c>
      <c r="AM842" t="s">
        <v>1068</v>
      </c>
      <c r="AO842">
        <f>COUNTA(AM843:AM1665)</f>
        <v>823</v>
      </c>
      <c r="AW842" s="6" t="s">
        <v>1063</v>
      </c>
      <c r="AX842" t="s">
        <v>1064</v>
      </c>
      <c r="AZ842">
        <f>COUNTA(AW843:AW1524)</f>
        <v>682</v>
      </c>
      <c r="BC842" s="6" t="s">
        <v>1063</v>
      </c>
      <c r="BD842" t="s">
        <v>1066</v>
      </c>
      <c r="BJ842" s="7" t="s">
        <v>20</v>
      </c>
      <c r="BK842" s="40">
        <v>35</v>
      </c>
      <c r="BL842" s="40">
        <v>9</v>
      </c>
      <c r="BN842" t="str">
        <f>VLOOKUP(BJ842,BJ842:BL1663,1,0)</f>
        <v>&amp;Open</v>
      </c>
      <c r="BO842">
        <f t="shared" si="80"/>
        <v>588</v>
      </c>
      <c r="BP842">
        <f t="shared" si="81"/>
        <v>662</v>
      </c>
      <c r="BQ842">
        <f t="shared" si="82"/>
        <v>1250</v>
      </c>
    </row>
    <row r="843" spans="1:69" hidden="1" x14ac:dyDescent="0.25">
      <c r="F843" s="7" t="s">
        <v>391</v>
      </c>
      <c r="G843" s="40">
        <v>11000</v>
      </c>
      <c r="M843" s="35">
        <f>GETPIVOTDATA("total_laid_off",$M$840)</f>
        <v>193367</v>
      </c>
      <c r="R843" s="35"/>
      <c r="S843" s="35"/>
      <c r="AF843" s="27">
        <v>428898</v>
      </c>
      <c r="AI843" s="6" t="s">
        <v>1063</v>
      </c>
      <c r="AJ843" t="s">
        <v>1109</v>
      </c>
      <c r="AL843" s="7">
        <v>99</v>
      </c>
      <c r="AM843" s="27">
        <v>1</v>
      </c>
      <c r="AW843" s="7">
        <v>99</v>
      </c>
      <c r="AX843" s="27">
        <v>75</v>
      </c>
      <c r="BC843" s="7">
        <v>99</v>
      </c>
      <c r="BD843" s="27">
        <v>244</v>
      </c>
      <c r="BJ843" s="7" t="s">
        <v>32</v>
      </c>
      <c r="BK843" s="40">
        <v>120</v>
      </c>
      <c r="BL843" s="40">
        <v>12</v>
      </c>
      <c r="BN843" t="str">
        <f>VLOOKUP(BJ843,BJ843:BL1663,1,0)</f>
        <v>100 Thieves</v>
      </c>
      <c r="BO843">
        <f t="shared" si="80"/>
        <v>407</v>
      </c>
      <c r="BP843">
        <f t="shared" si="81"/>
        <v>640</v>
      </c>
      <c r="BQ843">
        <f t="shared" si="82"/>
        <v>1047</v>
      </c>
    </row>
    <row r="844" spans="1:69" hidden="1" x14ac:dyDescent="0.25">
      <c r="F844" s="7" t="s">
        <v>801</v>
      </c>
      <c r="G844" s="40">
        <v>9900</v>
      </c>
      <c r="M844" s="35"/>
      <c r="V844" s="35">
        <f>GETPIVOTDATA("total_laid_off",$U$840,"country","United States")</f>
        <v>130761</v>
      </c>
      <c r="W844" s="36" t="str">
        <f>V841</f>
        <v>United States</v>
      </c>
      <c r="X844" s="36"/>
      <c r="AA844" s="36"/>
      <c r="AI844" s="7">
        <v>99</v>
      </c>
      <c r="AJ844" s="40">
        <v>1</v>
      </c>
      <c r="AL844" s="7" t="s">
        <v>26</v>
      </c>
      <c r="AM844" s="27">
        <v>1</v>
      </c>
      <c r="AS844" s="34">
        <f>GETPIVOTDATA("total_laid_off",$AL$834)/GETPIVOTDATA("funds_raised_millions",$AF$842)</f>
        <v>0.45084612192176227</v>
      </c>
      <c r="AT844" s="34"/>
      <c r="AW844" s="7" t="s">
        <v>26</v>
      </c>
      <c r="AX844" s="27">
        <v>19</v>
      </c>
      <c r="BC844" s="7" t="s">
        <v>26</v>
      </c>
      <c r="BD844" s="27">
        <v>21</v>
      </c>
      <c r="BJ844" s="7" t="s">
        <v>36</v>
      </c>
      <c r="BK844" s="40">
        <v>242</v>
      </c>
      <c r="BL844" s="40">
        <v>100</v>
      </c>
      <c r="BN844" t="str">
        <f>VLOOKUP(BJ844,BJ844:BL1663,1,0)</f>
        <v>10X Genomics</v>
      </c>
      <c r="BO844">
        <f t="shared" si="80"/>
        <v>286</v>
      </c>
      <c r="BP844">
        <f t="shared" si="81"/>
        <v>254</v>
      </c>
      <c r="BQ844">
        <f t="shared" si="82"/>
        <v>540</v>
      </c>
    </row>
    <row r="845" spans="1:69" hidden="1" x14ac:dyDescent="0.25">
      <c r="F845" s="7" t="s">
        <v>973</v>
      </c>
      <c r="G845" s="40">
        <v>7400</v>
      </c>
      <c r="L845" s="7"/>
      <c r="M845" s="35">
        <f>GETPIVOTDATA("total_laid_off",$M$840)</f>
        <v>193367</v>
      </c>
      <c r="N845">
        <f>GETPIVOTDATA("total_laid_off",$M$840)</f>
        <v>193367</v>
      </c>
      <c r="V845" s="35"/>
      <c r="W845" s="36"/>
      <c r="X845" s="36"/>
      <c r="AA845" s="36"/>
      <c r="AD845" s="36" t="str">
        <f>AA841</f>
        <v>Retail</v>
      </c>
      <c r="AE845" s="36"/>
      <c r="AF845" s="31">
        <f>GETPIVOTDATA("funds_raised_millions",$AF$842)</f>
        <v>428898</v>
      </c>
      <c r="AI845" s="7" t="s">
        <v>26</v>
      </c>
      <c r="AJ845" s="40">
        <v>1</v>
      </c>
      <c r="AL845" s="7" t="s">
        <v>20</v>
      </c>
      <c r="AM845" s="27">
        <v>1</v>
      </c>
      <c r="AS845" s="34"/>
      <c r="AT845" s="34"/>
      <c r="AW845" s="7" t="s">
        <v>20</v>
      </c>
      <c r="AX845" s="27">
        <v>9</v>
      </c>
      <c r="BC845" s="7" t="s">
        <v>20</v>
      </c>
      <c r="BD845" s="27">
        <v>35</v>
      </c>
      <c r="BJ845" s="7" t="s">
        <v>39</v>
      </c>
      <c r="BK845" s="40">
        <v>253</v>
      </c>
      <c r="BL845" s="40">
        <v>70</v>
      </c>
      <c r="BN845" t="str">
        <f>VLOOKUP(BJ845,BJ845:BL1663,1,0)</f>
        <v>1stdibs</v>
      </c>
      <c r="BO845">
        <f t="shared" si="80"/>
        <v>275</v>
      </c>
      <c r="BP845">
        <f t="shared" si="81"/>
        <v>350</v>
      </c>
      <c r="BQ845">
        <f t="shared" si="82"/>
        <v>625</v>
      </c>
    </row>
    <row r="846" spans="1:69" hidden="1" x14ac:dyDescent="0.25">
      <c r="F846" s="7" t="s">
        <v>529</v>
      </c>
      <c r="G846" s="40">
        <v>5300</v>
      </c>
      <c r="K846" s="6" t="s">
        <v>1063</v>
      </c>
      <c r="L846" t="s">
        <v>1064</v>
      </c>
      <c r="M846" s="35"/>
      <c r="P846" s="24"/>
      <c r="Q846" s="25" t="s">
        <v>1103</v>
      </c>
      <c r="AD846" s="36"/>
      <c r="AE846" s="36"/>
      <c r="AF846" s="31"/>
      <c r="AI846" s="7" t="s">
        <v>20</v>
      </c>
      <c r="AJ846" s="40">
        <v>1</v>
      </c>
      <c r="AL846" s="7" t="s">
        <v>32</v>
      </c>
      <c r="AM846" s="27">
        <v>1</v>
      </c>
      <c r="AW846" s="7" t="s">
        <v>32</v>
      </c>
      <c r="AX846" s="27">
        <v>12</v>
      </c>
      <c r="BC846" s="7" t="s">
        <v>32</v>
      </c>
      <c r="BD846" s="27">
        <v>120</v>
      </c>
      <c r="BJ846" s="7" t="s">
        <v>44</v>
      </c>
      <c r="BK846" s="40">
        <v>500</v>
      </c>
      <c r="BL846" s="40">
        <v>190</v>
      </c>
      <c r="BN846" t="str">
        <f>VLOOKUP(BJ846,BJ846:BL1663,1,0)</f>
        <v>2TM</v>
      </c>
      <c r="BO846">
        <f t="shared" si="80"/>
        <v>164</v>
      </c>
      <c r="BP846">
        <f t="shared" si="81"/>
        <v>165</v>
      </c>
      <c r="BQ846">
        <f t="shared" si="82"/>
        <v>329</v>
      </c>
    </row>
    <row r="847" spans="1:69" hidden="1" x14ac:dyDescent="0.25">
      <c r="F847" s="7" t="s">
        <v>932</v>
      </c>
      <c r="G847" s="40">
        <v>5100</v>
      </c>
      <c r="K847" s="7" t="s">
        <v>37</v>
      </c>
      <c r="L847" s="14">
        <v>19472</v>
      </c>
      <c r="P847" s="22" t="s">
        <v>153</v>
      </c>
      <c r="Q847" s="23">
        <v>18150</v>
      </c>
      <c r="AF847" s="31"/>
      <c r="AI847" s="7" t="s">
        <v>32</v>
      </c>
      <c r="AJ847" s="40">
        <v>1</v>
      </c>
      <c r="AL847" s="7" t="s">
        <v>36</v>
      </c>
      <c r="AM847" s="27">
        <v>1</v>
      </c>
      <c r="AW847" s="7" t="s">
        <v>36</v>
      </c>
      <c r="AX847" s="27">
        <v>100</v>
      </c>
      <c r="BC847" s="7" t="s">
        <v>36</v>
      </c>
      <c r="BD847" s="27">
        <v>242</v>
      </c>
      <c r="BJ847" s="7" t="s">
        <v>49</v>
      </c>
      <c r="BK847" s="40">
        <v>426</v>
      </c>
      <c r="BL847" s="40">
        <v>0</v>
      </c>
      <c r="BN847" t="str">
        <f>VLOOKUP(BJ847,BJ847:BL1663,1,0)</f>
        <v>2U</v>
      </c>
      <c r="BO847">
        <f t="shared" si="80"/>
        <v>185</v>
      </c>
      <c r="BP847">
        <f t="shared" si="81"/>
        <v>683</v>
      </c>
      <c r="BQ847">
        <f t="shared" si="82"/>
        <v>868</v>
      </c>
    </row>
    <row r="848" spans="1:69" hidden="1" x14ac:dyDescent="0.25">
      <c r="K848" s="7" t="s">
        <v>53</v>
      </c>
      <c r="L848" s="14">
        <v>10170</v>
      </c>
      <c r="U848" t="str">
        <f>P847</f>
        <v>Amazon</v>
      </c>
      <c r="V848" t="e">
        <f>GETPIVOTDATA("total_laid_off",$P$846,"company","Blackbaud")</f>
        <v>#REF!</v>
      </c>
      <c r="Z848" s="6" t="s">
        <v>2</v>
      </c>
      <c r="AA848" s="1" t="s">
        <v>1107</v>
      </c>
      <c r="AC848">
        <f>COUNTIF(AA849:AA1671,1)</f>
        <v>61</v>
      </c>
      <c r="AE848">
        <f>COUNTA(AA849:AA1671)</f>
        <v>823</v>
      </c>
      <c r="AI848" s="7" t="s">
        <v>36</v>
      </c>
      <c r="AJ848" s="40">
        <v>1</v>
      </c>
      <c r="AL848" s="7" t="s">
        <v>39</v>
      </c>
      <c r="AM848" s="27">
        <v>1</v>
      </c>
      <c r="AW848" s="7" t="s">
        <v>39</v>
      </c>
      <c r="AX848" s="27">
        <v>70</v>
      </c>
      <c r="BC848" s="7" t="s">
        <v>39</v>
      </c>
      <c r="BD848" s="27">
        <v>253</v>
      </c>
      <c r="BJ848" s="7" t="s">
        <v>52</v>
      </c>
      <c r="BK848" s="40">
        <v>44</v>
      </c>
      <c r="BL848" s="40">
        <v>95</v>
      </c>
      <c r="BN848" t="str">
        <f>VLOOKUP(BJ848,BJ848:BL1663,1,0)</f>
        <v>54gene</v>
      </c>
      <c r="BO848">
        <f t="shared" si="80"/>
        <v>562</v>
      </c>
      <c r="BP848">
        <f t="shared" si="81"/>
        <v>291</v>
      </c>
      <c r="BQ848">
        <f t="shared" si="82"/>
        <v>853</v>
      </c>
    </row>
    <row r="849" spans="11:69" hidden="1" x14ac:dyDescent="0.25">
      <c r="K849" s="7" t="s">
        <v>61</v>
      </c>
      <c r="L849" s="14">
        <v>7237</v>
      </c>
      <c r="Z849" s="7">
        <v>99</v>
      </c>
      <c r="AA849" s="1">
        <v>0.02</v>
      </c>
      <c r="AC849" s="26">
        <f>AC848/AE848</f>
        <v>7.4119076549210211E-2</v>
      </c>
      <c r="AI849" s="7" t="s">
        <v>39</v>
      </c>
      <c r="AJ849" s="40">
        <v>1</v>
      </c>
      <c r="AL849" s="7" t="s">
        <v>44</v>
      </c>
      <c r="AM849" s="27">
        <v>2</v>
      </c>
      <c r="AW849" s="7" t="s">
        <v>44</v>
      </c>
      <c r="AX849" s="27">
        <v>190</v>
      </c>
      <c r="BC849" s="7" t="s">
        <v>44</v>
      </c>
      <c r="BD849" s="27">
        <v>500</v>
      </c>
      <c r="BJ849" s="7" t="s">
        <v>54</v>
      </c>
      <c r="BK849" s="40">
        <v>12</v>
      </c>
      <c r="BL849" s="40">
        <v>0</v>
      </c>
      <c r="BN849" t="str">
        <f>VLOOKUP(BJ849,BJ849:BL1663,1,0)</f>
        <v>5B Solar</v>
      </c>
      <c r="BO849">
        <f t="shared" si="80"/>
        <v>679</v>
      </c>
      <c r="BP849">
        <f t="shared" si="81"/>
        <v>683</v>
      </c>
      <c r="BQ849">
        <f t="shared" si="82"/>
        <v>1362</v>
      </c>
    </row>
    <row r="850" spans="11:69" hidden="1" x14ac:dyDescent="0.25">
      <c r="K850" s="7" t="s">
        <v>42</v>
      </c>
      <c r="L850" s="14">
        <v>17672</v>
      </c>
      <c r="Z850" s="7" t="s">
        <v>26</v>
      </c>
      <c r="AA850" s="1">
        <v>0.17</v>
      </c>
      <c r="AC850" s="37">
        <f>AC849</f>
        <v>7.4119076549210211E-2</v>
      </c>
      <c r="AF850" s="32">
        <f>AF845/AI840</f>
        <v>521.13973268529764</v>
      </c>
      <c r="AI850" s="7" t="s">
        <v>44</v>
      </c>
      <c r="AJ850" s="40">
        <v>2</v>
      </c>
      <c r="AL850" s="7" t="s">
        <v>49</v>
      </c>
      <c r="AM850" s="27">
        <v>1</v>
      </c>
      <c r="AW850" s="7" t="s">
        <v>52</v>
      </c>
      <c r="AX850" s="27">
        <v>95</v>
      </c>
      <c r="BC850" s="7" t="s">
        <v>49</v>
      </c>
      <c r="BD850" s="27">
        <v>426</v>
      </c>
      <c r="BJ850" s="7" t="s">
        <v>59</v>
      </c>
      <c r="BK850" s="40">
        <v>426</v>
      </c>
      <c r="BL850" s="40">
        <v>150</v>
      </c>
      <c r="BN850" t="str">
        <f>VLOOKUP(BJ850,BJ850:BL1663,1,0)</f>
        <v>6sense</v>
      </c>
      <c r="BO850">
        <f t="shared" si="80"/>
        <v>185</v>
      </c>
      <c r="BP850">
        <f t="shared" si="81"/>
        <v>193</v>
      </c>
      <c r="BQ850">
        <f t="shared" si="82"/>
        <v>378</v>
      </c>
    </row>
    <row r="851" spans="11:69" hidden="1" x14ac:dyDescent="0.25">
      <c r="K851" s="7" t="s">
        <v>29</v>
      </c>
      <c r="L851" s="14">
        <v>37372</v>
      </c>
      <c r="Z851" s="7" t="s">
        <v>20</v>
      </c>
      <c r="AA851" s="1">
        <v>0.09</v>
      </c>
      <c r="AC851" s="37"/>
      <c r="AF851" s="32"/>
      <c r="AI851" s="7" t="s">
        <v>49</v>
      </c>
      <c r="AJ851" s="40">
        <v>1</v>
      </c>
      <c r="AL851" s="7" t="s">
        <v>52</v>
      </c>
      <c r="AM851" s="27">
        <v>1</v>
      </c>
      <c r="AW851" s="7" t="s">
        <v>59</v>
      </c>
      <c r="AX851" s="27">
        <v>150</v>
      </c>
      <c r="BC851" s="7" t="s">
        <v>52</v>
      </c>
      <c r="BD851" s="27">
        <v>44</v>
      </c>
      <c r="BJ851" s="7" t="s">
        <v>62</v>
      </c>
      <c r="BK851" s="40">
        <v>275</v>
      </c>
      <c r="BL851" s="40">
        <v>0</v>
      </c>
      <c r="BN851" t="str">
        <f>VLOOKUP(BJ851,BJ851:BL1663,1,0)</f>
        <v>80 Acres Farms</v>
      </c>
      <c r="BO851">
        <f t="shared" si="80"/>
        <v>260</v>
      </c>
      <c r="BP851">
        <f t="shared" si="81"/>
        <v>683</v>
      </c>
      <c r="BQ851">
        <f t="shared" si="82"/>
        <v>943</v>
      </c>
    </row>
    <row r="852" spans="11:69" hidden="1" x14ac:dyDescent="0.25">
      <c r="K852" s="7" t="s">
        <v>17</v>
      </c>
      <c r="L852" s="14">
        <v>13632</v>
      </c>
      <c r="Z852" s="7" t="s">
        <v>32</v>
      </c>
      <c r="AA852" s="1">
        <v>0</v>
      </c>
      <c r="AI852" s="7" t="s">
        <v>52</v>
      </c>
      <c r="AJ852" s="40">
        <v>1</v>
      </c>
      <c r="AL852" s="7" t="s">
        <v>54</v>
      </c>
      <c r="AM852" s="27">
        <v>1</v>
      </c>
      <c r="AW852" s="7" t="s">
        <v>65</v>
      </c>
      <c r="AX852" s="27">
        <v>355</v>
      </c>
      <c r="BC852" s="7" t="s">
        <v>54</v>
      </c>
      <c r="BD852" s="27">
        <v>12</v>
      </c>
      <c r="BJ852" s="7" t="s">
        <v>65</v>
      </c>
      <c r="BK852" s="40">
        <v>506</v>
      </c>
      <c r="BL852" s="40">
        <v>355</v>
      </c>
      <c r="BN852" t="str">
        <f t="shared" ref="BN852:BN915" si="83">VLOOKUP(BJ852,BJ852:BL1663,1,0)</f>
        <v>8x8</v>
      </c>
      <c r="BO852">
        <f t="shared" si="80"/>
        <v>162</v>
      </c>
      <c r="BP852">
        <f t="shared" si="81"/>
        <v>93</v>
      </c>
      <c r="BQ852">
        <f t="shared" si="82"/>
        <v>255</v>
      </c>
    </row>
    <row r="853" spans="11:69" hidden="1" x14ac:dyDescent="0.25">
      <c r="K853" s="7" t="s">
        <v>73</v>
      </c>
      <c r="L853" s="14">
        <v>20878</v>
      </c>
      <c r="Z853" s="7" t="s">
        <v>36</v>
      </c>
      <c r="AA853" s="1">
        <v>0.08</v>
      </c>
      <c r="AI853" s="7" t="s">
        <v>54</v>
      </c>
      <c r="AJ853" s="40">
        <v>1</v>
      </c>
      <c r="AL853" s="7" t="s">
        <v>59</v>
      </c>
      <c r="AM853" s="27">
        <v>1</v>
      </c>
      <c r="AW853" s="7" t="s">
        <v>72</v>
      </c>
      <c r="AX853" s="27">
        <v>12</v>
      </c>
      <c r="BC853" s="7" t="s">
        <v>59</v>
      </c>
      <c r="BD853" s="27">
        <v>426</v>
      </c>
      <c r="BJ853" s="7" t="s">
        <v>67</v>
      </c>
      <c r="BK853" s="40">
        <v>247</v>
      </c>
      <c r="BL853" s="40">
        <v>0</v>
      </c>
      <c r="BN853" t="str">
        <f t="shared" si="83"/>
        <v>98point6</v>
      </c>
      <c r="BO853">
        <f t="shared" si="80"/>
        <v>277</v>
      </c>
      <c r="BP853">
        <f t="shared" si="81"/>
        <v>683</v>
      </c>
      <c r="BQ853">
        <f t="shared" si="82"/>
        <v>960</v>
      </c>
    </row>
    <row r="854" spans="11:69" hidden="1" x14ac:dyDescent="0.25">
      <c r="K854" s="7" t="s">
        <v>57</v>
      </c>
      <c r="L854" s="14">
        <v>9144</v>
      </c>
      <c r="Z854" s="7" t="s">
        <v>39</v>
      </c>
      <c r="AA854" s="1">
        <v>0.17</v>
      </c>
      <c r="AI854" s="7" t="s">
        <v>59</v>
      </c>
      <c r="AJ854" s="40">
        <v>1</v>
      </c>
      <c r="AL854" s="7" t="s">
        <v>62</v>
      </c>
      <c r="AM854" s="27">
        <v>1</v>
      </c>
      <c r="AW854" s="7" t="s">
        <v>74</v>
      </c>
      <c r="AX854" s="27">
        <v>40</v>
      </c>
      <c r="BC854" s="7" t="s">
        <v>62</v>
      </c>
      <c r="BD854" s="27">
        <v>275</v>
      </c>
      <c r="BJ854" s="7" t="s">
        <v>72</v>
      </c>
      <c r="BK854" s="40">
        <v>106</v>
      </c>
      <c r="BL854" s="40">
        <v>12</v>
      </c>
      <c r="BN854" t="str">
        <f t="shared" si="83"/>
        <v>Abra</v>
      </c>
      <c r="BO854">
        <f t="shared" si="80"/>
        <v>428</v>
      </c>
      <c r="BP854">
        <f t="shared" si="81"/>
        <v>640</v>
      </c>
      <c r="BQ854">
        <f t="shared" si="82"/>
        <v>1068</v>
      </c>
    </row>
    <row r="855" spans="11:69" hidden="1" x14ac:dyDescent="0.25">
      <c r="K855" s="7" t="s">
        <v>86</v>
      </c>
      <c r="L855" s="14">
        <v>14756</v>
      </c>
      <c r="Z855" s="7" t="s">
        <v>44</v>
      </c>
      <c r="AA855" s="1">
        <v>0.15</v>
      </c>
      <c r="AI855" s="7" t="s">
        <v>62</v>
      </c>
      <c r="AJ855" s="40">
        <v>1</v>
      </c>
      <c r="AL855" s="7" t="s">
        <v>65</v>
      </c>
      <c r="AM855" s="27">
        <v>2</v>
      </c>
      <c r="AW855" s="7" t="s">
        <v>76</v>
      </c>
      <c r="AX855" s="27">
        <v>70</v>
      </c>
      <c r="BC855" s="7" t="s">
        <v>65</v>
      </c>
      <c r="BD855" s="27">
        <v>506</v>
      </c>
      <c r="BJ855" s="7" t="s">
        <v>74</v>
      </c>
      <c r="BK855" s="40">
        <v>237</v>
      </c>
      <c r="BL855" s="40">
        <v>40</v>
      </c>
      <c r="BN855" t="str">
        <f t="shared" si="83"/>
        <v>Absci</v>
      </c>
      <c r="BO855">
        <f t="shared" si="80"/>
        <v>290</v>
      </c>
      <c r="BP855">
        <f t="shared" si="81"/>
        <v>454</v>
      </c>
      <c r="BQ855">
        <f t="shared" si="82"/>
        <v>744</v>
      </c>
    </row>
    <row r="856" spans="11:69" hidden="1" x14ac:dyDescent="0.25">
      <c r="K856" s="7" t="s">
        <v>23</v>
      </c>
      <c r="L856" s="14">
        <v>24318</v>
      </c>
      <c r="Z856" s="7" t="s">
        <v>49</v>
      </c>
      <c r="AA856" s="1">
        <v>0.2</v>
      </c>
      <c r="AI856" s="7" t="s">
        <v>65</v>
      </c>
      <c r="AJ856" s="40">
        <v>2</v>
      </c>
      <c r="AL856" s="7" t="s">
        <v>67</v>
      </c>
      <c r="AM856" s="27">
        <v>1</v>
      </c>
      <c r="AW856" s="7" t="s">
        <v>80</v>
      </c>
      <c r="AX856" s="27">
        <v>45</v>
      </c>
      <c r="BC856" s="7" t="s">
        <v>67</v>
      </c>
      <c r="BD856" s="27">
        <v>247</v>
      </c>
      <c r="BJ856" s="7" t="s">
        <v>76</v>
      </c>
      <c r="BK856" s="40">
        <v>126</v>
      </c>
      <c r="BL856" s="40">
        <v>70</v>
      </c>
      <c r="BN856" t="str">
        <f t="shared" si="83"/>
        <v>Acast</v>
      </c>
      <c r="BO856">
        <f t="shared" si="80"/>
        <v>401</v>
      </c>
      <c r="BP856">
        <f t="shared" si="81"/>
        <v>350</v>
      </c>
      <c r="BQ856">
        <f t="shared" si="82"/>
        <v>751</v>
      </c>
    </row>
    <row r="857" spans="11:69" hidden="1" x14ac:dyDescent="0.25">
      <c r="K857" s="7" t="s">
        <v>95</v>
      </c>
      <c r="L857" s="14">
        <v>12026</v>
      </c>
      <c r="Z857" s="7" t="s">
        <v>52</v>
      </c>
      <c r="AA857" s="1">
        <v>0.3</v>
      </c>
      <c r="AI857" s="7" t="s">
        <v>67</v>
      </c>
      <c r="AJ857" s="40">
        <v>1</v>
      </c>
      <c r="AL857" s="7" t="s">
        <v>72</v>
      </c>
      <c r="AM857" s="27">
        <v>1</v>
      </c>
      <c r="AW857" s="7" t="s">
        <v>84</v>
      </c>
      <c r="AX857" s="27">
        <v>50</v>
      </c>
      <c r="BC857" s="7" t="s">
        <v>72</v>
      </c>
      <c r="BD857" s="27">
        <v>106</v>
      </c>
      <c r="BJ857" s="7" t="s">
        <v>80</v>
      </c>
      <c r="BK857" s="40">
        <v>143</v>
      </c>
      <c r="BL857" s="40">
        <v>45</v>
      </c>
      <c r="BN857" t="str">
        <f t="shared" si="83"/>
        <v>Acko</v>
      </c>
      <c r="BO857">
        <f t="shared" si="80"/>
        <v>382</v>
      </c>
      <c r="BP857">
        <f t="shared" si="81"/>
        <v>441</v>
      </c>
      <c r="BQ857">
        <f t="shared" si="82"/>
        <v>823</v>
      </c>
    </row>
    <row r="858" spans="11:69" hidden="1" x14ac:dyDescent="0.25">
      <c r="K858" s="7" t="s">
        <v>70</v>
      </c>
      <c r="L858" s="14">
        <v>6190</v>
      </c>
      <c r="Z858" s="7" t="s">
        <v>54</v>
      </c>
      <c r="AA858" s="1">
        <v>0.25</v>
      </c>
      <c r="AI858" s="7" t="s">
        <v>72</v>
      </c>
      <c r="AJ858" s="40">
        <v>1</v>
      </c>
      <c r="AL858" s="7" t="s">
        <v>74</v>
      </c>
      <c r="AM858" s="27">
        <v>1</v>
      </c>
      <c r="AW858" s="7" t="s">
        <v>87</v>
      </c>
      <c r="AX858" s="27">
        <v>54</v>
      </c>
      <c r="BC858" s="7" t="s">
        <v>74</v>
      </c>
      <c r="BD858" s="27">
        <v>237</v>
      </c>
      <c r="BJ858" s="7" t="s">
        <v>84</v>
      </c>
      <c r="BK858" s="40">
        <v>207</v>
      </c>
      <c r="BL858" s="40">
        <v>50</v>
      </c>
      <c r="BN858" t="str">
        <f t="shared" si="83"/>
        <v>Acorns</v>
      </c>
      <c r="BO858">
        <f t="shared" si="80"/>
        <v>313</v>
      </c>
      <c r="BP858">
        <f t="shared" si="81"/>
        <v>410</v>
      </c>
      <c r="BQ858">
        <f t="shared" si="82"/>
        <v>723</v>
      </c>
    </row>
    <row r="859" spans="11:69" hidden="1" x14ac:dyDescent="0.25">
      <c r="Z859" s="7" t="s">
        <v>59</v>
      </c>
      <c r="AA859" s="1">
        <v>0.1</v>
      </c>
      <c r="AI859" s="7" t="s">
        <v>74</v>
      </c>
      <c r="AJ859" s="40">
        <v>1</v>
      </c>
      <c r="AL859" s="7" t="s">
        <v>76</v>
      </c>
      <c r="AM859" s="27">
        <v>1</v>
      </c>
      <c r="AW859" s="7" t="s">
        <v>92</v>
      </c>
      <c r="AX859" s="27">
        <v>78</v>
      </c>
      <c r="BC859" s="7" t="s">
        <v>76</v>
      </c>
      <c r="BD859" s="27">
        <v>126</v>
      </c>
      <c r="BJ859" s="7" t="s">
        <v>87</v>
      </c>
      <c r="BK859" s="40">
        <v>352</v>
      </c>
      <c r="BL859" s="40">
        <v>54</v>
      </c>
      <c r="BN859" t="str">
        <f t="shared" si="83"/>
        <v>Actifio</v>
      </c>
      <c r="BO859">
        <f t="shared" si="80"/>
        <v>214</v>
      </c>
      <c r="BP859">
        <f t="shared" si="81"/>
        <v>404</v>
      </c>
      <c r="BQ859">
        <f t="shared" si="82"/>
        <v>618</v>
      </c>
    </row>
    <row r="860" spans="11:69" hidden="1" x14ac:dyDescent="0.25">
      <c r="Z860" s="7" t="s">
        <v>62</v>
      </c>
      <c r="AA860" s="1">
        <v>0.1</v>
      </c>
      <c r="AI860" s="7" t="s">
        <v>76</v>
      </c>
      <c r="AJ860" s="40">
        <v>1</v>
      </c>
      <c r="AL860" s="7" t="s">
        <v>80</v>
      </c>
      <c r="AM860" s="27">
        <v>1</v>
      </c>
      <c r="AW860" s="7" t="s">
        <v>93</v>
      </c>
      <c r="AX860" s="27">
        <v>50</v>
      </c>
      <c r="BC860" s="7" t="s">
        <v>80</v>
      </c>
      <c r="BD860" s="27">
        <v>143</v>
      </c>
      <c r="BJ860" s="7" t="s">
        <v>90</v>
      </c>
      <c r="BK860" s="40">
        <v>360</v>
      </c>
      <c r="BL860" s="40">
        <v>0</v>
      </c>
      <c r="BN860" t="str">
        <f t="shared" si="83"/>
        <v>ActiveCampaign</v>
      </c>
      <c r="BO860">
        <f t="shared" si="80"/>
        <v>210</v>
      </c>
      <c r="BP860">
        <f t="shared" si="81"/>
        <v>683</v>
      </c>
      <c r="BQ860">
        <f t="shared" si="82"/>
        <v>893</v>
      </c>
    </row>
    <row r="861" spans="11:69" hidden="1" x14ac:dyDescent="0.25">
      <c r="Z861" s="7" t="s">
        <v>65</v>
      </c>
      <c r="AA861" s="1">
        <v>0.09</v>
      </c>
      <c r="AI861" s="7" t="s">
        <v>80</v>
      </c>
      <c r="AJ861" s="40">
        <v>1</v>
      </c>
      <c r="AL861" s="7" t="s">
        <v>84</v>
      </c>
      <c r="AM861" s="27">
        <v>1</v>
      </c>
      <c r="AW861" s="7" t="s">
        <v>97</v>
      </c>
      <c r="AX861" s="27">
        <v>36</v>
      </c>
      <c r="BC861" s="7" t="s">
        <v>84</v>
      </c>
      <c r="BD861" s="27">
        <v>207</v>
      </c>
      <c r="BJ861" s="7" t="s">
        <v>92</v>
      </c>
      <c r="BK861" s="40">
        <v>190</v>
      </c>
      <c r="BL861" s="40">
        <v>78</v>
      </c>
      <c r="BN861" t="str">
        <f t="shared" si="83"/>
        <v>Ada</v>
      </c>
      <c r="BO861">
        <f t="shared" si="80"/>
        <v>330</v>
      </c>
      <c r="BP861">
        <f t="shared" si="81"/>
        <v>335</v>
      </c>
      <c r="BQ861">
        <f t="shared" si="82"/>
        <v>665</v>
      </c>
    </row>
    <row r="862" spans="11:69" hidden="1" x14ac:dyDescent="0.25">
      <c r="Z862" s="7" t="s">
        <v>67</v>
      </c>
      <c r="AA862" s="1">
        <v>0.1</v>
      </c>
      <c r="AI862" s="7" t="s">
        <v>84</v>
      </c>
      <c r="AJ862" s="40">
        <v>1</v>
      </c>
      <c r="AL862" s="7" t="s">
        <v>87</v>
      </c>
      <c r="AM862" s="27">
        <v>1</v>
      </c>
      <c r="AW862" s="7" t="s">
        <v>98</v>
      </c>
      <c r="AX862" s="27">
        <v>100</v>
      </c>
      <c r="BC862" s="7" t="s">
        <v>87</v>
      </c>
      <c r="BD862" s="27">
        <v>352</v>
      </c>
      <c r="BJ862" s="7" t="s">
        <v>93</v>
      </c>
      <c r="BK862" s="40">
        <v>189</v>
      </c>
      <c r="BL862" s="40">
        <v>50</v>
      </c>
      <c r="BN862" t="str">
        <f t="shared" si="83"/>
        <v>Ada Health</v>
      </c>
      <c r="BO862">
        <f t="shared" si="80"/>
        <v>334</v>
      </c>
      <c r="BP862">
        <f t="shared" si="81"/>
        <v>410</v>
      </c>
      <c r="BQ862">
        <f t="shared" si="82"/>
        <v>744</v>
      </c>
    </row>
    <row r="863" spans="11:69" hidden="1" x14ac:dyDescent="0.25">
      <c r="Z863" s="7" t="s">
        <v>72</v>
      </c>
      <c r="AA863" s="1">
        <v>0.05</v>
      </c>
      <c r="AI863" s="7" t="s">
        <v>87</v>
      </c>
      <c r="AJ863" s="40">
        <v>1</v>
      </c>
      <c r="AL863" s="7" t="s">
        <v>90</v>
      </c>
      <c r="AM863" s="27">
        <v>1</v>
      </c>
      <c r="AW863" s="7" t="s">
        <v>99</v>
      </c>
      <c r="AX863" s="27">
        <v>20</v>
      </c>
      <c r="BC863" s="7" t="s">
        <v>90</v>
      </c>
      <c r="BD863" s="27">
        <v>360</v>
      </c>
      <c r="BJ863" s="7" t="s">
        <v>97</v>
      </c>
      <c r="BK863" s="40">
        <v>60</v>
      </c>
      <c r="BL863" s="40">
        <v>36</v>
      </c>
      <c r="BN863" t="str">
        <f t="shared" si="83"/>
        <v>Ada Support</v>
      </c>
      <c r="BO863">
        <f t="shared" si="80"/>
        <v>513</v>
      </c>
      <c r="BP863">
        <f t="shared" si="81"/>
        <v>490</v>
      </c>
      <c r="BQ863">
        <f t="shared" si="82"/>
        <v>1003</v>
      </c>
    </row>
    <row r="864" spans="11:69" hidden="1" x14ac:dyDescent="0.25">
      <c r="Z864" s="7" t="s">
        <v>74</v>
      </c>
      <c r="AA864" s="1">
        <v>0</v>
      </c>
      <c r="AI864" s="7" t="s">
        <v>90</v>
      </c>
      <c r="AJ864" s="40">
        <v>1</v>
      </c>
      <c r="AL864" s="7" t="s">
        <v>92</v>
      </c>
      <c r="AM864" s="27">
        <v>1</v>
      </c>
      <c r="AW864" s="7" t="s">
        <v>101</v>
      </c>
      <c r="AX864" s="27">
        <v>100</v>
      </c>
      <c r="BC864" s="7" t="s">
        <v>92</v>
      </c>
      <c r="BD864" s="27">
        <v>190</v>
      </c>
      <c r="BJ864" s="7" t="s">
        <v>98</v>
      </c>
      <c r="BK864" s="40">
        <v>406</v>
      </c>
      <c r="BL864" s="40">
        <v>100</v>
      </c>
      <c r="BN864" t="str">
        <f t="shared" si="83"/>
        <v>Adaptive Biotechnologies</v>
      </c>
      <c r="BO864">
        <f t="shared" si="80"/>
        <v>194</v>
      </c>
      <c r="BP864">
        <f t="shared" si="81"/>
        <v>254</v>
      </c>
      <c r="BQ864">
        <f t="shared" si="82"/>
        <v>448</v>
      </c>
    </row>
    <row r="865" spans="26:69" hidden="1" x14ac:dyDescent="0.25">
      <c r="Z865" s="7" t="s">
        <v>76</v>
      </c>
      <c r="AA865" s="1">
        <v>0.15</v>
      </c>
      <c r="AI865" s="7" t="s">
        <v>92</v>
      </c>
      <c r="AJ865" s="40">
        <v>1</v>
      </c>
      <c r="AL865" s="7" t="s">
        <v>93</v>
      </c>
      <c r="AM865" s="27">
        <v>1</v>
      </c>
      <c r="AW865" s="7" t="s">
        <v>102</v>
      </c>
      <c r="AX865" s="27">
        <v>210</v>
      </c>
      <c r="BC865" s="7" t="s">
        <v>93</v>
      </c>
      <c r="BD865" s="27">
        <v>189</v>
      </c>
      <c r="BJ865" s="7" t="s">
        <v>99</v>
      </c>
      <c r="BK865" s="40">
        <v>491</v>
      </c>
      <c r="BL865" s="40">
        <v>20</v>
      </c>
      <c r="BN865" t="str">
        <f t="shared" si="83"/>
        <v>Addepar</v>
      </c>
      <c r="BO865">
        <f t="shared" si="80"/>
        <v>166</v>
      </c>
      <c r="BP865">
        <f t="shared" si="81"/>
        <v>588</v>
      </c>
      <c r="BQ865">
        <f t="shared" si="82"/>
        <v>754</v>
      </c>
    </row>
    <row r="866" spans="26:69" hidden="1" x14ac:dyDescent="0.25">
      <c r="Z866" s="7" t="s">
        <v>80</v>
      </c>
      <c r="AA866" s="1">
        <v>0.09</v>
      </c>
      <c r="AI866" s="7" t="s">
        <v>93</v>
      </c>
      <c r="AJ866" s="40">
        <v>1</v>
      </c>
      <c r="AL866" s="7" t="s">
        <v>97</v>
      </c>
      <c r="AM866" s="27">
        <v>1</v>
      </c>
      <c r="AW866" s="7" t="s">
        <v>104</v>
      </c>
      <c r="AX866" s="27">
        <v>32</v>
      </c>
      <c r="BC866" s="7" t="s">
        <v>97</v>
      </c>
      <c r="BD866" s="27">
        <v>60</v>
      </c>
      <c r="BJ866" s="7" t="s">
        <v>101</v>
      </c>
      <c r="BK866" s="40">
        <v>2</v>
      </c>
      <c r="BL866" s="40">
        <v>100</v>
      </c>
      <c r="BN866" t="str">
        <f t="shared" si="83"/>
        <v>Adobe</v>
      </c>
      <c r="BO866">
        <f t="shared" si="80"/>
        <v>725</v>
      </c>
      <c r="BP866">
        <f t="shared" si="81"/>
        <v>254</v>
      </c>
      <c r="BQ866">
        <f t="shared" si="82"/>
        <v>979</v>
      </c>
    </row>
    <row r="867" spans="26:69" hidden="1" x14ac:dyDescent="0.25">
      <c r="Z867" s="7" t="s">
        <v>84</v>
      </c>
      <c r="AA867" s="1">
        <v>0</v>
      </c>
      <c r="AI867" s="7" t="s">
        <v>97</v>
      </c>
      <c r="AJ867" s="40">
        <v>1</v>
      </c>
      <c r="AL867" s="7" t="s">
        <v>98</v>
      </c>
      <c r="AM867" s="27">
        <v>1</v>
      </c>
      <c r="AW867" s="7" t="s">
        <v>105</v>
      </c>
      <c r="AX867" s="27">
        <v>40</v>
      </c>
      <c r="BC867" s="7" t="s">
        <v>98</v>
      </c>
      <c r="BD867" s="27">
        <v>406</v>
      </c>
      <c r="BJ867" s="7" t="s">
        <v>102</v>
      </c>
      <c r="BK867" s="40">
        <v>89</v>
      </c>
      <c r="BL867" s="40">
        <v>210</v>
      </c>
      <c r="BN867" t="str">
        <f t="shared" si="83"/>
        <v>AdRoll</v>
      </c>
      <c r="BO867">
        <f t="shared" si="80"/>
        <v>458</v>
      </c>
      <c r="BP867">
        <f t="shared" si="81"/>
        <v>144</v>
      </c>
      <c r="BQ867">
        <f t="shared" si="82"/>
        <v>602</v>
      </c>
    </row>
    <row r="868" spans="26:69" hidden="1" x14ac:dyDescent="0.25">
      <c r="Z868" s="7" t="s">
        <v>87</v>
      </c>
      <c r="AA868" s="1">
        <v>0</v>
      </c>
      <c r="AI868" s="7" t="s">
        <v>98</v>
      </c>
      <c r="AJ868" s="40">
        <v>1</v>
      </c>
      <c r="AL868" s="7" t="s">
        <v>99</v>
      </c>
      <c r="AM868" s="27">
        <v>1</v>
      </c>
      <c r="AW868" s="7" t="s">
        <v>107</v>
      </c>
      <c r="AX868" s="27">
        <v>500</v>
      </c>
      <c r="BC868" s="7" t="s">
        <v>99</v>
      </c>
      <c r="BD868" s="27">
        <v>491</v>
      </c>
      <c r="BJ868" s="7" t="s">
        <v>104</v>
      </c>
      <c r="BK868" s="40">
        <v>0</v>
      </c>
      <c r="BL868" s="40">
        <v>32</v>
      </c>
      <c r="BN868" t="str">
        <f t="shared" si="83"/>
        <v>Advata</v>
      </c>
      <c r="BO868">
        <f t="shared" si="80"/>
        <v>742</v>
      </c>
      <c r="BP868">
        <f t="shared" si="81"/>
        <v>505</v>
      </c>
      <c r="BQ868">
        <f t="shared" si="82"/>
        <v>1247</v>
      </c>
    </row>
    <row r="869" spans="26:69" hidden="1" x14ac:dyDescent="0.25">
      <c r="Z869" s="7" t="s">
        <v>90</v>
      </c>
      <c r="AA869" s="1">
        <v>0.15</v>
      </c>
      <c r="AI869" s="7" t="s">
        <v>99</v>
      </c>
      <c r="AJ869" s="40">
        <v>1</v>
      </c>
      <c r="AL869" s="7" t="s">
        <v>101</v>
      </c>
      <c r="AM869" s="27">
        <v>1</v>
      </c>
      <c r="AW869" s="7" t="s">
        <v>108</v>
      </c>
      <c r="AX869" s="27">
        <v>60</v>
      </c>
      <c r="BC869" s="7" t="s">
        <v>101</v>
      </c>
      <c r="BD869" s="27">
        <v>2</v>
      </c>
      <c r="BJ869" s="7" t="s">
        <v>105</v>
      </c>
      <c r="BK869" s="40">
        <v>20</v>
      </c>
      <c r="BL869" s="40">
        <v>40</v>
      </c>
      <c r="BN869" t="str">
        <f t="shared" si="83"/>
        <v>Adwerx</v>
      </c>
      <c r="BO869">
        <f t="shared" si="80"/>
        <v>640</v>
      </c>
      <c r="BP869">
        <f t="shared" si="81"/>
        <v>454</v>
      </c>
      <c r="BQ869">
        <f t="shared" si="82"/>
        <v>1094</v>
      </c>
    </row>
    <row r="870" spans="26:69" hidden="1" x14ac:dyDescent="0.25">
      <c r="Z870" s="7" t="s">
        <v>92</v>
      </c>
      <c r="AA870" s="1">
        <v>0.16</v>
      </c>
      <c r="AI870" s="7" t="s">
        <v>101</v>
      </c>
      <c r="AJ870" s="40">
        <v>1</v>
      </c>
      <c r="AL870" s="7" t="s">
        <v>102</v>
      </c>
      <c r="AM870" s="27">
        <v>1</v>
      </c>
      <c r="AW870" s="7" t="s">
        <v>110</v>
      </c>
      <c r="AX870" s="27">
        <v>1500</v>
      </c>
      <c r="BC870" s="7" t="s">
        <v>102</v>
      </c>
      <c r="BD870" s="27">
        <v>89</v>
      </c>
      <c r="BJ870" s="7" t="s">
        <v>107</v>
      </c>
      <c r="BK870" s="40">
        <v>3000</v>
      </c>
      <c r="BL870" s="40">
        <v>500</v>
      </c>
      <c r="BN870" t="str">
        <f t="shared" si="83"/>
        <v>Affirm</v>
      </c>
      <c r="BO870">
        <f t="shared" si="80"/>
        <v>21</v>
      </c>
      <c r="BP870">
        <f t="shared" si="81"/>
        <v>66</v>
      </c>
      <c r="BQ870">
        <f t="shared" si="82"/>
        <v>87</v>
      </c>
    </row>
    <row r="871" spans="26:69" hidden="1" x14ac:dyDescent="0.25">
      <c r="Z871" s="7" t="s">
        <v>93</v>
      </c>
      <c r="AA871" s="1">
        <v>0</v>
      </c>
      <c r="AI871" s="7" t="s">
        <v>102</v>
      </c>
      <c r="AJ871" s="40">
        <v>1</v>
      </c>
      <c r="AL871" s="7" t="s">
        <v>104</v>
      </c>
      <c r="AM871" s="27">
        <v>1</v>
      </c>
      <c r="AW871" s="7" t="s">
        <v>113</v>
      </c>
      <c r="AX871" s="27">
        <v>44</v>
      </c>
      <c r="BC871" s="7" t="s">
        <v>105</v>
      </c>
      <c r="BD871" s="27">
        <v>20</v>
      </c>
      <c r="BJ871" s="7" t="s">
        <v>108</v>
      </c>
      <c r="BK871" s="40">
        <v>0</v>
      </c>
      <c r="BL871" s="40">
        <v>60</v>
      </c>
      <c r="BN871" t="str">
        <f t="shared" si="83"/>
        <v>Afterverse</v>
      </c>
      <c r="BO871">
        <f t="shared" si="80"/>
        <v>742</v>
      </c>
      <c r="BP871">
        <f t="shared" si="81"/>
        <v>378</v>
      </c>
      <c r="BQ871">
        <f t="shared" si="82"/>
        <v>1120</v>
      </c>
    </row>
    <row r="872" spans="26:69" hidden="1" x14ac:dyDescent="0.25">
      <c r="Z872" s="7" t="s">
        <v>97</v>
      </c>
      <c r="AA872" s="1">
        <v>0.23</v>
      </c>
      <c r="AI872" s="7" t="s">
        <v>104</v>
      </c>
      <c r="AJ872" s="40">
        <v>1</v>
      </c>
      <c r="AL872" s="7" t="s">
        <v>105</v>
      </c>
      <c r="AM872" s="27">
        <v>1</v>
      </c>
      <c r="AW872" s="7" t="s">
        <v>116</v>
      </c>
      <c r="AX872" s="27">
        <v>1930</v>
      </c>
      <c r="BC872" s="7" t="s">
        <v>107</v>
      </c>
      <c r="BD872" s="27">
        <v>3000</v>
      </c>
      <c r="BJ872" s="7" t="s">
        <v>110</v>
      </c>
      <c r="BK872" s="40">
        <v>0</v>
      </c>
      <c r="BL872" s="40">
        <v>1500</v>
      </c>
      <c r="BN872" t="str">
        <f t="shared" si="83"/>
        <v>Agoda</v>
      </c>
      <c r="BO872">
        <f t="shared" si="80"/>
        <v>742</v>
      </c>
      <c r="BP872">
        <f t="shared" si="81"/>
        <v>19</v>
      </c>
      <c r="BQ872">
        <f t="shared" si="82"/>
        <v>761</v>
      </c>
    </row>
    <row r="873" spans="26:69" hidden="1" x14ac:dyDescent="0.25">
      <c r="Z873" s="7" t="s">
        <v>98</v>
      </c>
      <c r="AA873" s="1">
        <v>0.12</v>
      </c>
      <c r="AI873" s="7" t="s">
        <v>105</v>
      </c>
      <c r="AJ873" s="40">
        <v>1</v>
      </c>
      <c r="AL873" s="7" t="s">
        <v>107</v>
      </c>
      <c r="AM873" s="27">
        <v>2</v>
      </c>
      <c r="AW873" s="7" t="s">
        <v>122</v>
      </c>
      <c r="AX873" s="27">
        <v>254</v>
      </c>
      <c r="BC873" s="7" t="s">
        <v>113</v>
      </c>
      <c r="BD873" s="27">
        <v>9</v>
      </c>
      <c r="BJ873" s="7" t="s">
        <v>113</v>
      </c>
      <c r="BK873" s="40">
        <v>9</v>
      </c>
      <c r="BL873" s="40">
        <v>44</v>
      </c>
      <c r="BN873" t="str">
        <f t="shared" si="83"/>
        <v>Ahead</v>
      </c>
      <c r="BO873">
        <f t="shared" si="80"/>
        <v>692</v>
      </c>
      <c r="BP873">
        <f t="shared" si="81"/>
        <v>446</v>
      </c>
      <c r="BQ873">
        <f t="shared" si="82"/>
        <v>1138</v>
      </c>
    </row>
    <row r="874" spans="26:69" ht="17.25" customHeight="1" x14ac:dyDescent="0.25">
      <c r="Z874" s="7" t="s">
        <v>99</v>
      </c>
      <c r="AA874" s="1">
        <v>0.03</v>
      </c>
      <c r="AI874" s="7" t="s">
        <v>107</v>
      </c>
      <c r="AJ874" s="40">
        <v>2</v>
      </c>
      <c r="AL874" s="7" t="s">
        <v>108</v>
      </c>
      <c r="AM874" s="27">
        <v>1</v>
      </c>
      <c r="AW874" s="7" t="s">
        <v>124</v>
      </c>
      <c r="AX874" s="27">
        <v>15</v>
      </c>
      <c r="BC874" s="7" t="s">
        <v>115</v>
      </c>
      <c r="BD874" s="27">
        <v>18</v>
      </c>
      <c r="BJ874" s="7" t="s">
        <v>115</v>
      </c>
      <c r="BK874" s="40">
        <v>18</v>
      </c>
      <c r="BL874" s="40">
        <v>0</v>
      </c>
      <c r="BN874" t="str">
        <f t="shared" si="83"/>
        <v>Air</v>
      </c>
      <c r="BO874">
        <f t="shared" si="80"/>
        <v>649</v>
      </c>
      <c r="BP874">
        <f t="shared" si="81"/>
        <v>683</v>
      </c>
      <c r="BQ874">
        <f t="shared" si="82"/>
        <v>1332</v>
      </c>
    </row>
    <row r="875" spans="26:69" x14ac:dyDescent="0.25">
      <c r="Z875" s="7" t="s">
        <v>101</v>
      </c>
      <c r="AA875" s="1">
        <v>0</v>
      </c>
      <c r="AI875" s="7" t="s">
        <v>108</v>
      </c>
      <c r="AJ875" s="40">
        <v>1</v>
      </c>
      <c r="AL875" s="7" t="s">
        <v>110</v>
      </c>
      <c r="AM875" s="27">
        <v>1</v>
      </c>
      <c r="AW875" s="7" t="s">
        <v>127</v>
      </c>
      <c r="AX875" s="27">
        <v>30</v>
      </c>
      <c r="BC875" s="7" t="s">
        <v>116</v>
      </c>
      <c r="BD875" s="27">
        <v>11800</v>
      </c>
      <c r="BJ875" s="7" t="s">
        <v>116</v>
      </c>
      <c r="BK875" s="40">
        <v>11800</v>
      </c>
      <c r="BL875" s="40">
        <v>1930</v>
      </c>
      <c r="BN875" t="str">
        <f t="shared" si="83"/>
        <v>Airbnb</v>
      </c>
      <c r="BO875">
        <f t="shared" si="80"/>
        <v>5</v>
      </c>
      <c r="BP875">
        <f t="shared" si="81"/>
        <v>17</v>
      </c>
      <c r="BQ875">
        <f t="shared" si="82"/>
        <v>22</v>
      </c>
    </row>
    <row r="876" spans="26:69" hidden="1" x14ac:dyDescent="0.25">
      <c r="Z876" s="7" t="s">
        <v>102</v>
      </c>
      <c r="AA876" s="1">
        <v>0.3</v>
      </c>
      <c r="AI876" s="7" t="s">
        <v>110</v>
      </c>
      <c r="AJ876" s="40">
        <v>1</v>
      </c>
      <c r="AL876" s="7" t="s">
        <v>113</v>
      </c>
      <c r="AM876" s="27">
        <v>1</v>
      </c>
      <c r="AW876" s="7" t="s">
        <v>136</v>
      </c>
      <c r="AX876" s="27">
        <v>67</v>
      </c>
      <c r="BC876" s="7" t="s">
        <v>118</v>
      </c>
      <c r="BD876" s="27">
        <v>218</v>
      </c>
      <c r="BJ876" s="7" t="s">
        <v>118</v>
      </c>
      <c r="BK876" s="40">
        <v>218</v>
      </c>
      <c r="BL876" s="40">
        <v>0</v>
      </c>
      <c r="BN876" t="str">
        <f t="shared" si="83"/>
        <v>Airlift</v>
      </c>
      <c r="BO876">
        <f t="shared" si="80"/>
        <v>306</v>
      </c>
      <c r="BP876">
        <f t="shared" si="81"/>
        <v>683</v>
      </c>
      <c r="BQ876">
        <f t="shared" si="82"/>
        <v>989</v>
      </c>
    </row>
    <row r="877" spans="26:69" hidden="1" x14ac:dyDescent="0.25">
      <c r="Z877" s="7" t="s">
        <v>104</v>
      </c>
      <c r="AA877" s="1">
        <v>0.21</v>
      </c>
      <c r="AI877" s="7" t="s">
        <v>113</v>
      </c>
      <c r="AJ877" s="40">
        <v>1</v>
      </c>
      <c r="AL877" s="7" t="s">
        <v>115</v>
      </c>
      <c r="AM877" s="27">
        <v>1</v>
      </c>
      <c r="AW877" s="7" t="s">
        <v>137</v>
      </c>
      <c r="AX877" s="27">
        <v>46</v>
      </c>
      <c r="BC877" s="7" t="s">
        <v>122</v>
      </c>
      <c r="BD877" s="27">
        <v>1400</v>
      </c>
      <c r="BJ877" s="7" t="s">
        <v>122</v>
      </c>
      <c r="BK877" s="40">
        <v>1400</v>
      </c>
      <c r="BL877" s="40">
        <v>254</v>
      </c>
      <c r="BN877" t="str">
        <f t="shared" si="83"/>
        <v>Airtable</v>
      </c>
      <c r="BO877">
        <f t="shared" si="80"/>
        <v>61</v>
      </c>
      <c r="BP877">
        <f t="shared" si="81"/>
        <v>120</v>
      </c>
      <c r="BQ877">
        <f t="shared" si="82"/>
        <v>181</v>
      </c>
    </row>
    <row r="878" spans="26:69" hidden="1" x14ac:dyDescent="0.25">
      <c r="Z878" s="7" t="s">
        <v>105</v>
      </c>
      <c r="AA878" s="1">
        <v>0</v>
      </c>
      <c r="AI878" s="7" t="s">
        <v>115</v>
      </c>
      <c r="AJ878" s="40">
        <v>1</v>
      </c>
      <c r="AL878" s="7" t="s">
        <v>116</v>
      </c>
      <c r="AM878" s="27">
        <v>2</v>
      </c>
      <c r="AW878" s="7" t="s">
        <v>140</v>
      </c>
      <c r="AX878" s="27">
        <v>100</v>
      </c>
      <c r="BC878" s="7" t="s">
        <v>124</v>
      </c>
      <c r="BD878" s="27">
        <v>7</v>
      </c>
      <c r="BJ878" s="7" t="s">
        <v>124</v>
      </c>
      <c r="BK878" s="40">
        <v>7</v>
      </c>
      <c r="BL878" s="40">
        <v>15</v>
      </c>
      <c r="BN878" t="str">
        <f t="shared" si="83"/>
        <v>Airtame</v>
      </c>
      <c r="BO878">
        <f t="shared" si="80"/>
        <v>701</v>
      </c>
      <c r="BP878">
        <f t="shared" si="81"/>
        <v>622</v>
      </c>
      <c r="BQ878">
        <f t="shared" si="82"/>
        <v>1323</v>
      </c>
    </row>
    <row r="879" spans="26:69" hidden="1" x14ac:dyDescent="0.25">
      <c r="Z879" s="7" t="s">
        <v>107</v>
      </c>
      <c r="AA879" s="1">
        <v>0.19</v>
      </c>
      <c r="AI879" s="7" t="s">
        <v>116</v>
      </c>
      <c r="AJ879" s="40">
        <v>2</v>
      </c>
      <c r="AL879" s="7" t="s">
        <v>118</v>
      </c>
      <c r="AM879" s="27">
        <v>2</v>
      </c>
      <c r="AW879" s="7" t="s">
        <v>141</v>
      </c>
      <c r="AX879" s="27">
        <v>80</v>
      </c>
      <c r="BC879" s="7" t="s">
        <v>127</v>
      </c>
      <c r="BD879" s="27">
        <v>33</v>
      </c>
      <c r="BJ879" s="7" t="s">
        <v>127</v>
      </c>
      <c r="BK879" s="40">
        <v>33</v>
      </c>
      <c r="BL879" s="40">
        <v>30</v>
      </c>
      <c r="BN879" t="str">
        <f t="shared" si="83"/>
        <v>Airtime</v>
      </c>
      <c r="BO879">
        <f t="shared" si="80"/>
        <v>593</v>
      </c>
      <c r="BP879">
        <f t="shared" si="81"/>
        <v>512</v>
      </c>
      <c r="BQ879">
        <f t="shared" si="82"/>
        <v>1105</v>
      </c>
    </row>
    <row r="880" spans="26:69" hidden="1" x14ac:dyDescent="0.25">
      <c r="Z880" s="7" t="s">
        <v>108</v>
      </c>
      <c r="AA880" s="1">
        <v>0.2</v>
      </c>
      <c r="AI880" s="7" t="s">
        <v>118</v>
      </c>
      <c r="AJ880" s="40">
        <v>2</v>
      </c>
      <c r="AL880" s="7" t="s">
        <v>122</v>
      </c>
      <c r="AM880" s="27">
        <v>1</v>
      </c>
      <c r="AW880" s="7" t="s">
        <v>143</v>
      </c>
      <c r="AX880" s="27">
        <v>20</v>
      </c>
      <c r="BC880" s="7" t="s">
        <v>132</v>
      </c>
      <c r="BD880" s="27">
        <v>420</v>
      </c>
      <c r="BJ880" s="7" t="s">
        <v>128</v>
      </c>
      <c r="BK880" s="40">
        <v>0</v>
      </c>
      <c r="BL880" s="40">
        <v>0</v>
      </c>
      <c r="BN880" t="str">
        <f t="shared" si="83"/>
        <v>Airy Rooms</v>
      </c>
      <c r="BO880">
        <f t="shared" si="80"/>
        <v>742</v>
      </c>
      <c r="BP880">
        <f t="shared" si="81"/>
        <v>683</v>
      </c>
      <c r="BQ880">
        <f t="shared" si="82"/>
        <v>1425</v>
      </c>
    </row>
    <row r="881" spans="26:69" hidden="1" x14ac:dyDescent="0.25">
      <c r="Z881" s="7" t="s">
        <v>110</v>
      </c>
      <c r="AA881" s="1">
        <v>0.25</v>
      </c>
      <c r="AI881" s="7" t="s">
        <v>122</v>
      </c>
      <c r="AJ881" s="40">
        <v>1</v>
      </c>
      <c r="AL881" s="7" t="s">
        <v>124</v>
      </c>
      <c r="AM881" s="27">
        <v>1</v>
      </c>
      <c r="AW881" s="7" t="s">
        <v>144</v>
      </c>
      <c r="AX881" s="27">
        <v>400</v>
      </c>
      <c r="BC881" s="7" t="s">
        <v>136</v>
      </c>
      <c r="BD881" s="27">
        <v>245</v>
      </c>
      <c r="BJ881" s="7" t="s">
        <v>132</v>
      </c>
      <c r="BK881" s="40">
        <v>420</v>
      </c>
      <c r="BL881" s="40">
        <v>0</v>
      </c>
      <c r="BN881" t="str">
        <f t="shared" si="83"/>
        <v>Aiven</v>
      </c>
      <c r="BO881">
        <f t="shared" si="80"/>
        <v>188</v>
      </c>
      <c r="BP881">
        <f t="shared" si="81"/>
        <v>683</v>
      </c>
      <c r="BQ881">
        <f t="shared" si="82"/>
        <v>871</v>
      </c>
    </row>
    <row r="882" spans="26:69" hidden="1" x14ac:dyDescent="0.25">
      <c r="Z882" s="7" t="s">
        <v>113</v>
      </c>
      <c r="AA882" s="1">
        <v>1</v>
      </c>
      <c r="AI882" s="7" t="s">
        <v>124</v>
      </c>
      <c r="AJ882" s="40">
        <v>1</v>
      </c>
      <c r="AL882" s="7" t="s">
        <v>127</v>
      </c>
      <c r="AM882" s="27">
        <v>1</v>
      </c>
      <c r="AW882" s="7" t="s">
        <v>147</v>
      </c>
      <c r="AX882" s="27">
        <v>176</v>
      </c>
      <c r="BC882" s="7" t="s">
        <v>140</v>
      </c>
      <c r="BD882" s="27">
        <v>160</v>
      </c>
      <c r="BJ882" s="7" t="s">
        <v>136</v>
      </c>
      <c r="BK882" s="40">
        <v>245</v>
      </c>
      <c r="BL882" s="40">
        <v>67</v>
      </c>
      <c r="BN882" t="str">
        <f t="shared" si="83"/>
        <v>Ajaib</v>
      </c>
      <c r="BO882">
        <f t="shared" si="80"/>
        <v>280</v>
      </c>
      <c r="BP882">
        <f t="shared" si="81"/>
        <v>365</v>
      </c>
      <c r="BQ882">
        <f t="shared" si="82"/>
        <v>645</v>
      </c>
    </row>
    <row r="883" spans="26:69" hidden="1" x14ac:dyDescent="0.25">
      <c r="Z883" s="7" t="s">
        <v>115</v>
      </c>
      <c r="AA883" s="1">
        <v>0.16</v>
      </c>
      <c r="AI883" s="7" t="s">
        <v>127</v>
      </c>
      <c r="AJ883" s="40">
        <v>1</v>
      </c>
      <c r="AL883" s="7" t="s">
        <v>128</v>
      </c>
      <c r="AM883" s="27">
        <v>2</v>
      </c>
      <c r="AW883" s="7" t="s">
        <v>148</v>
      </c>
      <c r="AX883" s="27">
        <v>400</v>
      </c>
      <c r="BC883" s="7" t="s">
        <v>141</v>
      </c>
      <c r="BD883" s="27">
        <v>293</v>
      </c>
      <c r="BJ883" s="7" t="s">
        <v>137</v>
      </c>
      <c r="BK883" s="40">
        <v>0</v>
      </c>
      <c r="BL883" s="40">
        <v>46</v>
      </c>
      <c r="BN883" t="str">
        <f t="shared" si="83"/>
        <v>Akili Labs</v>
      </c>
      <c r="BO883">
        <f t="shared" si="80"/>
        <v>742</v>
      </c>
      <c r="BP883">
        <f t="shared" si="81"/>
        <v>440</v>
      </c>
      <c r="BQ883">
        <f t="shared" si="82"/>
        <v>1182</v>
      </c>
    </row>
    <row r="884" spans="26:69" hidden="1" x14ac:dyDescent="0.25">
      <c r="Z884" s="7" t="s">
        <v>116</v>
      </c>
      <c r="AA884" s="1">
        <v>0.25</v>
      </c>
      <c r="AI884" s="7" t="s">
        <v>128</v>
      </c>
      <c r="AJ884" s="40">
        <v>2</v>
      </c>
      <c r="AL884" s="7" t="s">
        <v>132</v>
      </c>
      <c r="AM884" s="27">
        <v>1</v>
      </c>
      <c r="AW884" s="7" t="s">
        <v>151</v>
      </c>
      <c r="AX884" s="27">
        <v>23</v>
      </c>
      <c r="BC884" s="7" t="s">
        <v>143</v>
      </c>
      <c r="BD884" s="27">
        <v>175</v>
      </c>
      <c r="BJ884" s="7" t="s">
        <v>140</v>
      </c>
      <c r="BK884" s="40">
        <v>160</v>
      </c>
      <c r="BL884" s="40">
        <v>100</v>
      </c>
      <c r="BN884" t="str">
        <f t="shared" si="83"/>
        <v>Akulaku</v>
      </c>
      <c r="BO884">
        <f t="shared" si="80"/>
        <v>363</v>
      </c>
      <c r="BP884">
        <f t="shared" si="81"/>
        <v>254</v>
      </c>
      <c r="BQ884">
        <f t="shared" si="82"/>
        <v>617</v>
      </c>
    </row>
    <row r="885" spans="26:69" hidden="1" x14ac:dyDescent="0.25">
      <c r="Z885" s="7" t="s">
        <v>118</v>
      </c>
      <c r="AA885" s="1">
        <v>1</v>
      </c>
      <c r="AI885" s="7" t="s">
        <v>132</v>
      </c>
      <c r="AJ885" s="40">
        <v>1</v>
      </c>
      <c r="AL885" s="7" t="s">
        <v>136</v>
      </c>
      <c r="AM885" s="27">
        <v>1</v>
      </c>
      <c r="AW885" s="7" t="s">
        <v>152</v>
      </c>
      <c r="AX885" s="27">
        <v>47</v>
      </c>
      <c r="BC885" s="7" t="s">
        <v>144</v>
      </c>
      <c r="BD885" s="27">
        <v>16</v>
      </c>
      <c r="BJ885" s="7" t="s">
        <v>141</v>
      </c>
      <c r="BK885" s="40">
        <v>293</v>
      </c>
      <c r="BL885" s="40">
        <v>80</v>
      </c>
      <c r="BN885" t="str">
        <f t="shared" si="83"/>
        <v>AlayaCare</v>
      </c>
      <c r="BO885">
        <f t="shared" si="80"/>
        <v>249</v>
      </c>
      <c r="BP885">
        <f t="shared" si="81"/>
        <v>322</v>
      </c>
      <c r="BQ885">
        <f t="shared" si="82"/>
        <v>571</v>
      </c>
    </row>
    <row r="886" spans="26:69" hidden="1" x14ac:dyDescent="0.25">
      <c r="Z886" s="7" t="s">
        <v>122</v>
      </c>
      <c r="AA886" s="1">
        <v>0.2</v>
      </c>
      <c r="AI886" s="7" t="s">
        <v>136</v>
      </c>
      <c r="AJ886" s="40">
        <v>1</v>
      </c>
      <c r="AL886" s="7" t="s">
        <v>137</v>
      </c>
      <c r="AM886" s="27">
        <v>1</v>
      </c>
      <c r="AW886" s="7" t="s">
        <v>153</v>
      </c>
      <c r="AX886" s="27">
        <v>18150</v>
      </c>
      <c r="BC886" s="7" t="s">
        <v>147</v>
      </c>
      <c r="BD886" s="27">
        <v>348</v>
      </c>
      <c r="BJ886" s="7" t="s">
        <v>143</v>
      </c>
      <c r="BK886" s="40">
        <v>175</v>
      </c>
      <c r="BL886" s="40">
        <v>20</v>
      </c>
      <c r="BN886" t="str">
        <f t="shared" si="83"/>
        <v>Albert</v>
      </c>
      <c r="BO886">
        <f t="shared" si="80"/>
        <v>348</v>
      </c>
      <c r="BP886">
        <f t="shared" si="81"/>
        <v>588</v>
      </c>
      <c r="BQ886">
        <f t="shared" si="82"/>
        <v>936</v>
      </c>
    </row>
    <row r="887" spans="26:69" hidden="1" x14ac:dyDescent="0.25">
      <c r="Z887" s="7" t="s">
        <v>124</v>
      </c>
      <c r="AA887" s="1">
        <v>0</v>
      </c>
      <c r="AI887" s="7" t="s">
        <v>137</v>
      </c>
      <c r="AJ887" s="40">
        <v>1</v>
      </c>
      <c r="AL887" s="7" t="s">
        <v>140</v>
      </c>
      <c r="AM887" s="27">
        <v>1</v>
      </c>
      <c r="AW887" s="7" t="s">
        <v>156</v>
      </c>
      <c r="AX887" s="27">
        <v>50</v>
      </c>
      <c r="BC887" s="7" t="s">
        <v>148</v>
      </c>
      <c r="BD887" s="27">
        <v>60</v>
      </c>
      <c r="BJ887" s="7" t="s">
        <v>144</v>
      </c>
      <c r="BK887" s="40">
        <v>16</v>
      </c>
      <c r="BL887" s="40">
        <v>400</v>
      </c>
      <c r="BN887" t="str">
        <f t="shared" si="83"/>
        <v>Alerzo</v>
      </c>
      <c r="BO887">
        <f t="shared" si="80"/>
        <v>659</v>
      </c>
      <c r="BP887">
        <f t="shared" si="81"/>
        <v>83</v>
      </c>
      <c r="BQ887">
        <f t="shared" si="82"/>
        <v>742</v>
      </c>
    </row>
    <row r="888" spans="26:69" hidden="1" x14ac:dyDescent="0.25">
      <c r="Z888" s="7" t="s">
        <v>127</v>
      </c>
      <c r="AA888" s="1">
        <v>0.2</v>
      </c>
      <c r="AI888" s="7" t="s">
        <v>140</v>
      </c>
      <c r="AJ888" s="40">
        <v>1</v>
      </c>
      <c r="AL888" s="7" t="s">
        <v>141</v>
      </c>
      <c r="AM888" s="27">
        <v>1</v>
      </c>
      <c r="AW888" s="7" t="s">
        <v>158</v>
      </c>
      <c r="AX888" s="27">
        <v>700</v>
      </c>
      <c r="BC888" s="7" t="s">
        <v>151</v>
      </c>
      <c r="BD888" s="27">
        <v>202</v>
      </c>
      <c r="BJ888" s="7" t="s">
        <v>147</v>
      </c>
      <c r="BK888" s="40">
        <v>348</v>
      </c>
      <c r="BL888" s="40">
        <v>176</v>
      </c>
      <c r="BN888" t="str">
        <f t="shared" si="83"/>
        <v>Alice</v>
      </c>
      <c r="BO888">
        <f t="shared" si="80"/>
        <v>220</v>
      </c>
      <c r="BP888">
        <f t="shared" si="81"/>
        <v>175</v>
      </c>
      <c r="BQ888">
        <f t="shared" si="82"/>
        <v>395</v>
      </c>
    </row>
    <row r="889" spans="26:69" hidden="1" x14ac:dyDescent="0.25">
      <c r="Z889" s="7" t="s">
        <v>128</v>
      </c>
      <c r="AA889" s="1">
        <v>1</v>
      </c>
      <c r="AI889" s="7" t="s">
        <v>141</v>
      </c>
      <c r="AJ889" s="40">
        <v>1</v>
      </c>
      <c r="AL889" s="7" t="s">
        <v>143</v>
      </c>
      <c r="AM889" s="27">
        <v>1</v>
      </c>
      <c r="AW889" s="7" t="s">
        <v>160</v>
      </c>
      <c r="AX889" s="27">
        <v>50</v>
      </c>
      <c r="BC889" s="7" t="s">
        <v>152</v>
      </c>
      <c r="BD889" s="27">
        <v>356</v>
      </c>
      <c r="BJ889" s="7" t="s">
        <v>148</v>
      </c>
      <c r="BK889" s="40">
        <v>60</v>
      </c>
      <c r="BL889" s="40">
        <v>400</v>
      </c>
      <c r="BN889" t="str">
        <f t="shared" si="83"/>
        <v>AliExpress Russia</v>
      </c>
      <c r="BO889">
        <f t="shared" si="80"/>
        <v>513</v>
      </c>
      <c r="BP889">
        <f t="shared" si="81"/>
        <v>83</v>
      </c>
      <c r="BQ889">
        <f t="shared" si="82"/>
        <v>596</v>
      </c>
    </row>
    <row r="890" spans="26:69" hidden="1" x14ac:dyDescent="0.25">
      <c r="Z890" s="7" t="s">
        <v>132</v>
      </c>
      <c r="AA890" s="1">
        <v>0.2</v>
      </c>
      <c r="AI890" s="7" t="s">
        <v>143</v>
      </c>
      <c r="AJ890" s="40">
        <v>1</v>
      </c>
      <c r="AL890" s="7" t="s">
        <v>144</v>
      </c>
      <c r="AM890" s="27">
        <v>1</v>
      </c>
      <c r="AW890" s="7" t="s">
        <v>162</v>
      </c>
      <c r="AX890" s="27">
        <v>130</v>
      </c>
      <c r="BC890" s="7" t="s">
        <v>153</v>
      </c>
      <c r="BD890" s="27">
        <v>324</v>
      </c>
      <c r="BJ890" s="7" t="s">
        <v>151</v>
      </c>
      <c r="BK890" s="40">
        <v>202</v>
      </c>
      <c r="BL890" s="40">
        <v>23</v>
      </c>
      <c r="BN890" t="str">
        <f t="shared" si="83"/>
        <v>Allbirds</v>
      </c>
      <c r="BO890">
        <f t="shared" si="80"/>
        <v>318</v>
      </c>
      <c r="BP890">
        <f t="shared" si="81"/>
        <v>570</v>
      </c>
      <c r="BQ890">
        <f t="shared" si="82"/>
        <v>888</v>
      </c>
    </row>
    <row r="891" spans="26:69" hidden="1" x14ac:dyDescent="0.25">
      <c r="Z891" s="7" t="s">
        <v>136</v>
      </c>
      <c r="AA891" s="1">
        <v>0.08</v>
      </c>
      <c r="AI891" s="7" t="s">
        <v>144</v>
      </c>
      <c r="AJ891" s="40">
        <v>1</v>
      </c>
      <c r="AL891" s="7" t="s">
        <v>147</v>
      </c>
      <c r="AM891" s="27">
        <v>2</v>
      </c>
      <c r="AW891" s="7" t="s">
        <v>163</v>
      </c>
      <c r="AX891" s="27">
        <v>13</v>
      </c>
      <c r="BC891" s="7" t="s">
        <v>154</v>
      </c>
      <c r="BD891" s="27">
        <v>328</v>
      </c>
      <c r="BJ891" s="7" t="s">
        <v>152</v>
      </c>
      <c r="BK891" s="40">
        <v>356</v>
      </c>
      <c r="BL891" s="40">
        <v>47</v>
      </c>
      <c r="BN891" t="str">
        <f t="shared" si="83"/>
        <v>Alto Pharmacy</v>
      </c>
      <c r="BO891">
        <f t="shared" si="80"/>
        <v>212</v>
      </c>
      <c r="BP891">
        <f t="shared" si="81"/>
        <v>435</v>
      </c>
      <c r="BQ891">
        <f t="shared" si="82"/>
        <v>647</v>
      </c>
    </row>
    <row r="892" spans="26:69" hidden="1" x14ac:dyDescent="0.25">
      <c r="Z892" s="7" t="s">
        <v>137</v>
      </c>
      <c r="AA892" s="1">
        <v>0.3</v>
      </c>
      <c r="AI892" s="7" t="s">
        <v>147</v>
      </c>
      <c r="AJ892" s="40">
        <v>2</v>
      </c>
      <c r="AL892" s="7" t="s">
        <v>148</v>
      </c>
      <c r="AM892" s="27">
        <v>1</v>
      </c>
      <c r="AW892" s="7" t="s">
        <v>164</v>
      </c>
      <c r="AX892" s="27">
        <v>17</v>
      </c>
      <c r="BC892" s="7" t="s">
        <v>160</v>
      </c>
      <c r="BD892" s="27">
        <v>92</v>
      </c>
      <c r="BJ892" s="7" t="s">
        <v>153</v>
      </c>
      <c r="BK892" s="40">
        <v>324</v>
      </c>
      <c r="BL892" s="40">
        <v>18150</v>
      </c>
      <c r="BN892" t="str">
        <f t="shared" si="83"/>
        <v>Amazon</v>
      </c>
      <c r="BO892">
        <f t="shared" si="80"/>
        <v>232</v>
      </c>
      <c r="BP892">
        <f t="shared" si="81"/>
        <v>1</v>
      </c>
      <c r="BQ892">
        <f t="shared" si="82"/>
        <v>233</v>
      </c>
    </row>
    <row r="893" spans="26:69" hidden="1" x14ac:dyDescent="0.25">
      <c r="Z893" s="7" t="s">
        <v>140</v>
      </c>
      <c r="AA893" s="1">
        <v>0</v>
      </c>
      <c r="AI893" s="7" t="s">
        <v>148</v>
      </c>
      <c r="AJ893" s="40">
        <v>1</v>
      </c>
      <c r="AL893" s="7" t="s">
        <v>151</v>
      </c>
      <c r="AM893" s="27">
        <v>1</v>
      </c>
      <c r="AW893" s="7" t="s">
        <v>165</v>
      </c>
      <c r="AX893" s="27">
        <v>17</v>
      </c>
      <c r="BC893" s="7" t="s">
        <v>162</v>
      </c>
      <c r="BD893" s="27">
        <v>566</v>
      </c>
      <c r="BJ893" s="7" t="s">
        <v>154</v>
      </c>
      <c r="BK893" s="40">
        <v>328</v>
      </c>
      <c r="BL893" s="40">
        <v>0</v>
      </c>
      <c r="BN893" t="str">
        <f t="shared" si="83"/>
        <v>Amber Group</v>
      </c>
      <c r="BO893">
        <f t="shared" si="80"/>
        <v>229</v>
      </c>
      <c r="BP893">
        <f t="shared" si="81"/>
        <v>683</v>
      </c>
      <c r="BQ893">
        <f t="shared" si="82"/>
        <v>912</v>
      </c>
    </row>
    <row r="894" spans="26:69" hidden="1" x14ac:dyDescent="0.25">
      <c r="Z894" s="7" t="s">
        <v>141</v>
      </c>
      <c r="AA894" s="1">
        <v>0.14000000000000001</v>
      </c>
      <c r="AI894" s="7" t="s">
        <v>151</v>
      </c>
      <c r="AJ894" s="40">
        <v>1</v>
      </c>
      <c r="AL894" s="7" t="s">
        <v>152</v>
      </c>
      <c r="AM894" s="27">
        <v>1</v>
      </c>
      <c r="AW894" s="7" t="s">
        <v>166</v>
      </c>
      <c r="AX894" s="27">
        <v>135</v>
      </c>
      <c r="BC894" s="7" t="s">
        <v>163</v>
      </c>
      <c r="BD894" s="27">
        <v>187</v>
      </c>
      <c r="BJ894" s="7" t="s">
        <v>156</v>
      </c>
      <c r="BK894" s="40">
        <v>0</v>
      </c>
      <c r="BL894" s="40">
        <v>50</v>
      </c>
      <c r="BN894" t="str">
        <f t="shared" si="83"/>
        <v>Ambev Tech</v>
      </c>
      <c r="BO894">
        <f t="shared" si="80"/>
        <v>742</v>
      </c>
      <c r="BP894">
        <f t="shared" si="81"/>
        <v>410</v>
      </c>
      <c r="BQ894">
        <f t="shared" si="82"/>
        <v>1152</v>
      </c>
    </row>
    <row r="895" spans="26:69" hidden="1" x14ac:dyDescent="0.25">
      <c r="Z895" s="7" t="s">
        <v>143</v>
      </c>
      <c r="AA895" s="1">
        <v>0.08</v>
      </c>
      <c r="AI895" s="7" t="s">
        <v>152</v>
      </c>
      <c r="AJ895" s="40">
        <v>1</v>
      </c>
      <c r="AL895" s="7" t="s">
        <v>153</v>
      </c>
      <c r="AM895" s="27">
        <v>3</v>
      </c>
      <c r="AW895" s="7" t="s">
        <v>168</v>
      </c>
      <c r="AX895" s="27">
        <v>20</v>
      </c>
      <c r="BC895" s="7" t="s">
        <v>164</v>
      </c>
      <c r="BD895" s="27">
        <v>25</v>
      </c>
      <c r="BJ895" s="7" t="s">
        <v>158</v>
      </c>
      <c r="BK895" s="40">
        <v>0</v>
      </c>
      <c r="BL895" s="40">
        <v>700</v>
      </c>
      <c r="BN895" t="str">
        <f t="shared" si="83"/>
        <v>Amdocs</v>
      </c>
      <c r="BO895">
        <f t="shared" si="80"/>
        <v>742</v>
      </c>
      <c r="BP895">
        <f t="shared" si="81"/>
        <v>47</v>
      </c>
      <c r="BQ895">
        <f t="shared" si="82"/>
        <v>789</v>
      </c>
    </row>
    <row r="896" spans="26:69" hidden="1" x14ac:dyDescent="0.25">
      <c r="Z896" s="7" t="s">
        <v>144</v>
      </c>
      <c r="AA896" s="1">
        <v>0</v>
      </c>
      <c r="AI896" s="7" t="s">
        <v>153</v>
      </c>
      <c r="AJ896" s="40">
        <v>3</v>
      </c>
      <c r="AL896" s="7" t="s">
        <v>154</v>
      </c>
      <c r="AM896" s="27">
        <v>1</v>
      </c>
      <c r="AW896" s="7" t="s">
        <v>169</v>
      </c>
      <c r="AX896" s="27">
        <v>35</v>
      </c>
      <c r="BC896" s="7" t="s">
        <v>165</v>
      </c>
      <c r="BD896" s="27">
        <v>14</v>
      </c>
      <c r="BJ896" s="7" t="s">
        <v>160</v>
      </c>
      <c r="BK896" s="40">
        <v>92</v>
      </c>
      <c r="BL896" s="40">
        <v>50</v>
      </c>
      <c r="BN896" t="str">
        <f t="shared" si="83"/>
        <v>American Robotics</v>
      </c>
      <c r="BO896">
        <f t="shared" si="80"/>
        <v>453</v>
      </c>
      <c r="BP896">
        <f t="shared" si="81"/>
        <v>410</v>
      </c>
      <c r="BQ896">
        <f t="shared" si="82"/>
        <v>863</v>
      </c>
    </row>
    <row r="897" spans="26:69" hidden="1" x14ac:dyDescent="0.25">
      <c r="Z897" s="7" t="s">
        <v>147</v>
      </c>
      <c r="AA897" s="1">
        <v>0.16</v>
      </c>
      <c r="AI897" s="7" t="s">
        <v>154</v>
      </c>
      <c r="AJ897" s="40">
        <v>1</v>
      </c>
      <c r="AL897" s="7" t="s">
        <v>156</v>
      </c>
      <c r="AM897" s="27">
        <v>1</v>
      </c>
      <c r="AW897" s="7" t="s">
        <v>171</v>
      </c>
      <c r="AX897" s="27">
        <v>23</v>
      </c>
      <c r="BC897" s="7" t="s">
        <v>166</v>
      </c>
      <c r="BD897" s="27">
        <v>181</v>
      </c>
      <c r="BJ897" s="7" t="s">
        <v>162</v>
      </c>
      <c r="BK897" s="40">
        <v>566</v>
      </c>
      <c r="BL897" s="40">
        <v>130</v>
      </c>
      <c r="BN897" t="str">
        <f t="shared" si="83"/>
        <v>Amount</v>
      </c>
      <c r="BO897">
        <f t="shared" si="80"/>
        <v>146</v>
      </c>
      <c r="BP897">
        <f t="shared" si="81"/>
        <v>226</v>
      </c>
      <c r="BQ897">
        <f t="shared" si="82"/>
        <v>372</v>
      </c>
    </row>
    <row r="898" spans="26:69" hidden="1" x14ac:dyDescent="0.25">
      <c r="Z898" s="7" t="s">
        <v>148</v>
      </c>
      <c r="AA898" s="1">
        <v>0.4</v>
      </c>
      <c r="AI898" s="7" t="s">
        <v>156</v>
      </c>
      <c r="AJ898" s="40">
        <v>1</v>
      </c>
      <c r="AL898" s="7" t="s">
        <v>158</v>
      </c>
      <c r="AM898" s="27">
        <v>1</v>
      </c>
      <c r="AW898" s="7" t="s">
        <v>173</v>
      </c>
      <c r="AX898" s="27">
        <v>11</v>
      </c>
      <c r="BC898" s="7" t="s">
        <v>168</v>
      </c>
      <c r="BD898" s="27">
        <v>26</v>
      </c>
      <c r="BJ898" s="7" t="s">
        <v>163</v>
      </c>
      <c r="BK898" s="40">
        <v>187</v>
      </c>
      <c r="BL898" s="40">
        <v>13</v>
      </c>
      <c r="BN898" t="str">
        <f t="shared" si="83"/>
        <v>Amperity</v>
      </c>
      <c r="BO898">
        <f t="shared" si="80"/>
        <v>337</v>
      </c>
      <c r="BP898">
        <f t="shared" si="81"/>
        <v>634</v>
      </c>
      <c r="BQ898">
        <f t="shared" si="82"/>
        <v>971</v>
      </c>
    </row>
    <row r="899" spans="26:69" hidden="1" x14ac:dyDescent="0.25">
      <c r="Z899" s="7" t="s">
        <v>151</v>
      </c>
      <c r="AA899" s="1">
        <v>0</v>
      </c>
      <c r="AI899" s="7" t="s">
        <v>158</v>
      </c>
      <c r="AJ899" s="40">
        <v>1</v>
      </c>
      <c r="AL899" s="7" t="s">
        <v>160</v>
      </c>
      <c r="AM899" s="27">
        <v>1</v>
      </c>
      <c r="AW899" s="7" t="s">
        <v>175</v>
      </c>
      <c r="AX899" s="27">
        <v>29</v>
      </c>
      <c r="BC899" s="7" t="s">
        <v>169</v>
      </c>
      <c r="BD899" s="27">
        <v>64</v>
      </c>
      <c r="BJ899" s="7" t="s">
        <v>164</v>
      </c>
      <c r="BK899" s="40">
        <v>25</v>
      </c>
      <c r="BL899" s="40">
        <v>17</v>
      </c>
      <c r="BN899" t="str">
        <f t="shared" si="83"/>
        <v>Amplero</v>
      </c>
      <c r="BO899">
        <f t="shared" si="80"/>
        <v>619</v>
      </c>
      <c r="BP899">
        <f t="shared" si="81"/>
        <v>612</v>
      </c>
      <c r="BQ899">
        <f t="shared" si="82"/>
        <v>1231</v>
      </c>
    </row>
    <row r="900" spans="26:69" hidden="1" x14ac:dyDescent="0.25">
      <c r="Z900" s="7" t="s">
        <v>152</v>
      </c>
      <c r="AA900" s="1">
        <v>0.06</v>
      </c>
      <c r="AI900" s="7" t="s">
        <v>160</v>
      </c>
      <c r="AJ900" s="40">
        <v>1</v>
      </c>
      <c r="AL900" s="7" t="s">
        <v>162</v>
      </c>
      <c r="AM900" s="27">
        <v>2</v>
      </c>
      <c r="AW900" s="7" t="s">
        <v>178</v>
      </c>
      <c r="AX900" s="27">
        <v>80</v>
      </c>
      <c r="BC900" s="7" t="s">
        <v>171</v>
      </c>
      <c r="BD900" s="27">
        <v>36</v>
      </c>
      <c r="BJ900" s="7" t="s">
        <v>165</v>
      </c>
      <c r="BK900" s="40">
        <v>14</v>
      </c>
      <c r="BL900" s="40">
        <v>17</v>
      </c>
      <c r="BN900" t="str">
        <f t="shared" si="83"/>
        <v>Anagram</v>
      </c>
      <c r="BO900">
        <f t="shared" si="80"/>
        <v>671</v>
      </c>
      <c r="BP900">
        <f t="shared" si="81"/>
        <v>612</v>
      </c>
      <c r="BQ900">
        <f t="shared" si="82"/>
        <v>1283</v>
      </c>
    </row>
    <row r="901" spans="26:69" hidden="1" x14ac:dyDescent="0.25">
      <c r="Z901" s="7" t="s">
        <v>153</v>
      </c>
      <c r="AA901" s="1">
        <v>0.03</v>
      </c>
      <c r="AI901" s="7" t="s">
        <v>162</v>
      </c>
      <c r="AJ901" s="40">
        <v>2</v>
      </c>
      <c r="AL901" s="7" t="s">
        <v>163</v>
      </c>
      <c r="AM901" s="27">
        <v>1</v>
      </c>
      <c r="AW901" s="7" t="s">
        <v>179</v>
      </c>
      <c r="AX901" s="27">
        <v>164</v>
      </c>
      <c r="BC901" s="7" t="s">
        <v>173</v>
      </c>
      <c r="BD901" s="27">
        <v>15</v>
      </c>
      <c r="BJ901" s="7" t="s">
        <v>166</v>
      </c>
      <c r="BK901" s="40">
        <v>181</v>
      </c>
      <c r="BL901" s="40">
        <v>135</v>
      </c>
      <c r="BN901" t="str">
        <f t="shared" si="83"/>
        <v>Andela</v>
      </c>
      <c r="BO901">
        <f t="shared" si="80"/>
        <v>342</v>
      </c>
      <c r="BP901">
        <f t="shared" si="81"/>
        <v>224</v>
      </c>
      <c r="BQ901">
        <f t="shared" si="82"/>
        <v>566</v>
      </c>
    </row>
    <row r="902" spans="26:69" hidden="1" x14ac:dyDescent="0.25">
      <c r="Z902" s="7" t="s">
        <v>154</v>
      </c>
      <c r="AA902" s="1">
        <v>0.1</v>
      </c>
      <c r="AI902" s="7" t="s">
        <v>163</v>
      </c>
      <c r="AJ902" s="40">
        <v>1</v>
      </c>
      <c r="AL902" s="7" t="s">
        <v>164</v>
      </c>
      <c r="AM902" s="27">
        <v>1</v>
      </c>
      <c r="AW902" s="7" t="s">
        <v>183</v>
      </c>
      <c r="AX902" s="27">
        <v>300</v>
      </c>
      <c r="BC902" s="7" t="s">
        <v>175</v>
      </c>
      <c r="BD902" s="27">
        <v>169</v>
      </c>
      <c r="BJ902" s="7" t="s">
        <v>168</v>
      </c>
      <c r="BK902" s="40">
        <v>26</v>
      </c>
      <c r="BL902" s="40">
        <v>20</v>
      </c>
      <c r="BN902" t="str">
        <f t="shared" si="83"/>
        <v>AngelList</v>
      </c>
      <c r="BO902">
        <f t="shared" si="80"/>
        <v>612</v>
      </c>
      <c r="BP902">
        <f t="shared" si="81"/>
        <v>588</v>
      </c>
      <c r="BQ902">
        <f t="shared" si="82"/>
        <v>1200</v>
      </c>
    </row>
    <row r="903" spans="26:69" hidden="1" x14ac:dyDescent="0.25">
      <c r="Z903" s="7" t="s">
        <v>156</v>
      </c>
      <c r="AA903" s="1">
        <v>0</v>
      </c>
      <c r="AI903" s="7" t="s">
        <v>164</v>
      </c>
      <c r="AJ903" s="40">
        <v>1</v>
      </c>
      <c r="AL903" s="7" t="s">
        <v>165</v>
      </c>
      <c r="AM903" s="27">
        <v>1</v>
      </c>
      <c r="AW903" s="7" t="s">
        <v>184</v>
      </c>
      <c r="AX903" s="27">
        <v>90</v>
      </c>
      <c r="BC903" s="7" t="s">
        <v>176</v>
      </c>
      <c r="BD903" s="27">
        <v>183</v>
      </c>
      <c r="BJ903" s="7" t="s">
        <v>169</v>
      </c>
      <c r="BK903" s="40">
        <v>64</v>
      </c>
      <c r="BL903" s="40">
        <v>35</v>
      </c>
      <c r="BN903" t="str">
        <f t="shared" si="83"/>
        <v>Anodot</v>
      </c>
      <c r="BO903">
        <f t="shared" si="80"/>
        <v>504</v>
      </c>
      <c r="BP903">
        <f t="shared" si="81"/>
        <v>494</v>
      </c>
      <c r="BQ903">
        <f t="shared" si="82"/>
        <v>998</v>
      </c>
    </row>
    <row r="904" spans="26:69" hidden="1" x14ac:dyDescent="0.25">
      <c r="Z904" s="7" t="s">
        <v>158</v>
      </c>
      <c r="AA904" s="1">
        <v>0.03</v>
      </c>
      <c r="AI904" s="7" t="s">
        <v>165</v>
      </c>
      <c r="AJ904" s="40">
        <v>1</v>
      </c>
      <c r="AL904" s="7" t="s">
        <v>166</v>
      </c>
      <c r="AM904" s="27">
        <v>1</v>
      </c>
      <c r="AW904" s="7" t="s">
        <v>186</v>
      </c>
      <c r="AX904" s="27">
        <v>80</v>
      </c>
      <c r="BC904" s="7" t="s">
        <v>177</v>
      </c>
      <c r="BD904" s="27">
        <v>11</v>
      </c>
      <c r="BJ904" s="7" t="s">
        <v>171</v>
      </c>
      <c r="BK904" s="40">
        <v>36</v>
      </c>
      <c r="BL904" s="40">
        <v>23</v>
      </c>
      <c r="BN904" t="str">
        <f t="shared" si="83"/>
        <v>Antidote Health</v>
      </c>
      <c r="BO904">
        <f t="shared" si="80"/>
        <v>586</v>
      </c>
      <c r="BP904">
        <f t="shared" si="81"/>
        <v>570</v>
      </c>
      <c r="BQ904">
        <f t="shared" si="82"/>
        <v>1156</v>
      </c>
    </row>
    <row r="905" spans="26:69" hidden="1" x14ac:dyDescent="0.25">
      <c r="Z905" s="7" t="s">
        <v>160</v>
      </c>
      <c r="AA905" s="1">
        <v>0.65</v>
      </c>
      <c r="AI905" s="7" t="s">
        <v>166</v>
      </c>
      <c r="AJ905" s="40">
        <v>1</v>
      </c>
      <c r="AL905" s="7" t="s">
        <v>168</v>
      </c>
      <c r="AM905" s="27">
        <v>1</v>
      </c>
      <c r="AW905" s="7" t="s">
        <v>188</v>
      </c>
      <c r="AX905" s="27">
        <v>89</v>
      </c>
      <c r="BC905" s="7" t="s">
        <v>178</v>
      </c>
      <c r="BD905" s="27">
        <v>156</v>
      </c>
      <c r="BJ905" s="7" t="s">
        <v>173</v>
      </c>
      <c r="BK905" s="40">
        <v>15</v>
      </c>
      <c r="BL905" s="40">
        <v>11</v>
      </c>
      <c r="BN905" t="str">
        <f t="shared" si="83"/>
        <v>Anywell</v>
      </c>
      <c r="BO905">
        <f t="shared" ref="BO905:BO968" si="84">RANK($BK$839:$BK$1662,$BK$839:$BK$1662,0)</f>
        <v>667</v>
      </c>
      <c r="BP905">
        <f t="shared" ref="BP905:BP968" si="85">RANK($BL$840:$BL$1662,$BL$840:$BL$1662,0)</f>
        <v>650</v>
      </c>
      <c r="BQ905">
        <f t="shared" ref="BQ905:BQ968" si="86">BO905+BP905</f>
        <v>1317</v>
      </c>
    </row>
    <row r="906" spans="26:69" hidden="1" x14ac:dyDescent="0.25">
      <c r="Z906" s="7" t="s">
        <v>162</v>
      </c>
      <c r="AA906" s="1">
        <v>0.25</v>
      </c>
      <c r="AI906" s="7" t="s">
        <v>168</v>
      </c>
      <c r="AJ906" s="40">
        <v>1</v>
      </c>
      <c r="AL906" s="7" t="s">
        <v>169</v>
      </c>
      <c r="AM906" s="27">
        <v>1</v>
      </c>
      <c r="AW906" s="7" t="s">
        <v>189</v>
      </c>
      <c r="AX906" s="27">
        <v>13</v>
      </c>
      <c r="BC906" s="7" t="s">
        <v>183</v>
      </c>
      <c r="BD906" s="27">
        <v>1600</v>
      </c>
      <c r="BJ906" s="7" t="s">
        <v>175</v>
      </c>
      <c r="BK906" s="40">
        <v>169</v>
      </c>
      <c r="BL906" s="40">
        <v>29</v>
      </c>
      <c r="BN906" t="str">
        <f t="shared" si="83"/>
        <v>Apartment List</v>
      </c>
      <c r="BO906">
        <f t="shared" si="84"/>
        <v>352</v>
      </c>
      <c r="BP906">
        <f t="shared" si="85"/>
        <v>541</v>
      </c>
      <c r="BQ906">
        <f t="shared" si="86"/>
        <v>893</v>
      </c>
    </row>
    <row r="907" spans="26:69" hidden="1" x14ac:dyDescent="0.25">
      <c r="Z907" s="7" t="s">
        <v>163</v>
      </c>
      <c r="AA907" s="1">
        <v>0.03</v>
      </c>
      <c r="AI907" s="7" t="s">
        <v>169</v>
      </c>
      <c r="AJ907" s="40">
        <v>1</v>
      </c>
      <c r="AL907" s="7" t="s">
        <v>171</v>
      </c>
      <c r="AM907" s="27">
        <v>1</v>
      </c>
      <c r="AW907" s="7" t="s">
        <v>193</v>
      </c>
      <c r="AX907" s="27">
        <v>682</v>
      </c>
      <c r="BC907" s="7" t="s">
        <v>184</v>
      </c>
      <c r="BD907" s="27">
        <v>483</v>
      </c>
      <c r="BJ907" s="7" t="s">
        <v>176</v>
      </c>
      <c r="BK907" s="40">
        <v>183</v>
      </c>
      <c r="BL907" s="40">
        <v>0</v>
      </c>
      <c r="BN907" t="str">
        <f t="shared" si="83"/>
        <v>Apollo</v>
      </c>
      <c r="BO907">
        <f t="shared" si="84"/>
        <v>339</v>
      </c>
      <c r="BP907">
        <f t="shared" si="85"/>
        <v>683</v>
      </c>
      <c r="BQ907">
        <f t="shared" si="86"/>
        <v>1022</v>
      </c>
    </row>
    <row r="908" spans="26:69" hidden="1" x14ac:dyDescent="0.25">
      <c r="Z908" s="7" t="s">
        <v>164</v>
      </c>
      <c r="AA908" s="1">
        <v>1</v>
      </c>
      <c r="AI908" s="7" t="s">
        <v>171</v>
      </c>
      <c r="AJ908" s="40">
        <v>1</v>
      </c>
      <c r="AL908" s="7" t="s">
        <v>173</v>
      </c>
      <c r="AM908" s="27">
        <v>1</v>
      </c>
      <c r="AW908" s="7" t="s">
        <v>196</v>
      </c>
      <c r="AX908" s="27">
        <v>20</v>
      </c>
      <c r="BC908" s="7" t="s">
        <v>186</v>
      </c>
      <c r="BD908" s="27">
        <v>12</v>
      </c>
      <c r="BJ908" s="7" t="s">
        <v>177</v>
      </c>
      <c r="BK908" s="40">
        <v>11</v>
      </c>
      <c r="BL908" s="40">
        <v>0</v>
      </c>
      <c r="BN908" t="str">
        <f t="shared" si="83"/>
        <v>Apollo Insurance</v>
      </c>
      <c r="BO908">
        <f t="shared" si="84"/>
        <v>683</v>
      </c>
      <c r="BP908">
        <f t="shared" si="85"/>
        <v>683</v>
      </c>
      <c r="BQ908">
        <f t="shared" si="86"/>
        <v>1366</v>
      </c>
    </row>
    <row r="909" spans="26:69" hidden="1" x14ac:dyDescent="0.25">
      <c r="Z909" s="7" t="s">
        <v>165</v>
      </c>
      <c r="AA909" s="1">
        <v>0</v>
      </c>
      <c r="AI909" s="7" t="s">
        <v>173</v>
      </c>
      <c r="AJ909" s="40">
        <v>1</v>
      </c>
      <c r="AL909" s="7" t="s">
        <v>175</v>
      </c>
      <c r="AM909" s="27">
        <v>1</v>
      </c>
      <c r="AW909" s="7" t="s">
        <v>197</v>
      </c>
      <c r="AX909" s="27">
        <v>25</v>
      </c>
      <c r="BC909" s="7" t="s">
        <v>188</v>
      </c>
      <c r="BD909" s="27">
        <v>365</v>
      </c>
      <c r="BJ909" s="7" t="s">
        <v>178</v>
      </c>
      <c r="BK909" s="40">
        <v>156</v>
      </c>
      <c r="BL909" s="40">
        <v>80</v>
      </c>
      <c r="BN909" t="str">
        <f t="shared" si="83"/>
        <v>App Annie</v>
      </c>
      <c r="BO909">
        <f t="shared" si="84"/>
        <v>369</v>
      </c>
      <c r="BP909">
        <f t="shared" si="85"/>
        <v>322</v>
      </c>
      <c r="BQ909">
        <f t="shared" si="86"/>
        <v>691</v>
      </c>
    </row>
    <row r="910" spans="26:69" hidden="1" x14ac:dyDescent="0.25">
      <c r="Z910" s="7" t="s">
        <v>166</v>
      </c>
      <c r="AA910" s="1">
        <v>0.1</v>
      </c>
      <c r="AI910" s="7" t="s">
        <v>175</v>
      </c>
      <c r="AJ910" s="40">
        <v>1</v>
      </c>
      <c r="AL910" s="7" t="s">
        <v>176</v>
      </c>
      <c r="AM910" s="27">
        <v>1</v>
      </c>
      <c r="AW910" s="7" t="s">
        <v>198</v>
      </c>
      <c r="AX910" s="27">
        <v>800</v>
      </c>
      <c r="BC910" s="7" t="s">
        <v>189</v>
      </c>
      <c r="BD910" s="27">
        <v>1</v>
      </c>
      <c r="BJ910" s="7" t="s">
        <v>179</v>
      </c>
      <c r="BK910" s="40">
        <v>0</v>
      </c>
      <c r="BL910" s="40">
        <v>164</v>
      </c>
      <c r="BN910" t="str">
        <f t="shared" si="83"/>
        <v>Appgate</v>
      </c>
      <c r="BO910">
        <f t="shared" si="84"/>
        <v>742</v>
      </c>
      <c r="BP910">
        <f t="shared" si="85"/>
        <v>181</v>
      </c>
      <c r="BQ910">
        <f t="shared" si="86"/>
        <v>923</v>
      </c>
    </row>
    <row r="911" spans="26:69" hidden="1" x14ac:dyDescent="0.25">
      <c r="Z911" s="7" t="s">
        <v>168</v>
      </c>
      <c r="AA911" s="1">
        <v>0</v>
      </c>
      <c r="AI911" s="7" t="s">
        <v>176</v>
      </c>
      <c r="AJ911" s="40">
        <v>1</v>
      </c>
      <c r="AL911" s="7" t="s">
        <v>177</v>
      </c>
      <c r="AM911" s="27">
        <v>1</v>
      </c>
      <c r="AW911" s="7" t="s">
        <v>201</v>
      </c>
      <c r="AX911" s="27">
        <v>75</v>
      </c>
      <c r="BC911" s="7" t="s">
        <v>191</v>
      </c>
      <c r="BD911" s="27">
        <v>155</v>
      </c>
      <c r="BJ911" s="7" t="s">
        <v>183</v>
      </c>
      <c r="BK911" s="40">
        <v>1600</v>
      </c>
      <c r="BL911" s="40">
        <v>300</v>
      </c>
      <c r="BN911" t="str">
        <f t="shared" si="83"/>
        <v>AppLovin</v>
      </c>
      <c r="BO911">
        <f t="shared" si="84"/>
        <v>53</v>
      </c>
      <c r="BP911">
        <f t="shared" si="85"/>
        <v>103</v>
      </c>
      <c r="BQ911">
        <f t="shared" si="86"/>
        <v>156</v>
      </c>
    </row>
    <row r="912" spans="26:69" hidden="1" x14ac:dyDescent="0.25">
      <c r="Z912" s="7" t="s">
        <v>169</v>
      </c>
      <c r="AA912" s="1">
        <v>0.27</v>
      </c>
      <c r="AI912" s="7" t="s">
        <v>177</v>
      </c>
      <c r="AJ912" s="40">
        <v>1</v>
      </c>
      <c r="AL912" s="7" t="s">
        <v>178</v>
      </c>
      <c r="AM912" s="27">
        <v>1</v>
      </c>
      <c r="AW912" s="7" t="s">
        <v>203</v>
      </c>
      <c r="AX912" s="27">
        <v>216</v>
      </c>
      <c r="BC912" s="7" t="s">
        <v>193</v>
      </c>
      <c r="BD912" s="27">
        <v>14400</v>
      </c>
      <c r="BJ912" s="7" t="s">
        <v>184</v>
      </c>
      <c r="BK912" s="40">
        <v>483</v>
      </c>
      <c r="BL912" s="40">
        <v>90</v>
      </c>
      <c r="BN912" t="str">
        <f t="shared" si="83"/>
        <v>ApplyBoard</v>
      </c>
      <c r="BO912">
        <f t="shared" si="84"/>
        <v>170</v>
      </c>
      <c r="BP912">
        <f t="shared" si="85"/>
        <v>298</v>
      </c>
      <c r="BQ912">
        <f t="shared" si="86"/>
        <v>468</v>
      </c>
    </row>
    <row r="913" spans="26:69" hidden="1" x14ac:dyDescent="0.25">
      <c r="Z913" s="7" t="s">
        <v>171</v>
      </c>
      <c r="AA913" s="1">
        <v>0.38</v>
      </c>
      <c r="AI913" s="7" t="s">
        <v>178</v>
      </c>
      <c r="AJ913" s="40">
        <v>1</v>
      </c>
      <c r="AL913" s="7" t="s">
        <v>179</v>
      </c>
      <c r="AM913" s="27">
        <v>2</v>
      </c>
      <c r="AW913" s="7" t="s">
        <v>204</v>
      </c>
      <c r="AX913" s="27">
        <v>38</v>
      </c>
      <c r="BC913" s="7" t="s">
        <v>196</v>
      </c>
      <c r="BD913" s="27">
        <v>78</v>
      </c>
      <c r="BJ913" s="7" t="s">
        <v>186</v>
      </c>
      <c r="BK913" s="40">
        <v>12</v>
      </c>
      <c r="BL913" s="40">
        <v>80</v>
      </c>
      <c r="BN913" t="str">
        <f t="shared" si="83"/>
        <v>Aqgromalin</v>
      </c>
      <c r="BO913">
        <f t="shared" si="84"/>
        <v>679</v>
      </c>
      <c r="BP913">
        <f t="shared" si="85"/>
        <v>322</v>
      </c>
      <c r="BQ913">
        <f t="shared" si="86"/>
        <v>1001</v>
      </c>
    </row>
    <row r="914" spans="26:69" hidden="1" x14ac:dyDescent="0.25">
      <c r="Z914" s="7" t="s">
        <v>173</v>
      </c>
      <c r="AA914" s="1">
        <v>0</v>
      </c>
      <c r="AI914" s="7" t="s">
        <v>179</v>
      </c>
      <c r="AJ914" s="40">
        <v>2</v>
      </c>
      <c r="AL914" s="7" t="s">
        <v>183</v>
      </c>
      <c r="AM914" s="27">
        <v>1</v>
      </c>
      <c r="AW914" s="7" t="s">
        <v>205</v>
      </c>
      <c r="AX914" s="27">
        <v>26</v>
      </c>
      <c r="BC914" s="7" t="s">
        <v>197</v>
      </c>
      <c r="BD914" s="27">
        <v>537</v>
      </c>
      <c r="BJ914" s="7" t="s">
        <v>188</v>
      </c>
      <c r="BK914" s="40">
        <v>365</v>
      </c>
      <c r="BL914" s="40">
        <v>89</v>
      </c>
      <c r="BN914" t="str">
        <f t="shared" si="83"/>
        <v>Aqua Security</v>
      </c>
      <c r="BO914">
        <f t="shared" si="84"/>
        <v>208</v>
      </c>
      <c r="BP914">
        <f t="shared" si="85"/>
        <v>307</v>
      </c>
      <c r="BQ914">
        <f t="shared" si="86"/>
        <v>515</v>
      </c>
    </row>
    <row r="915" spans="26:69" hidden="1" x14ac:dyDescent="0.25">
      <c r="Z915" s="7" t="s">
        <v>175</v>
      </c>
      <c r="AA915" s="1">
        <v>0.1</v>
      </c>
      <c r="AI915" s="7" t="s">
        <v>183</v>
      </c>
      <c r="AJ915" s="40">
        <v>1</v>
      </c>
      <c r="AL915" s="7" t="s">
        <v>184</v>
      </c>
      <c r="AM915" s="27">
        <v>1</v>
      </c>
      <c r="AW915" s="7" t="s">
        <v>206</v>
      </c>
      <c r="AX915" s="27">
        <v>180</v>
      </c>
      <c r="BC915" s="7" t="s">
        <v>198</v>
      </c>
      <c r="BD915" s="27">
        <v>1258</v>
      </c>
      <c r="BJ915" s="7" t="s">
        <v>189</v>
      </c>
      <c r="BK915" s="40">
        <v>1</v>
      </c>
      <c r="BL915" s="40">
        <v>13</v>
      </c>
      <c r="BN915" t="str">
        <f t="shared" si="83"/>
        <v>Arc</v>
      </c>
      <c r="BO915">
        <f t="shared" si="84"/>
        <v>735</v>
      </c>
      <c r="BP915">
        <f t="shared" si="85"/>
        <v>634</v>
      </c>
      <c r="BQ915">
        <f t="shared" si="86"/>
        <v>1369</v>
      </c>
    </row>
    <row r="916" spans="26:69" hidden="1" x14ac:dyDescent="0.25">
      <c r="Z916" s="7" t="s">
        <v>176</v>
      </c>
      <c r="AA916" s="1">
        <v>0.15</v>
      </c>
      <c r="AI916" s="7" t="s">
        <v>184</v>
      </c>
      <c r="AJ916" s="40">
        <v>1</v>
      </c>
      <c r="AL916" s="7" t="s">
        <v>186</v>
      </c>
      <c r="AM916" s="27">
        <v>1</v>
      </c>
      <c r="AW916" s="7" t="s">
        <v>207</v>
      </c>
      <c r="AX916" s="27">
        <v>23</v>
      </c>
      <c r="BC916" s="7" t="s">
        <v>201</v>
      </c>
      <c r="BD916" s="27">
        <v>35</v>
      </c>
      <c r="BJ916" s="7" t="s">
        <v>191</v>
      </c>
      <c r="BK916" s="40">
        <v>155</v>
      </c>
      <c r="BL916" s="40">
        <v>0</v>
      </c>
      <c r="BN916" t="str">
        <f t="shared" ref="BN916:BN979" si="87">VLOOKUP(BJ916,BJ916:BL1727,1,0)</f>
        <v>Arch Oncology</v>
      </c>
      <c r="BO916">
        <f t="shared" si="84"/>
        <v>372</v>
      </c>
      <c r="BP916">
        <f t="shared" si="85"/>
        <v>683</v>
      </c>
      <c r="BQ916">
        <f t="shared" si="86"/>
        <v>1055</v>
      </c>
    </row>
    <row r="917" spans="26:69" hidden="1" x14ac:dyDescent="0.25">
      <c r="Z917" s="7" t="s">
        <v>177</v>
      </c>
      <c r="AA917" s="1">
        <v>0.25</v>
      </c>
      <c r="AI917" s="7" t="s">
        <v>186</v>
      </c>
      <c r="AJ917" s="40">
        <v>1</v>
      </c>
      <c r="AL917" s="7" t="s">
        <v>188</v>
      </c>
      <c r="AM917" s="27">
        <v>2</v>
      </c>
      <c r="AW917" s="7" t="s">
        <v>209</v>
      </c>
      <c r="AX917" s="27">
        <v>40</v>
      </c>
      <c r="BC917" s="7" t="s">
        <v>204</v>
      </c>
      <c r="BD917" s="27">
        <v>1500</v>
      </c>
      <c r="BJ917" s="7" t="s">
        <v>193</v>
      </c>
      <c r="BK917" s="40">
        <v>14400</v>
      </c>
      <c r="BL917" s="40">
        <v>682</v>
      </c>
      <c r="BN917" t="str">
        <f t="shared" si="87"/>
        <v>Argo AI</v>
      </c>
      <c r="BO917">
        <f t="shared" si="84"/>
        <v>3</v>
      </c>
      <c r="BP917">
        <f t="shared" si="85"/>
        <v>50</v>
      </c>
      <c r="BQ917">
        <f t="shared" si="86"/>
        <v>53</v>
      </c>
    </row>
    <row r="918" spans="26:69" hidden="1" x14ac:dyDescent="0.25">
      <c r="Z918" s="7" t="s">
        <v>178</v>
      </c>
      <c r="AA918" s="1">
        <v>0.18</v>
      </c>
      <c r="AI918" s="7" t="s">
        <v>188</v>
      </c>
      <c r="AJ918" s="40">
        <v>2</v>
      </c>
      <c r="AL918" s="7" t="s">
        <v>189</v>
      </c>
      <c r="AM918" s="27">
        <v>1</v>
      </c>
      <c r="AW918" s="7" t="s">
        <v>211</v>
      </c>
      <c r="AX918" s="27">
        <v>76</v>
      </c>
      <c r="BC918" s="7" t="s">
        <v>206</v>
      </c>
      <c r="BD918" s="27">
        <v>453</v>
      </c>
      <c r="BJ918" s="7" t="s">
        <v>196</v>
      </c>
      <c r="BK918" s="40">
        <v>78</v>
      </c>
      <c r="BL918" s="40">
        <v>20</v>
      </c>
      <c r="BN918" t="str">
        <f t="shared" si="87"/>
        <v>Argyle</v>
      </c>
      <c r="BO918">
        <f t="shared" si="84"/>
        <v>477</v>
      </c>
      <c r="BP918">
        <f t="shared" si="85"/>
        <v>588</v>
      </c>
      <c r="BQ918">
        <f t="shared" si="86"/>
        <v>1065</v>
      </c>
    </row>
    <row r="919" spans="26:69" hidden="1" x14ac:dyDescent="0.25">
      <c r="Z919" s="7" t="s">
        <v>179</v>
      </c>
      <c r="AA919" s="1">
        <v>0.22</v>
      </c>
      <c r="AI919" s="7" t="s">
        <v>189</v>
      </c>
      <c r="AJ919" s="40">
        <v>1</v>
      </c>
      <c r="AL919" s="7" t="s">
        <v>191</v>
      </c>
      <c r="AM919" s="27">
        <v>1</v>
      </c>
      <c r="AW919" s="7" t="s">
        <v>214</v>
      </c>
      <c r="AX919" s="27">
        <v>15</v>
      </c>
      <c r="BC919" s="7" t="s">
        <v>207</v>
      </c>
      <c r="BD919" s="27">
        <v>27</v>
      </c>
      <c r="BJ919" s="7" t="s">
        <v>197</v>
      </c>
      <c r="BK919" s="40">
        <v>537</v>
      </c>
      <c r="BL919" s="40">
        <v>25</v>
      </c>
      <c r="BN919" t="str">
        <f t="shared" si="87"/>
        <v>Armis</v>
      </c>
      <c r="BO919">
        <f t="shared" si="84"/>
        <v>157</v>
      </c>
      <c r="BP919">
        <f t="shared" si="85"/>
        <v>554</v>
      </c>
      <c r="BQ919">
        <f t="shared" si="86"/>
        <v>711</v>
      </c>
    </row>
    <row r="920" spans="26:69" hidden="1" x14ac:dyDescent="0.25">
      <c r="Z920" s="7" t="s">
        <v>183</v>
      </c>
      <c r="AA920" s="1">
        <v>0.12</v>
      </c>
      <c r="AI920" s="7" t="s">
        <v>191</v>
      </c>
      <c r="AJ920" s="40">
        <v>1</v>
      </c>
      <c r="AL920" s="7" t="s">
        <v>193</v>
      </c>
      <c r="AM920" s="27">
        <v>4</v>
      </c>
      <c r="AW920" s="7" t="s">
        <v>215</v>
      </c>
      <c r="AX920" s="27">
        <v>500</v>
      </c>
      <c r="BC920" s="7" t="s">
        <v>208</v>
      </c>
      <c r="BD920" s="27">
        <v>2</v>
      </c>
      <c r="BJ920" s="7" t="s">
        <v>198</v>
      </c>
      <c r="BK920" s="40">
        <v>1258</v>
      </c>
      <c r="BL920" s="40">
        <v>800</v>
      </c>
      <c r="BN920" t="str">
        <f t="shared" si="87"/>
        <v>Arrival</v>
      </c>
      <c r="BO920">
        <f t="shared" si="84"/>
        <v>68</v>
      </c>
      <c r="BP920">
        <f t="shared" si="85"/>
        <v>39</v>
      </c>
      <c r="BQ920">
        <f t="shared" si="86"/>
        <v>107</v>
      </c>
    </row>
    <row r="921" spans="26:69" hidden="1" x14ac:dyDescent="0.25">
      <c r="Z921" s="7" t="s">
        <v>184</v>
      </c>
      <c r="AA921" s="1">
        <v>0.06</v>
      </c>
      <c r="AI921" s="7" t="s">
        <v>193</v>
      </c>
      <c r="AJ921" s="40">
        <v>4</v>
      </c>
      <c r="AL921" s="7" t="s">
        <v>196</v>
      </c>
      <c r="AM921" s="27">
        <v>1</v>
      </c>
      <c r="AW921" s="7" t="s">
        <v>216</v>
      </c>
      <c r="AX921" s="27">
        <v>32</v>
      </c>
      <c r="BC921" s="7" t="s">
        <v>209</v>
      </c>
      <c r="BD921" s="27">
        <v>400</v>
      </c>
      <c r="BJ921" s="7" t="s">
        <v>201</v>
      </c>
      <c r="BK921" s="40">
        <v>35</v>
      </c>
      <c r="BL921" s="40">
        <v>75</v>
      </c>
      <c r="BN921" t="str">
        <f t="shared" si="87"/>
        <v>Arrive Logistics</v>
      </c>
      <c r="BO921">
        <f t="shared" si="84"/>
        <v>588</v>
      </c>
      <c r="BP921">
        <f t="shared" si="85"/>
        <v>341</v>
      </c>
      <c r="BQ921">
        <f t="shared" si="86"/>
        <v>929</v>
      </c>
    </row>
    <row r="922" spans="26:69" hidden="1" x14ac:dyDescent="0.25">
      <c r="Z922" s="7" t="s">
        <v>186</v>
      </c>
      <c r="AA922" s="1">
        <v>0.3</v>
      </c>
      <c r="AI922" s="7" t="s">
        <v>196</v>
      </c>
      <c r="AJ922" s="40">
        <v>1</v>
      </c>
      <c r="AL922" s="7" t="s">
        <v>197</v>
      </c>
      <c r="AM922" s="27">
        <v>1</v>
      </c>
      <c r="AW922" s="7" t="s">
        <v>217</v>
      </c>
      <c r="AX922" s="27">
        <v>6</v>
      </c>
      <c r="BC922" s="7" t="s">
        <v>211</v>
      </c>
      <c r="BD922" s="27">
        <v>282</v>
      </c>
      <c r="BJ922" s="7" t="s">
        <v>203</v>
      </c>
      <c r="BK922" s="40">
        <v>0</v>
      </c>
      <c r="BL922" s="40">
        <v>216</v>
      </c>
      <c r="BN922" t="str">
        <f t="shared" si="87"/>
        <v>Article</v>
      </c>
      <c r="BO922">
        <f t="shared" si="84"/>
        <v>742</v>
      </c>
      <c r="BP922">
        <f t="shared" si="85"/>
        <v>142</v>
      </c>
      <c r="BQ922">
        <f t="shared" si="86"/>
        <v>884</v>
      </c>
    </row>
    <row r="923" spans="26:69" hidden="1" x14ac:dyDescent="0.25">
      <c r="Z923" s="7" t="s">
        <v>188</v>
      </c>
      <c r="AA923" s="1">
        <v>0.1</v>
      </c>
      <c r="AI923" s="7" t="s">
        <v>197</v>
      </c>
      <c r="AJ923" s="40">
        <v>1</v>
      </c>
      <c r="AL923" s="7" t="s">
        <v>198</v>
      </c>
      <c r="AM923" s="27">
        <v>2</v>
      </c>
      <c r="AW923" s="7" t="s">
        <v>219</v>
      </c>
      <c r="AX923" s="27">
        <v>19</v>
      </c>
      <c r="BC923" s="7" t="s">
        <v>214</v>
      </c>
      <c r="BD923" s="27">
        <v>32</v>
      </c>
      <c r="BJ923" s="7" t="s">
        <v>204</v>
      </c>
      <c r="BK923" s="40">
        <v>1500</v>
      </c>
      <c r="BL923" s="40">
        <v>38</v>
      </c>
      <c r="BN923" t="str">
        <f t="shared" si="87"/>
        <v>Articulate</v>
      </c>
      <c r="BO923">
        <f t="shared" si="84"/>
        <v>56</v>
      </c>
      <c r="BP923">
        <f t="shared" si="85"/>
        <v>485</v>
      </c>
      <c r="BQ923">
        <f t="shared" si="86"/>
        <v>541</v>
      </c>
    </row>
    <row r="924" spans="26:69" hidden="1" x14ac:dyDescent="0.25">
      <c r="Z924" s="7" t="s">
        <v>189</v>
      </c>
      <c r="AA924" s="1">
        <v>0</v>
      </c>
      <c r="AI924" s="7" t="s">
        <v>198</v>
      </c>
      <c r="AJ924" s="40">
        <v>2</v>
      </c>
      <c r="AL924" s="7" t="s">
        <v>201</v>
      </c>
      <c r="AM924" s="27">
        <v>1</v>
      </c>
      <c r="AW924" s="7" t="s">
        <v>220</v>
      </c>
      <c r="AX924" s="27">
        <v>20</v>
      </c>
      <c r="BC924" s="7" t="s">
        <v>215</v>
      </c>
      <c r="BD924" s="27">
        <v>210</v>
      </c>
      <c r="BJ924" s="7" t="s">
        <v>205</v>
      </c>
      <c r="BK924" s="40">
        <v>0</v>
      </c>
      <c r="BL924" s="40">
        <v>26</v>
      </c>
      <c r="BN924" t="str">
        <f t="shared" si="87"/>
        <v>Artnight</v>
      </c>
      <c r="BO924">
        <f t="shared" si="84"/>
        <v>742</v>
      </c>
      <c r="BP924">
        <f t="shared" si="85"/>
        <v>549</v>
      </c>
      <c r="BQ924">
        <f t="shared" si="86"/>
        <v>1291</v>
      </c>
    </row>
    <row r="925" spans="26:69" hidden="1" x14ac:dyDescent="0.25">
      <c r="Z925" s="7" t="s">
        <v>191</v>
      </c>
      <c r="AA925" s="1">
        <v>1</v>
      </c>
      <c r="AI925" s="7" t="s">
        <v>201</v>
      </c>
      <c r="AJ925" s="40">
        <v>1</v>
      </c>
      <c r="AL925" s="7" t="s">
        <v>203</v>
      </c>
      <c r="AM925" s="27">
        <v>1</v>
      </c>
      <c r="AW925" s="7" t="s">
        <v>222</v>
      </c>
      <c r="AX925" s="27">
        <v>70</v>
      </c>
      <c r="BC925" s="7" t="s">
        <v>216</v>
      </c>
      <c r="BD925" s="27">
        <v>177</v>
      </c>
      <c r="BJ925" s="7" t="s">
        <v>206</v>
      </c>
      <c r="BK925" s="40">
        <v>453</v>
      </c>
      <c r="BL925" s="40">
        <v>180</v>
      </c>
      <c r="BN925" t="str">
        <f t="shared" si="87"/>
        <v>Asana</v>
      </c>
      <c r="BO925">
        <f t="shared" si="84"/>
        <v>182</v>
      </c>
      <c r="BP925">
        <f t="shared" si="85"/>
        <v>169</v>
      </c>
      <c r="BQ925">
        <f t="shared" si="86"/>
        <v>351</v>
      </c>
    </row>
    <row r="926" spans="26:69" hidden="1" x14ac:dyDescent="0.25">
      <c r="Z926" s="7" t="s">
        <v>193</v>
      </c>
      <c r="AA926" s="1">
        <v>0.05</v>
      </c>
      <c r="AI926" s="7" t="s">
        <v>203</v>
      </c>
      <c r="AJ926" s="40">
        <v>1</v>
      </c>
      <c r="AL926" s="7" t="s">
        <v>204</v>
      </c>
      <c r="AM926" s="27">
        <v>1</v>
      </c>
      <c r="AW926" s="7" t="s">
        <v>224</v>
      </c>
      <c r="AX926" s="27">
        <v>250</v>
      </c>
      <c r="BC926" s="7" t="s">
        <v>217</v>
      </c>
      <c r="BD926" s="27">
        <v>1</v>
      </c>
      <c r="BJ926" s="7" t="s">
        <v>207</v>
      </c>
      <c r="BK926" s="40">
        <v>27</v>
      </c>
      <c r="BL926" s="40">
        <v>23</v>
      </c>
      <c r="BN926" t="str">
        <f t="shared" si="87"/>
        <v>Aspire</v>
      </c>
      <c r="BO926">
        <f t="shared" si="84"/>
        <v>611</v>
      </c>
      <c r="BP926">
        <f t="shared" si="85"/>
        <v>570</v>
      </c>
      <c r="BQ926">
        <f t="shared" si="86"/>
        <v>1181</v>
      </c>
    </row>
    <row r="927" spans="26:69" hidden="1" x14ac:dyDescent="0.25">
      <c r="Z927" s="7" t="s">
        <v>196</v>
      </c>
      <c r="AA927" s="1">
        <v>7.0000000000000007E-2</v>
      </c>
      <c r="AI927" s="7" t="s">
        <v>204</v>
      </c>
      <c r="AJ927" s="40">
        <v>1</v>
      </c>
      <c r="AL927" s="7" t="s">
        <v>205</v>
      </c>
      <c r="AM927" s="27">
        <v>1</v>
      </c>
      <c r="AW927" s="7" t="s">
        <v>226</v>
      </c>
      <c r="AX927" s="27">
        <v>260</v>
      </c>
      <c r="BC927" s="7" t="s">
        <v>218</v>
      </c>
      <c r="BD927" s="27">
        <v>863</v>
      </c>
      <c r="BJ927" s="7" t="s">
        <v>208</v>
      </c>
      <c r="BK927" s="40">
        <v>2</v>
      </c>
      <c r="BL927" s="40">
        <v>0</v>
      </c>
      <c r="BN927" t="str">
        <f t="shared" si="87"/>
        <v>Assure</v>
      </c>
      <c r="BO927">
        <f t="shared" si="84"/>
        <v>725</v>
      </c>
      <c r="BP927">
        <f t="shared" si="85"/>
        <v>683</v>
      </c>
      <c r="BQ927">
        <f t="shared" si="86"/>
        <v>1408</v>
      </c>
    </row>
    <row r="928" spans="26:69" hidden="1" x14ac:dyDescent="0.25">
      <c r="Z928" s="7" t="s">
        <v>197</v>
      </c>
      <c r="AA928" s="1">
        <v>0.04</v>
      </c>
      <c r="AI928" s="7" t="s">
        <v>205</v>
      </c>
      <c r="AJ928" s="40">
        <v>1</v>
      </c>
      <c r="AL928" s="7" t="s">
        <v>206</v>
      </c>
      <c r="AM928" s="27">
        <v>1</v>
      </c>
      <c r="AW928" s="7" t="s">
        <v>229</v>
      </c>
      <c r="AX928" s="27">
        <v>5</v>
      </c>
      <c r="BC928" s="7" t="s">
        <v>219</v>
      </c>
      <c r="BD928" s="27">
        <v>80</v>
      </c>
      <c r="BJ928" s="7" t="s">
        <v>209</v>
      </c>
      <c r="BK928" s="40">
        <v>400</v>
      </c>
      <c r="BL928" s="40">
        <v>40</v>
      </c>
      <c r="BN928" t="str">
        <f t="shared" si="87"/>
        <v>Astra</v>
      </c>
      <c r="BO928">
        <f t="shared" si="84"/>
        <v>197</v>
      </c>
      <c r="BP928">
        <f t="shared" si="85"/>
        <v>454</v>
      </c>
      <c r="BQ928">
        <f t="shared" si="86"/>
        <v>651</v>
      </c>
    </row>
    <row r="929" spans="26:69" hidden="1" x14ac:dyDescent="0.25">
      <c r="Z929" s="7" t="s">
        <v>198</v>
      </c>
      <c r="AA929" s="1">
        <v>0.5</v>
      </c>
      <c r="AI929" s="7" t="s">
        <v>206</v>
      </c>
      <c r="AJ929" s="40">
        <v>1</v>
      </c>
      <c r="AL929" s="7" t="s">
        <v>207</v>
      </c>
      <c r="AM929" s="27">
        <v>1</v>
      </c>
      <c r="AW929" s="7" t="s">
        <v>231</v>
      </c>
      <c r="AX929" s="27">
        <v>224</v>
      </c>
      <c r="BC929" s="7" t="s">
        <v>220</v>
      </c>
      <c r="BD929" s="27">
        <v>274</v>
      </c>
      <c r="BJ929" s="7" t="s">
        <v>211</v>
      </c>
      <c r="BK929" s="40">
        <v>282</v>
      </c>
      <c r="BL929" s="40">
        <v>76</v>
      </c>
      <c r="BN929" t="str">
        <f t="shared" si="87"/>
        <v>Astronomer</v>
      </c>
      <c r="BO929">
        <f t="shared" si="84"/>
        <v>255</v>
      </c>
      <c r="BP929">
        <f t="shared" si="85"/>
        <v>339</v>
      </c>
      <c r="BQ929">
        <f t="shared" si="86"/>
        <v>594</v>
      </c>
    </row>
    <row r="930" spans="26:69" hidden="1" x14ac:dyDescent="0.25">
      <c r="Z930" s="7" t="s">
        <v>201</v>
      </c>
      <c r="AA930" s="1">
        <v>7.0000000000000007E-2</v>
      </c>
      <c r="AI930" s="7" t="s">
        <v>207</v>
      </c>
      <c r="AJ930" s="40">
        <v>1</v>
      </c>
      <c r="AL930" s="7" t="s">
        <v>208</v>
      </c>
      <c r="AM930" s="27">
        <v>1</v>
      </c>
      <c r="AW930" s="7" t="s">
        <v>234</v>
      </c>
      <c r="AX930" s="27">
        <v>500</v>
      </c>
      <c r="BC930" s="7" t="s">
        <v>222</v>
      </c>
      <c r="BD930" s="27">
        <v>500</v>
      </c>
      <c r="BJ930" s="7" t="s">
        <v>212</v>
      </c>
      <c r="BK930" s="40">
        <v>0</v>
      </c>
      <c r="BL930" s="40">
        <v>0</v>
      </c>
      <c r="BN930" t="str">
        <f t="shared" si="87"/>
        <v>Atlanta Tech Village</v>
      </c>
      <c r="BO930">
        <f t="shared" si="84"/>
        <v>742</v>
      </c>
      <c r="BP930">
        <f t="shared" si="85"/>
        <v>683</v>
      </c>
      <c r="BQ930">
        <f t="shared" si="86"/>
        <v>1425</v>
      </c>
    </row>
    <row r="931" spans="26:69" hidden="1" x14ac:dyDescent="0.25">
      <c r="Z931" s="7" t="s">
        <v>203</v>
      </c>
      <c r="AA931" s="1">
        <v>0.17</v>
      </c>
      <c r="AI931" s="7" t="s">
        <v>208</v>
      </c>
      <c r="AJ931" s="40">
        <v>1</v>
      </c>
      <c r="AL931" s="7" t="s">
        <v>209</v>
      </c>
      <c r="AM931" s="27">
        <v>2</v>
      </c>
      <c r="AW931" s="7" t="s">
        <v>235</v>
      </c>
      <c r="AX931" s="27">
        <v>60</v>
      </c>
      <c r="BC931" s="7" t="s">
        <v>223</v>
      </c>
      <c r="BD931" s="27">
        <v>584</v>
      </c>
      <c r="BJ931" s="7" t="s">
        <v>214</v>
      </c>
      <c r="BK931" s="40">
        <v>32</v>
      </c>
      <c r="BL931" s="40">
        <v>15</v>
      </c>
      <c r="BN931" t="str">
        <f t="shared" si="87"/>
        <v>Atlas Obscura</v>
      </c>
      <c r="BO931">
        <f t="shared" si="84"/>
        <v>595</v>
      </c>
      <c r="BP931">
        <f t="shared" si="85"/>
        <v>622</v>
      </c>
      <c r="BQ931">
        <f t="shared" si="86"/>
        <v>1217</v>
      </c>
    </row>
    <row r="932" spans="26:69" hidden="1" x14ac:dyDescent="0.25">
      <c r="Z932" s="7" t="s">
        <v>204</v>
      </c>
      <c r="AA932" s="1">
        <v>0</v>
      </c>
      <c r="AI932" s="7" t="s">
        <v>209</v>
      </c>
      <c r="AJ932" s="40">
        <v>2</v>
      </c>
      <c r="AL932" s="7" t="s">
        <v>211</v>
      </c>
      <c r="AM932" s="27">
        <v>1</v>
      </c>
      <c r="AW932" s="7" t="s">
        <v>239</v>
      </c>
      <c r="AX932" s="27">
        <v>5</v>
      </c>
      <c r="BC932" s="7" t="s">
        <v>225</v>
      </c>
      <c r="BD932" s="27">
        <v>24</v>
      </c>
      <c r="BJ932" s="7" t="s">
        <v>215</v>
      </c>
      <c r="BK932" s="40">
        <v>210</v>
      </c>
      <c r="BL932" s="40">
        <v>500</v>
      </c>
      <c r="BN932" t="str">
        <f t="shared" si="87"/>
        <v>Atlassian</v>
      </c>
      <c r="BO932">
        <f t="shared" si="84"/>
        <v>312</v>
      </c>
      <c r="BP932">
        <f t="shared" si="85"/>
        <v>66</v>
      </c>
      <c r="BQ932">
        <f t="shared" si="86"/>
        <v>378</v>
      </c>
    </row>
    <row r="933" spans="26:69" hidden="1" x14ac:dyDescent="0.25">
      <c r="Z933" s="7" t="s">
        <v>205</v>
      </c>
      <c r="AA933" s="1">
        <v>0.36</v>
      </c>
      <c r="AI933" s="7" t="s">
        <v>211</v>
      </c>
      <c r="AJ933" s="40">
        <v>1</v>
      </c>
      <c r="AL933" s="7" t="s">
        <v>212</v>
      </c>
      <c r="AM933" s="27">
        <v>1</v>
      </c>
      <c r="AW933" s="7" t="s">
        <v>240</v>
      </c>
      <c r="AX933" s="27">
        <v>250</v>
      </c>
      <c r="BC933" s="7" t="s">
        <v>226</v>
      </c>
      <c r="BD933" s="27">
        <v>840</v>
      </c>
      <c r="BJ933" s="7" t="s">
        <v>216</v>
      </c>
      <c r="BK933" s="40">
        <v>177</v>
      </c>
      <c r="BL933" s="40">
        <v>32</v>
      </c>
      <c r="BN933" t="str">
        <f t="shared" si="87"/>
        <v>AtoB</v>
      </c>
      <c r="BO933">
        <f t="shared" si="84"/>
        <v>347</v>
      </c>
      <c r="BP933">
        <f t="shared" si="85"/>
        <v>505</v>
      </c>
      <c r="BQ933">
        <f t="shared" si="86"/>
        <v>852</v>
      </c>
    </row>
    <row r="934" spans="26:69" hidden="1" x14ac:dyDescent="0.25">
      <c r="Z934" s="7" t="s">
        <v>206</v>
      </c>
      <c r="AA934" s="1">
        <v>0.09</v>
      </c>
      <c r="AI934" s="7" t="s">
        <v>212</v>
      </c>
      <c r="AJ934" s="40">
        <v>1</v>
      </c>
      <c r="AL934" s="7" t="s">
        <v>214</v>
      </c>
      <c r="AM934" s="27">
        <v>1</v>
      </c>
      <c r="AW934" s="7" t="s">
        <v>241</v>
      </c>
      <c r="AX934" s="27">
        <v>100</v>
      </c>
      <c r="BC934" s="7" t="s">
        <v>227</v>
      </c>
      <c r="BD934" s="27">
        <v>152</v>
      </c>
      <c r="BJ934" s="7" t="s">
        <v>217</v>
      </c>
      <c r="BK934" s="40">
        <v>1</v>
      </c>
      <c r="BL934" s="40">
        <v>6</v>
      </c>
      <c r="BN934" t="str">
        <f t="shared" si="87"/>
        <v>Atsu</v>
      </c>
      <c r="BO934">
        <f t="shared" si="84"/>
        <v>735</v>
      </c>
      <c r="BP934">
        <f t="shared" si="85"/>
        <v>672</v>
      </c>
      <c r="BQ934">
        <f t="shared" si="86"/>
        <v>1407</v>
      </c>
    </row>
    <row r="935" spans="26:69" hidden="1" x14ac:dyDescent="0.25">
      <c r="Z935" s="7" t="s">
        <v>207</v>
      </c>
      <c r="AA935" s="1">
        <v>0</v>
      </c>
      <c r="AI935" s="7" t="s">
        <v>214</v>
      </c>
      <c r="AJ935" s="40">
        <v>1</v>
      </c>
      <c r="AL935" s="7" t="s">
        <v>215</v>
      </c>
      <c r="AM935" s="27">
        <v>1</v>
      </c>
      <c r="AW935" s="7" t="s">
        <v>242</v>
      </c>
      <c r="AX935" s="27">
        <v>93</v>
      </c>
      <c r="BC935" s="7" t="s">
        <v>231</v>
      </c>
      <c r="BD935" s="27">
        <v>1497</v>
      </c>
      <c r="BJ935" s="7" t="s">
        <v>218</v>
      </c>
      <c r="BK935" s="40">
        <v>863</v>
      </c>
      <c r="BL935" s="40">
        <v>0</v>
      </c>
      <c r="BN935" t="str">
        <f t="shared" si="87"/>
        <v>Attentive</v>
      </c>
      <c r="BO935">
        <f t="shared" si="84"/>
        <v>102</v>
      </c>
      <c r="BP935">
        <f t="shared" si="85"/>
        <v>683</v>
      </c>
      <c r="BQ935">
        <f t="shared" si="86"/>
        <v>785</v>
      </c>
    </row>
    <row r="936" spans="26:69" hidden="1" x14ac:dyDescent="0.25">
      <c r="Z936" s="7" t="s">
        <v>208</v>
      </c>
      <c r="AA936" s="1">
        <v>1</v>
      </c>
      <c r="AI936" s="7" t="s">
        <v>215</v>
      </c>
      <c r="AJ936" s="40">
        <v>1</v>
      </c>
      <c r="AL936" s="7" t="s">
        <v>216</v>
      </c>
      <c r="AM936" s="27">
        <v>1</v>
      </c>
      <c r="AW936" s="7" t="s">
        <v>248</v>
      </c>
      <c r="AX936" s="27">
        <v>65</v>
      </c>
      <c r="BC936" s="7" t="s">
        <v>234</v>
      </c>
      <c r="BD936" s="27">
        <v>45</v>
      </c>
      <c r="BJ936" s="7" t="s">
        <v>219</v>
      </c>
      <c r="BK936" s="40">
        <v>80</v>
      </c>
      <c r="BL936" s="40">
        <v>19</v>
      </c>
      <c r="BN936" t="str">
        <f t="shared" si="87"/>
        <v>AU10TIX</v>
      </c>
      <c r="BO936">
        <f t="shared" si="84"/>
        <v>474</v>
      </c>
      <c r="BP936">
        <f t="shared" si="85"/>
        <v>603</v>
      </c>
      <c r="BQ936">
        <f t="shared" si="86"/>
        <v>1077</v>
      </c>
    </row>
    <row r="937" spans="26:69" hidden="1" x14ac:dyDescent="0.25">
      <c r="Z937" s="7" t="s">
        <v>209</v>
      </c>
      <c r="AA937" s="1">
        <v>0.25</v>
      </c>
      <c r="AI937" s="7" t="s">
        <v>216</v>
      </c>
      <c r="AJ937" s="40">
        <v>1</v>
      </c>
      <c r="AL937" s="7" t="s">
        <v>217</v>
      </c>
      <c r="AM937" s="27">
        <v>1</v>
      </c>
      <c r="AW937" s="7" t="s">
        <v>249</v>
      </c>
      <c r="AX937" s="27">
        <v>52</v>
      </c>
      <c r="BC937" s="7" t="s">
        <v>235</v>
      </c>
      <c r="BD937" s="27">
        <v>181</v>
      </c>
      <c r="BJ937" s="7" t="s">
        <v>220</v>
      </c>
      <c r="BK937" s="40">
        <v>274</v>
      </c>
      <c r="BL937" s="40">
        <v>20</v>
      </c>
      <c r="BN937" t="str">
        <f t="shared" si="87"/>
        <v>Augury</v>
      </c>
      <c r="BO937">
        <f t="shared" si="84"/>
        <v>263</v>
      </c>
      <c r="BP937">
        <f t="shared" si="85"/>
        <v>588</v>
      </c>
      <c r="BQ937">
        <f t="shared" si="86"/>
        <v>851</v>
      </c>
    </row>
    <row r="938" spans="26:69" hidden="1" x14ac:dyDescent="0.25">
      <c r="Z938" s="7" t="s">
        <v>211</v>
      </c>
      <c r="AA938" s="1">
        <v>0.2</v>
      </c>
      <c r="AI938" s="7" t="s">
        <v>217</v>
      </c>
      <c r="AJ938" s="40">
        <v>1</v>
      </c>
      <c r="AL938" s="7" t="s">
        <v>218</v>
      </c>
      <c r="AM938" s="27">
        <v>1</v>
      </c>
      <c r="AW938" s="7" t="s">
        <v>251</v>
      </c>
      <c r="AX938" s="27">
        <v>70</v>
      </c>
      <c r="BC938" s="7" t="s">
        <v>236</v>
      </c>
      <c r="BD938" s="27">
        <v>30</v>
      </c>
      <c r="BJ938" s="7" t="s">
        <v>222</v>
      </c>
      <c r="BK938" s="40">
        <v>500</v>
      </c>
      <c r="BL938" s="40">
        <v>70</v>
      </c>
      <c r="BN938" t="str">
        <f t="shared" si="87"/>
        <v>Aura</v>
      </c>
      <c r="BO938">
        <f t="shared" si="84"/>
        <v>164</v>
      </c>
      <c r="BP938">
        <f t="shared" si="85"/>
        <v>350</v>
      </c>
      <c r="BQ938">
        <f t="shared" si="86"/>
        <v>514</v>
      </c>
    </row>
    <row r="939" spans="26:69" hidden="1" x14ac:dyDescent="0.25">
      <c r="Z939" s="7" t="s">
        <v>212</v>
      </c>
      <c r="AA939" s="1">
        <v>0.5</v>
      </c>
      <c r="AI939" s="7" t="s">
        <v>218</v>
      </c>
      <c r="AJ939" s="40">
        <v>1</v>
      </c>
      <c r="AL939" s="7" t="s">
        <v>219</v>
      </c>
      <c r="AM939" s="27">
        <v>1</v>
      </c>
      <c r="AW939" s="7" t="s">
        <v>254</v>
      </c>
      <c r="AX939" s="27">
        <v>126</v>
      </c>
      <c r="BC939" s="7" t="s">
        <v>239</v>
      </c>
      <c r="BD939" s="27">
        <v>3</v>
      </c>
      <c r="BJ939" s="7" t="s">
        <v>223</v>
      </c>
      <c r="BK939" s="40">
        <v>584</v>
      </c>
      <c r="BL939" s="40">
        <v>0</v>
      </c>
      <c r="BN939" t="str">
        <f t="shared" si="87"/>
        <v>Aura Financial</v>
      </c>
      <c r="BO939">
        <f t="shared" si="84"/>
        <v>143</v>
      </c>
      <c r="BP939">
        <f t="shared" si="85"/>
        <v>683</v>
      </c>
      <c r="BQ939">
        <f t="shared" si="86"/>
        <v>826</v>
      </c>
    </row>
    <row r="940" spans="26:69" hidden="1" x14ac:dyDescent="0.25">
      <c r="Z940" s="7" t="s">
        <v>214</v>
      </c>
      <c r="AA940" s="1">
        <v>0</v>
      </c>
      <c r="AI940" s="7" t="s">
        <v>219</v>
      </c>
      <c r="AJ940" s="40">
        <v>1</v>
      </c>
      <c r="AL940" s="7" t="s">
        <v>220</v>
      </c>
      <c r="AM940" s="27">
        <v>1</v>
      </c>
      <c r="AW940" s="7" t="s">
        <v>255</v>
      </c>
      <c r="AX940" s="27">
        <v>16</v>
      </c>
      <c r="BC940" s="7" t="s">
        <v>240</v>
      </c>
      <c r="BD940" s="27">
        <v>88</v>
      </c>
      <c r="BJ940" s="7" t="s">
        <v>224</v>
      </c>
      <c r="BK940" s="40">
        <v>0</v>
      </c>
      <c r="BL940" s="40">
        <v>250</v>
      </c>
      <c r="BN940" t="str">
        <f t="shared" si="87"/>
        <v>Autodesk</v>
      </c>
      <c r="BO940">
        <f t="shared" si="84"/>
        <v>742</v>
      </c>
      <c r="BP940">
        <f t="shared" si="85"/>
        <v>121</v>
      </c>
      <c r="BQ940">
        <f t="shared" si="86"/>
        <v>863</v>
      </c>
    </row>
    <row r="941" spans="26:69" hidden="1" x14ac:dyDescent="0.25">
      <c r="Z941" s="7" t="s">
        <v>215</v>
      </c>
      <c r="AA941" s="1">
        <v>0.05</v>
      </c>
      <c r="AI941" s="7" t="s">
        <v>220</v>
      </c>
      <c r="AJ941" s="40">
        <v>1</v>
      </c>
      <c r="AL941" s="7" t="s">
        <v>222</v>
      </c>
      <c r="AM941" s="27">
        <v>1</v>
      </c>
      <c r="AW941" s="7" t="s">
        <v>256</v>
      </c>
      <c r="AX941" s="27">
        <v>31</v>
      </c>
      <c r="BC941" s="7" t="s">
        <v>241</v>
      </c>
      <c r="BD941" s="27">
        <v>1100</v>
      </c>
      <c r="BJ941" s="7" t="s">
        <v>225</v>
      </c>
      <c r="BK941" s="40">
        <v>24</v>
      </c>
      <c r="BL941" s="40">
        <v>0</v>
      </c>
      <c r="BN941" t="str">
        <f t="shared" si="87"/>
        <v>Automatic</v>
      </c>
      <c r="BO941">
        <f t="shared" si="84"/>
        <v>621</v>
      </c>
      <c r="BP941">
        <f t="shared" si="85"/>
        <v>683</v>
      </c>
      <c r="BQ941">
        <f t="shared" si="86"/>
        <v>1304</v>
      </c>
    </row>
    <row r="942" spans="26:69" hidden="1" x14ac:dyDescent="0.25">
      <c r="Z942" s="7" t="s">
        <v>216</v>
      </c>
      <c r="AA942" s="1">
        <v>0.3</v>
      </c>
      <c r="AI942" s="7" t="s">
        <v>222</v>
      </c>
      <c r="AJ942" s="40">
        <v>1</v>
      </c>
      <c r="AL942" s="7" t="s">
        <v>223</v>
      </c>
      <c r="AM942" s="27">
        <v>1</v>
      </c>
      <c r="AW942" s="7" t="s">
        <v>259</v>
      </c>
      <c r="AX942" s="27">
        <v>30</v>
      </c>
      <c r="BC942" s="7" t="s">
        <v>242</v>
      </c>
      <c r="BD942" s="27">
        <v>1000</v>
      </c>
      <c r="BJ942" s="7" t="s">
        <v>226</v>
      </c>
      <c r="BK942" s="40">
        <v>840</v>
      </c>
      <c r="BL942" s="40">
        <v>260</v>
      </c>
      <c r="BN942" t="str">
        <f t="shared" si="87"/>
        <v>Automation Anywhere</v>
      </c>
      <c r="BO942">
        <f t="shared" si="84"/>
        <v>104</v>
      </c>
      <c r="BP942">
        <f t="shared" si="85"/>
        <v>116</v>
      </c>
      <c r="BQ942">
        <f t="shared" si="86"/>
        <v>220</v>
      </c>
    </row>
    <row r="943" spans="26:69" hidden="1" x14ac:dyDescent="0.25">
      <c r="Z943" s="7" t="s">
        <v>217</v>
      </c>
      <c r="AA943" s="1">
        <v>1</v>
      </c>
      <c r="AI943" s="7" t="s">
        <v>223</v>
      </c>
      <c r="AJ943" s="40">
        <v>1</v>
      </c>
      <c r="AL943" s="7" t="s">
        <v>224</v>
      </c>
      <c r="AM943" s="27">
        <v>1</v>
      </c>
      <c r="AW943" s="7" t="s">
        <v>260</v>
      </c>
      <c r="AX943" s="27">
        <v>47</v>
      </c>
      <c r="BC943" s="7" t="s">
        <v>245</v>
      </c>
      <c r="BD943" s="27">
        <v>932</v>
      </c>
      <c r="BJ943" s="7" t="s">
        <v>227</v>
      </c>
      <c r="BK943" s="40">
        <v>152</v>
      </c>
      <c r="BL943" s="40">
        <v>0</v>
      </c>
      <c r="BN943" t="str">
        <f t="shared" si="87"/>
        <v>Automox</v>
      </c>
      <c r="BO943">
        <f t="shared" si="84"/>
        <v>375</v>
      </c>
      <c r="BP943">
        <f t="shared" si="85"/>
        <v>683</v>
      </c>
      <c r="BQ943">
        <f t="shared" si="86"/>
        <v>1058</v>
      </c>
    </row>
    <row r="944" spans="26:69" hidden="1" x14ac:dyDescent="0.25">
      <c r="Z944" s="7" t="s">
        <v>218</v>
      </c>
      <c r="AA944" s="1">
        <v>0.15</v>
      </c>
      <c r="AI944" s="7" t="s">
        <v>224</v>
      </c>
      <c r="AJ944" s="40">
        <v>1</v>
      </c>
      <c r="AL944" s="7" t="s">
        <v>225</v>
      </c>
      <c r="AM944" s="27">
        <v>1</v>
      </c>
      <c r="AW944" s="7" t="s">
        <v>261</v>
      </c>
      <c r="AX944" s="27">
        <v>137</v>
      </c>
      <c r="BC944" s="7" t="s">
        <v>246</v>
      </c>
      <c r="BD944" s="27">
        <v>946</v>
      </c>
      <c r="BJ944" s="7" t="s">
        <v>229</v>
      </c>
      <c r="BK944" s="40">
        <v>0</v>
      </c>
      <c r="BL944" s="40">
        <v>5</v>
      </c>
      <c r="BN944" t="str">
        <f t="shared" si="87"/>
        <v>Avantage Entertainment</v>
      </c>
      <c r="BO944">
        <f t="shared" si="84"/>
        <v>742</v>
      </c>
      <c r="BP944">
        <f t="shared" si="85"/>
        <v>676</v>
      </c>
      <c r="BQ944">
        <f t="shared" si="86"/>
        <v>1418</v>
      </c>
    </row>
    <row r="945" spans="26:69" hidden="1" x14ac:dyDescent="0.25">
      <c r="Z945" s="7" t="s">
        <v>219</v>
      </c>
      <c r="AA945" s="1">
        <v>0.09</v>
      </c>
      <c r="AI945" s="7" t="s">
        <v>225</v>
      </c>
      <c r="AJ945" s="40">
        <v>1</v>
      </c>
      <c r="AL945" s="7" t="s">
        <v>226</v>
      </c>
      <c r="AM945" s="27">
        <v>1</v>
      </c>
      <c r="AW945" s="7" t="s">
        <v>265</v>
      </c>
      <c r="AX945" s="27">
        <v>100</v>
      </c>
      <c r="BC945" s="7" t="s">
        <v>248</v>
      </c>
      <c r="BD945" s="27">
        <v>102</v>
      </c>
      <c r="BJ945" s="7" t="s">
        <v>231</v>
      </c>
      <c r="BK945" s="40">
        <v>1497</v>
      </c>
      <c r="BL945" s="40">
        <v>224</v>
      </c>
      <c r="BN945" t="str">
        <f t="shared" si="87"/>
        <v>AvantStay</v>
      </c>
      <c r="BO945">
        <f t="shared" si="84"/>
        <v>59</v>
      </c>
      <c r="BP945">
        <f t="shared" si="85"/>
        <v>136</v>
      </c>
      <c r="BQ945">
        <f t="shared" si="86"/>
        <v>195</v>
      </c>
    </row>
    <row r="946" spans="26:69" hidden="1" x14ac:dyDescent="0.25">
      <c r="Z946" s="7" t="s">
        <v>220</v>
      </c>
      <c r="AA946" s="1">
        <v>0.05</v>
      </c>
      <c r="AI946" s="7" t="s">
        <v>226</v>
      </c>
      <c r="AJ946" s="40">
        <v>1</v>
      </c>
      <c r="AL946" s="7" t="s">
        <v>227</v>
      </c>
      <c r="AM946" s="27">
        <v>1</v>
      </c>
      <c r="AW946" s="7" t="s">
        <v>266</v>
      </c>
      <c r="AX946" s="27">
        <v>41</v>
      </c>
      <c r="BC946" s="7" t="s">
        <v>251</v>
      </c>
      <c r="BD946" s="27">
        <v>13</v>
      </c>
      <c r="BJ946" s="7" t="s">
        <v>232</v>
      </c>
      <c r="BK946" s="40">
        <v>0</v>
      </c>
      <c r="BL946" s="40">
        <v>0</v>
      </c>
      <c r="BN946" t="str">
        <f t="shared" si="87"/>
        <v>Avast</v>
      </c>
      <c r="BO946">
        <f t="shared" si="84"/>
        <v>742</v>
      </c>
      <c r="BP946">
        <f t="shared" si="85"/>
        <v>683</v>
      </c>
      <c r="BQ946">
        <f t="shared" si="86"/>
        <v>1425</v>
      </c>
    </row>
    <row r="947" spans="26:69" hidden="1" x14ac:dyDescent="0.25">
      <c r="Z947" s="7" t="s">
        <v>222</v>
      </c>
      <c r="AA947" s="1">
        <v>0.09</v>
      </c>
      <c r="AI947" s="7" t="s">
        <v>227</v>
      </c>
      <c r="AJ947" s="40">
        <v>1</v>
      </c>
      <c r="AL947" s="7" t="s">
        <v>229</v>
      </c>
      <c r="AM947" s="27">
        <v>1</v>
      </c>
      <c r="AW947" s="7" t="s">
        <v>268</v>
      </c>
      <c r="AX947" s="27">
        <v>3900</v>
      </c>
      <c r="BC947" s="7" t="s">
        <v>253</v>
      </c>
      <c r="BD947" s="27">
        <v>63</v>
      </c>
      <c r="BJ947" s="7" t="s">
        <v>234</v>
      </c>
      <c r="BK947" s="40">
        <v>45</v>
      </c>
      <c r="BL947" s="40">
        <v>500</v>
      </c>
      <c r="BN947" t="str">
        <f t="shared" si="87"/>
        <v>Avo</v>
      </c>
      <c r="BO947">
        <f t="shared" si="84"/>
        <v>556</v>
      </c>
      <c r="BP947">
        <f t="shared" si="85"/>
        <v>66</v>
      </c>
      <c r="BQ947">
        <f t="shared" si="86"/>
        <v>622</v>
      </c>
    </row>
    <row r="948" spans="26:69" hidden="1" x14ac:dyDescent="0.25">
      <c r="Z948" s="7" t="s">
        <v>223</v>
      </c>
      <c r="AA948" s="1">
        <v>1</v>
      </c>
      <c r="AI948" s="7" t="s">
        <v>229</v>
      </c>
      <c r="AJ948" s="40">
        <v>1</v>
      </c>
      <c r="AL948" s="7" t="s">
        <v>231</v>
      </c>
      <c r="AM948" s="27">
        <v>2</v>
      </c>
      <c r="AW948" s="7" t="s">
        <v>269</v>
      </c>
      <c r="AX948" s="27">
        <v>30</v>
      </c>
      <c r="BC948" s="7" t="s">
        <v>255</v>
      </c>
      <c r="BD948" s="27">
        <v>13</v>
      </c>
      <c r="BJ948" s="7" t="s">
        <v>235</v>
      </c>
      <c r="BK948" s="40">
        <v>181</v>
      </c>
      <c r="BL948" s="40">
        <v>60</v>
      </c>
      <c r="BN948" t="str">
        <f t="shared" si="87"/>
        <v>Away</v>
      </c>
      <c r="BO948">
        <f t="shared" si="84"/>
        <v>342</v>
      </c>
      <c r="BP948">
        <f t="shared" si="85"/>
        <v>378</v>
      </c>
      <c r="BQ948">
        <f t="shared" si="86"/>
        <v>720</v>
      </c>
    </row>
    <row r="949" spans="26:69" hidden="1" x14ac:dyDescent="0.25">
      <c r="Z949" s="7" t="s">
        <v>224</v>
      </c>
      <c r="AA949" s="1">
        <v>0.02</v>
      </c>
      <c r="AI949" s="7" t="s">
        <v>231</v>
      </c>
      <c r="AJ949" s="40">
        <v>2</v>
      </c>
      <c r="AL949" s="7" t="s">
        <v>232</v>
      </c>
      <c r="AM949" s="27">
        <v>1</v>
      </c>
      <c r="AW949" s="7" t="s">
        <v>272</v>
      </c>
      <c r="AX949" s="27">
        <v>28</v>
      </c>
      <c r="BC949" s="7" t="s">
        <v>256</v>
      </c>
      <c r="BD949" s="27">
        <v>168</v>
      </c>
      <c r="BJ949" s="7" t="s">
        <v>236</v>
      </c>
      <c r="BK949" s="40">
        <v>30</v>
      </c>
      <c r="BL949" s="40">
        <v>0</v>
      </c>
      <c r="BN949" t="str">
        <f t="shared" si="87"/>
        <v>Awok</v>
      </c>
      <c r="BO949">
        <f t="shared" si="84"/>
        <v>601</v>
      </c>
      <c r="BP949">
        <f t="shared" si="85"/>
        <v>683</v>
      </c>
      <c r="BQ949">
        <f t="shared" si="86"/>
        <v>1284</v>
      </c>
    </row>
    <row r="950" spans="26:69" hidden="1" x14ac:dyDescent="0.25">
      <c r="Z950" s="7" t="s">
        <v>225</v>
      </c>
      <c r="AA950" s="1">
        <v>1</v>
      </c>
      <c r="AI950" s="7" t="s">
        <v>232</v>
      </c>
      <c r="AJ950" s="40">
        <v>1</v>
      </c>
      <c r="AL950" s="7" t="s">
        <v>234</v>
      </c>
      <c r="AM950" s="27">
        <v>1</v>
      </c>
      <c r="AW950" s="7" t="s">
        <v>273</v>
      </c>
      <c r="AX950" s="27">
        <v>30</v>
      </c>
      <c r="BC950" s="7" t="s">
        <v>258</v>
      </c>
      <c r="BD950" s="27">
        <v>223</v>
      </c>
      <c r="BJ950" s="7" t="s">
        <v>239</v>
      </c>
      <c r="BK950" s="40">
        <v>3</v>
      </c>
      <c r="BL950" s="40">
        <v>5</v>
      </c>
      <c r="BN950" t="str">
        <f t="shared" si="87"/>
        <v>Aya</v>
      </c>
      <c r="BO950">
        <f t="shared" si="84"/>
        <v>719</v>
      </c>
      <c r="BP950">
        <f t="shared" si="85"/>
        <v>676</v>
      </c>
      <c r="BQ950">
        <f t="shared" si="86"/>
        <v>1395</v>
      </c>
    </row>
    <row r="951" spans="26:69" hidden="1" x14ac:dyDescent="0.25">
      <c r="Z951" s="7" t="s">
        <v>226</v>
      </c>
      <c r="AA951" s="1">
        <v>0.1</v>
      </c>
      <c r="AI951" s="7" t="s">
        <v>234</v>
      </c>
      <c r="AJ951" s="40">
        <v>1</v>
      </c>
      <c r="AL951" s="7" t="s">
        <v>235</v>
      </c>
      <c r="AM951" s="27">
        <v>1</v>
      </c>
      <c r="AW951" s="7" t="s">
        <v>274</v>
      </c>
      <c r="AX951" s="27">
        <v>240</v>
      </c>
      <c r="BC951" s="7" t="s">
        <v>259</v>
      </c>
      <c r="BD951" s="27">
        <v>14</v>
      </c>
      <c r="BJ951" s="7" t="s">
        <v>240</v>
      </c>
      <c r="BK951" s="40">
        <v>88</v>
      </c>
      <c r="BL951" s="40">
        <v>250</v>
      </c>
      <c r="BN951" t="str">
        <f t="shared" si="87"/>
        <v>B8ta</v>
      </c>
      <c r="BO951">
        <f t="shared" si="84"/>
        <v>461</v>
      </c>
      <c r="BP951">
        <f t="shared" si="85"/>
        <v>121</v>
      </c>
      <c r="BQ951">
        <f t="shared" si="86"/>
        <v>582</v>
      </c>
    </row>
    <row r="952" spans="26:69" hidden="1" x14ac:dyDescent="0.25">
      <c r="Z952" s="7" t="s">
        <v>227</v>
      </c>
      <c r="AA952" s="1">
        <v>0.11</v>
      </c>
      <c r="AI952" s="7" t="s">
        <v>235</v>
      </c>
      <c r="AJ952" s="40">
        <v>1</v>
      </c>
      <c r="AL952" s="7" t="s">
        <v>236</v>
      </c>
      <c r="AM952" s="27">
        <v>1</v>
      </c>
      <c r="AW952" s="7" t="s">
        <v>275</v>
      </c>
      <c r="AX952" s="27">
        <v>65</v>
      </c>
      <c r="BC952" s="7" t="s">
        <v>260</v>
      </c>
      <c r="BD952" s="27">
        <v>49</v>
      </c>
      <c r="BJ952" s="7" t="s">
        <v>241</v>
      </c>
      <c r="BK952" s="40">
        <v>1100</v>
      </c>
      <c r="BL952" s="40">
        <v>100</v>
      </c>
      <c r="BN952" t="str">
        <f t="shared" si="87"/>
        <v>Babylon</v>
      </c>
      <c r="BO952">
        <f t="shared" si="84"/>
        <v>82</v>
      </c>
      <c r="BP952">
        <f t="shared" si="85"/>
        <v>254</v>
      </c>
      <c r="BQ952">
        <f t="shared" si="86"/>
        <v>336</v>
      </c>
    </row>
    <row r="953" spans="26:69" hidden="1" x14ac:dyDescent="0.25">
      <c r="Z953" s="7" t="s">
        <v>229</v>
      </c>
      <c r="AA953" s="1">
        <v>0.2</v>
      </c>
      <c r="AI953" s="7" t="s">
        <v>236</v>
      </c>
      <c r="AJ953" s="40">
        <v>1</v>
      </c>
      <c r="AL953" s="7" t="s">
        <v>239</v>
      </c>
      <c r="AM953" s="27">
        <v>1</v>
      </c>
      <c r="AW953" s="7" t="s">
        <v>276</v>
      </c>
      <c r="AX953" s="27">
        <v>40</v>
      </c>
      <c r="BC953" s="7" t="s">
        <v>261</v>
      </c>
      <c r="BD953" s="27">
        <v>69</v>
      </c>
      <c r="BJ953" s="7" t="s">
        <v>242</v>
      </c>
      <c r="BK953" s="40">
        <v>1000</v>
      </c>
      <c r="BL953" s="40">
        <v>93</v>
      </c>
      <c r="BN953" t="str">
        <f t="shared" si="87"/>
        <v>Back Market</v>
      </c>
      <c r="BO953">
        <f t="shared" si="84"/>
        <v>88</v>
      </c>
      <c r="BP953">
        <f t="shared" si="85"/>
        <v>296</v>
      </c>
      <c r="BQ953">
        <f t="shared" si="86"/>
        <v>384</v>
      </c>
    </row>
    <row r="954" spans="26:69" hidden="1" x14ac:dyDescent="0.25">
      <c r="Z954" s="7" t="s">
        <v>231</v>
      </c>
      <c r="AA954" s="1">
        <v>0.22</v>
      </c>
      <c r="AI954" s="7" t="s">
        <v>239</v>
      </c>
      <c r="AJ954" s="40">
        <v>1</v>
      </c>
      <c r="AL954" s="7" t="s">
        <v>240</v>
      </c>
      <c r="AM954" s="27">
        <v>1</v>
      </c>
      <c r="AW954" s="7" t="s">
        <v>277</v>
      </c>
      <c r="AX954" s="27">
        <v>250</v>
      </c>
      <c r="BC954" s="7" t="s">
        <v>263</v>
      </c>
      <c r="BD954" s="27">
        <v>380</v>
      </c>
      <c r="BJ954" s="7" t="s">
        <v>245</v>
      </c>
      <c r="BK954" s="40">
        <v>932</v>
      </c>
      <c r="BL954" s="40">
        <v>0</v>
      </c>
      <c r="BN954" t="str">
        <f t="shared" si="87"/>
        <v>Bakkt</v>
      </c>
      <c r="BO954">
        <f t="shared" si="84"/>
        <v>94</v>
      </c>
      <c r="BP954">
        <f t="shared" si="85"/>
        <v>683</v>
      </c>
      <c r="BQ954">
        <f t="shared" si="86"/>
        <v>777</v>
      </c>
    </row>
    <row r="955" spans="26:69" hidden="1" x14ac:dyDescent="0.25">
      <c r="Z955" s="7" t="s">
        <v>232</v>
      </c>
      <c r="AA955" s="1">
        <v>0.25</v>
      </c>
      <c r="AI955" s="7" t="s">
        <v>240</v>
      </c>
      <c r="AJ955" s="40">
        <v>1</v>
      </c>
      <c r="AL955" s="7" t="s">
        <v>241</v>
      </c>
      <c r="AM955" s="27">
        <v>1</v>
      </c>
      <c r="AW955" s="7" t="s">
        <v>279</v>
      </c>
      <c r="AX955" s="27">
        <v>180</v>
      </c>
      <c r="BC955" s="7" t="s">
        <v>264</v>
      </c>
      <c r="BD955" s="27">
        <v>272</v>
      </c>
      <c r="BJ955" s="7" t="s">
        <v>246</v>
      </c>
      <c r="BK955" s="40">
        <v>946</v>
      </c>
      <c r="BL955" s="40">
        <v>0</v>
      </c>
      <c r="BN955" t="str">
        <f t="shared" si="87"/>
        <v>Bally's Interactive</v>
      </c>
      <c r="BO955">
        <f t="shared" si="84"/>
        <v>93</v>
      </c>
      <c r="BP955">
        <f t="shared" si="85"/>
        <v>683</v>
      </c>
      <c r="BQ955">
        <f t="shared" si="86"/>
        <v>776</v>
      </c>
    </row>
    <row r="956" spans="26:69" hidden="1" x14ac:dyDescent="0.25">
      <c r="Z956" s="7" t="s">
        <v>234</v>
      </c>
      <c r="AA956" s="1">
        <v>0.67</v>
      </c>
      <c r="AI956" s="7" t="s">
        <v>241</v>
      </c>
      <c r="AJ956" s="40">
        <v>1</v>
      </c>
      <c r="AL956" s="7" t="s">
        <v>242</v>
      </c>
      <c r="AM956" s="27">
        <v>1</v>
      </c>
      <c r="AW956" s="7" t="s">
        <v>283</v>
      </c>
      <c r="AX956" s="27">
        <v>120</v>
      </c>
      <c r="BC956" s="7" t="s">
        <v>265</v>
      </c>
      <c r="BD956" s="27">
        <v>1000</v>
      </c>
      <c r="BJ956" s="7" t="s">
        <v>248</v>
      </c>
      <c r="BK956" s="40">
        <v>102</v>
      </c>
      <c r="BL956" s="40">
        <v>65</v>
      </c>
      <c r="BN956" t="str">
        <f t="shared" si="87"/>
        <v>Balto</v>
      </c>
      <c r="BO956">
        <f t="shared" si="84"/>
        <v>432</v>
      </c>
      <c r="BP956">
        <f t="shared" si="85"/>
        <v>366</v>
      </c>
      <c r="BQ956">
        <f t="shared" si="86"/>
        <v>798</v>
      </c>
    </row>
    <row r="957" spans="26:69" hidden="1" x14ac:dyDescent="0.25">
      <c r="Z957" s="7" t="s">
        <v>235</v>
      </c>
      <c r="AA957" s="1">
        <v>0.1</v>
      </c>
      <c r="AI957" s="7" t="s">
        <v>242</v>
      </c>
      <c r="AJ957" s="40">
        <v>1</v>
      </c>
      <c r="AL957" s="7" t="s">
        <v>245</v>
      </c>
      <c r="AM957" s="27">
        <v>1</v>
      </c>
      <c r="AW957" s="7" t="s">
        <v>284</v>
      </c>
      <c r="AX957" s="27">
        <v>544</v>
      </c>
      <c r="BC957" s="7" t="s">
        <v>266</v>
      </c>
      <c r="BD957" s="27">
        <v>137</v>
      </c>
      <c r="BJ957" s="7" t="s">
        <v>249</v>
      </c>
      <c r="BK957" s="40">
        <v>0</v>
      </c>
      <c r="BL957" s="40">
        <v>52</v>
      </c>
      <c r="BN957" t="str">
        <f t="shared" si="87"/>
        <v>Bamboo Health</v>
      </c>
      <c r="BO957">
        <f t="shared" si="84"/>
        <v>742</v>
      </c>
      <c r="BP957">
        <f t="shared" si="85"/>
        <v>406</v>
      </c>
      <c r="BQ957">
        <f t="shared" si="86"/>
        <v>1148</v>
      </c>
    </row>
    <row r="958" spans="26:69" hidden="1" x14ac:dyDescent="0.25">
      <c r="Z958" s="7" t="s">
        <v>236</v>
      </c>
      <c r="AA958" s="1">
        <v>1</v>
      </c>
      <c r="AI958" s="7" t="s">
        <v>245</v>
      </c>
      <c r="AJ958" s="40">
        <v>1</v>
      </c>
      <c r="AL958" s="7" t="s">
        <v>246</v>
      </c>
      <c r="AM958" s="27">
        <v>1</v>
      </c>
      <c r="AW958" s="7" t="s">
        <v>287</v>
      </c>
      <c r="AX958" s="27">
        <v>75</v>
      </c>
      <c r="BC958" s="7" t="s">
        <v>268</v>
      </c>
      <c r="BD958" s="27">
        <v>1810</v>
      </c>
      <c r="BJ958" s="7" t="s">
        <v>251</v>
      </c>
      <c r="BK958" s="40">
        <v>13</v>
      </c>
      <c r="BL958" s="40">
        <v>70</v>
      </c>
      <c r="BN958" t="str">
        <f t="shared" si="87"/>
        <v>Banxa</v>
      </c>
      <c r="BO958">
        <f t="shared" si="84"/>
        <v>675</v>
      </c>
      <c r="BP958">
        <f t="shared" si="85"/>
        <v>350</v>
      </c>
      <c r="BQ958">
        <f t="shared" si="86"/>
        <v>1025</v>
      </c>
    </row>
    <row r="959" spans="26:69" hidden="1" x14ac:dyDescent="0.25">
      <c r="Z959" s="7" t="s">
        <v>239</v>
      </c>
      <c r="AA959" s="1">
        <v>0.25</v>
      </c>
      <c r="AI959" s="7" t="s">
        <v>246</v>
      </c>
      <c r="AJ959" s="40">
        <v>1</v>
      </c>
      <c r="AL959" s="7" t="s">
        <v>248</v>
      </c>
      <c r="AM959" s="27">
        <v>2</v>
      </c>
      <c r="AW959" s="7" t="s">
        <v>290</v>
      </c>
      <c r="AX959" s="27">
        <v>9</v>
      </c>
      <c r="BC959" s="7" t="s">
        <v>269</v>
      </c>
      <c r="BD959" s="27">
        <v>408</v>
      </c>
      <c r="BJ959" s="7" t="s">
        <v>253</v>
      </c>
      <c r="BK959" s="40">
        <v>63</v>
      </c>
      <c r="BL959" s="40">
        <v>0</v>
      </c>
      <c r="BN959" t="str">
        <f t="shared" si="87"/>
        <v>Baraja</v>
      </c>
      <c r="BO959">
        <f t="shared" si="84"/>
        <v>507</v>
      </c>
      <c r="BP959">
        <f t="shared" si="85"/>
        <v>683</v>
      </c>
      <c r="BQ959">
        <f t="shared" si="86"/>
        <v>1190</v>
      </c>
    </row>
    <row r="960" spans="26:69" hidden="1" x14ac:dyDescent="0.25">
      <c r="Z960" s="7" t="s">
        <v>240</v>
      </c>
      <c r="AA960" s="1">
        <v>0.5</v>
      </c>
      <c r="AI960" s="7" t="s">
        <v>248</v>
      </c>
      <c r="AJ960" s="40">
        <v>2</v>
      </c>
      <c r="AL960" s="7" t="s">
        <v>249</v>
      </c>
      <c r="AM960" s="27">
        <v>1</v>
      </c>
      <c r="AW960" s="7" t="s">
        <v>291</v>
      </c>
      <c r="AX960" s="27">
        <v>270</v>
      </c>
      <c r="BC960" s="7" t="s">
        <v>272</v>
      </c>
      <c r="BD960" s="27">
        <v>435</v>
      </c>
      <c r="BJ960" s="7" t="s">
        <v>254</v>
      </c>
      <c r="BK960" s="40">
        <v>0</v>
      </c>
      <c r="BL960" s="40">
        <v>126</v>
      </c>
      <c r="BN960" t="str">
        <f t="shared" si="87"/>
        <v>Bark</v>
      </c>
      <c r="BO960">
        <f t="shared" si="84"/>
        <v>742</v>
      </c>
      <c r="BP960">
        <f t="shared" si="85"/>
        <v>234</v>
      </c>
      <c r="BQ960">
        <f t="shared" si="86"/>
        <v>976</v>
      </c>
    </row>
    <row r="961" spans="26:69" hidden="1" x14ac:dyDescent="0.25">
      <c r="Z961" s="7" t="s">
        <v>241</v>
      </c>
      <c r="AA961" s="1">
        <v>0</v>
      </c>
      <c r="AI961" s="7" t="s">
        <v>249</v>
      </c>
      <c r="AJ961" s="40">
        <v>1</v>
      </c>
      <c r="AL961" s="7" t="s">
        <v>251</v>
      </c>
      <c r="AM961" s="27">
        <v>1</v>
      </c>
      <c r="AW961" s="7" t="s">
        <v>297</v>
      </c>
      <c r="AX961" s="27">
        <v>40</v>
      </c>
      <c r="BC961" s="7" t="s">
        <v>273</v>
      </c>
      <c r="BD961" s="27">
        <v>60</v>
      </c>
      <c r="BJ961" s="7" t="s">
        <v>255</v>
      </c>
      <c r="BK961" s="40">
        <v>13</v>
      </c>
      <c r="BL961" s="40">
        <v>16</v>
      </c>
      <c r="BN961" t="str">
        <f t="shared" si="87"/>
        <v>Baton</v>
      </c>
      <c r="BO961">
        <f t="shared" si="84"/>
        <v>675</v>
      </c>
      <c r="BP961">
        <f t="shared" si="85"/>
        <v>617</v>
      </c>
      <c r="BQ961">
        <f t="shared" si="86"/>
        <v>1292</v>
      </c>
    </row>
    <row r="962" spans="26:69" hidden="1" x14ac:dyDescent="0.25">
      <c r="Z962" s="7" t="s">
        <v>242</v>
      </c>
      <c r="AA962" s="1">
        <v>0.13</v>
      </c>
      <c r="AI962" s="7" t="s">
        <v>251</v>
      </c>
      <c r="AJ962" s="40">
        <v>1</v>
      </c>
      <c r="AL962" s="7" t="s">
        <v>253</v>
      </c>
      <c r="AM962" s="27">
        <v>1</v>
      </c>
      <c r="AW962" s="7" t="s">
        <v>298</v>
      </c>
      <c r="AX962" s="27">
        <v>180</v>
      </c>
      <c r="BC962" s="7" t="s">
        <v>274</v>
      </c>
      <c r="BD962" s="27">
        <v>244</v>
      </c>
      <c r="BJ962" s="7" t="s">
        <v>256</v>
      </c>
      <c r="BK962" s="40">
        <v>168</v>
      </c>
      <c r="BL962" s="40">
        <v>31</v>
      </c>
      <c r="BN962" t="str">
        <f t="shared" si="87"/>
        <v>Beam Benefits</v>
      </c>
      <c r="BO962">
        <f t="shared" si="84"/>
        <v>355</v>
      </c>
      <c r="BP962">
        <f t="shared" si="85"/>
        <v>508</v>
      </c>
      <c r="BQ962">
        <f t="shared" si="86"/>
        <v>863</v>
      </c>
    </row>
    <row r="963" spans="26:69" hidden="1" x14ac:dyDescent="0.25">
      <c r="Z963" s="7" t="s">
        <v>245</v>
      </c>
      <c r="AA963" s="1">
        <v>0.15</v>
      </c>
      <c r="AI963" s="7" t="s">
        <v>253</v>
      </c>
      <c r="AJ963" s="40">
        <v>1</v>
      </c>
      <c r="AL963" s="7" t="s">
        <v>254</v>
      </c>
      <c r="AM963" s="27">
        <v>1</v>
      </c>
      <c r="AW963" s="7" t="s">
        <v>301</v>
      </c>
      <c r="AX963" s="27">
        <v>70</v>
      </c>
      <c r="BC963" s="7" t="s">
        <v>275</v>
      </c>
      <c r="BD963" s="27">
        <v>16</v>
      </c>
      <c r="BJ963" s="7" t="s">
        <v>258</v>
      </c>
      <c r="BK963" s="40">
        <v>223</v>
      </c>
      <c r="BL963" s="40">
        <v>0</v>
      </c>
      <c r="BN963" t="str">
        <f t="shared" si="87"/>
        <v>Beamery</v>
      </c>
      <c r="BO963">
        <f t="shared" si="84"/>
        <v>302</v>
      </c>
      <c r="BP963">
        <f t="shared" si="85"/>
        <v>683</v>
      </c>
      <c r="BQ963">
        <f t="shared" si="86"/>
        <v>985</v>
      </c>
    </row>
    <row r="964" spans="26:69" hidden="1" x14ac:dyDescent="0.25">
      <c r="Z964" s="7" t="s">
        <v>246</v>
      </c>
      <c r="AA964" s="1">
        <v>0.15</v>
      </c>
      <c r="AI964" s="7" t="s">
        <v>254</v>
      </c>
      <c r="AJ964" s="40">
        <v>1</v>
      </c>
      <c r="AL964" s="7" t="s">
        <v>255</v>
      </c>
      <c r="AM964" s="27">
        <v>1</v>
      </c>
      <c r="AW964" s="7" t="s">
        <v>302</v>
      </c>
      <c r="AX964" s="27">
        <v>92</v>
      </c>
      <c r="BC964" s="7" t="s">
        <v>276</v>
      </c>
      <c r="BD964" s="27">
        <v>21</v>
      </c>
      <c r="BJ964" s="7" t="s">
        <v>259</v>
      </c>
      <c r="BK964" s="40">
        <v>14</v>
      </c>
      <c r="BL964" s="40">
        <v>30</v>
      </c>
      <c r="BN964" t="str">
        <f t="shared" si="87"/>
        <v>BeeTech</v>
      </c>
      <c r="BO964">
        <f t="shared" si="84"/>
        <v>671</v>
      </c>
      <c r="BP964">
        <f t="shared" si="85"/>
        <v>512</v>
      </c>
      <c r="BQ964">
        <f t="shared" si="86"/>
        <v>1183</v>
      </c>
    </row>
    <row r="965" spans="26:69" hidden="1" x14ac:dyDescent="0.25">
      <c r="Z965" s="7" t="s">
        <v>248</v>
      </c>
      <c r="AA965" s="1">
        <v>0</v>
      </c>
      <c r="AI965" s="7" t="s">
        <v>255</v>
      </c>
      <c r="AJ965" s="40">
        <v>1</v>
      </c>
      <c r="AL965" s="7" t="s">
        <v>256</v>
      </c>
      <c r="AM965" s="27">
        <v>1</v>
      </c>
      <c r="AW965" s="7" t="s">
        <v>303</v>
      </c>
      <c r="AX965" s="27">
        <v>80</v>
      </c>
      <c r="BC965" s="7" t="s">
        <v>277</v>
      </c>
      <c r="BD965" s="27">
        <v>95</v>
      </c>
      <c r="BJ965" s="7" t="s">
        <v>260</v>
      </c>
      <c r="BK965" s="40">
        <v>49</v>
      </c>
      <c r="BL965" s="40">
        <v>47</v>
      </c>
      <c r="BN965" t="str">
        <f t="shared" si="87"/>
        <v>Bench</v>
      </c>
      <c r="BO965">
        <f t="shared" si="84"/>
        <v>546</v>
      </c>
      <c r="BP965">
        <f t="shared" si="85"/>
        <v>435</v>
      </c>
      <c r="BQ965">
        <f t="shared" si="86"/>
        <v>981</v>
      </c>
    </row>
    <row r="966" spans="26:69" hidden="1" x14ac:dyDescent="0.25">
      <c r="Z966" s="7" t="s">
        <v>249</v>
      </c>
      <c r="AA966" s="1">
        <v>0</v>
      </c>
      <c r="AI966" s="7" t="s">
        <v>256</v>
      </c>
      <c r="AJ966" s="40">
        <v>1</v>
      </c>
      <c r="AL966" s="7" t="s">
        <v>258</v>
      </c>
      <c r="AM966" s="27">
        <v>1</v>
      </c>
      <c r="AW966" s="7" t="s">
        <v>304</v>
      </c>
      <c r="AX966" s="27">
        <v>140</v>
      </c>
      <c r="BC966" s="7" t="s">
        <v>278</v>
      </c>
      <c r="BD966" s="27">
        <v>200</v>
      </c>
      <c r="BJ966" s="7" t="s">
        <v>261</v>
      </c>
      <c r="BK966" s="40">
        <v>69</v>
      </c>
      <c r="BL966" s="40">
        <v>137</v>
      </c>
      <c r="BN966" t="str">
        <f t="shared" si="87"/>
        <v>Benevity</v>
      </c>
      <c r="BO966">
        <f t="shared" si="84"/>
        <v>498</v>
      </c>
      <c r="BP966">
        <f t="shared" si="85"/>
        <v>222</v>
      </c>
      <c r="BQ966">
        <f t="shared" si="86"/>
        <v>720</v>
      </c>
    </row>
    <row r="967" spans="26:69" hidden="1" x14ac:dyDescent="0.25">
      <c r="Z967" s="7" t="s">
        <v>251</v>
      </c>
      <c r="AA967" s="1">
        <v>0.3</v>
      </c>
      <c r="AI967" s="7" t="s">
        <v>258</v>
      </c>
      <c r="AJ967" s="40">
        <v>1</v>
      </c>
      <c r="AL967" s="7" t="s">
        <v>259</v>
      </c>
      <c r="AM967" s="27">
        <v>1</v>
      </c>
      <c r="AW967" s="7" t="s">
        <v>306</v>
      </c>
      <c r="AX967" s="27">
        <v>220</v>
      </c>
      <c r="BC967" s="7" t="s">
        <v>279</v>
      </c>
      <c r="BD967" s="27">
        <v>224</v>
      </c>
      <c r="BJ967" s="7" t="s">
        <v>263</v>
      </c>
      <c r="BK967" s="40">
        <v>380</v>
      </c>
      <c r="BL967" s="40">
        <v>0</v>
      </c>
      <c r="BN967" t="str">
        <f t="shared" si="87"/>
        <v>Benitago Group</v>
      </c>
      <c r="BO967">
        <f t="shared" si="84"/>
        <v>202</v>
      </c>
      <c r="BP967">
        <f t="shared" si="85"/>
        <v>683</v>
      </c>
      <c r="BQ967">
        <f t="shared" si="86"/>
        <v>885</v>
      </c>
    </row>
    <row r="968" spans="26:69" hidden="1" x14ac:dyDescent="0.25">
      <c r="Z968" s="7" t="s">
        <v>253</v>
      </c>
      <c r="AA968" s="1">
        <v>0.75</v>
      </c>
      <c r="AI968" s="7" t="s">
        <v>259</v>
      </c>
      <c r="AJ968" s="40">
        <v>1</v>
      </c>
      <c r="AL968" s="7" t="s">
        <v>260</v>
      </c>
      <c r="AM968" s="27">
        <v>1</v>
      </c>
      <c r="AW968" s="7" t="s">
        <v>307</v>
      </c>
      <c r="AX968" s="27">
        <v>900</v>
      </c>
      <c r="BC968" s="7" t="s">
        <v>280</v>
      </c>
      <c r="BD968" s="27">
        <v>3700</v>
      </c>
      <c r="BJ968" s="7" t="s">
        <v>264</v>
      </c>
      <c r="BK968" s="40">
        <v>272</v>
      </c>
      <c r="BL968" s="40">
        <v>0</v>
      </c>
      <c r="BN968" t="str">
        <f t="shared" si="87"/>
        <v>Berkeley Lights</v>
      </c>
      <c r="BO968">
        <f t="shared" si="84"/>
        <v>264</v>
      </c>
      <c r="BP968">
        <f t="shared" si="85"/>
        <v>683</v>
      </c>
      <c r="BQ968">
        <f t="shared" si="86"/>
        <v>947</v>
      </c>
    </row>
    <row r="969" spans="26:69" hidden="1" x14ac:dyDescent="0.25">
      <c r="Z969" s="7" t="s">
        <v>254</v>
      </c>
      <c r="AA969" s="1">
        <v>0.12</v>
      </c>
      <c r="AI969" s="7" t="s">
        <v>260</v>
      </c>
      <c r="AJ969" s="40">
        <v>1</v>
      </c>
      <c r="AL969" s="7" t="s">
        <v>261</v>
      </c>
      <c r="AM969" s="27">
        <v>1</v>
      </c>
      <c r="AW969" s="7" t="s">
        <v>310</v>
      </c>
      <c r="AX969" s="27">
        <v>500</v>
      </c>
      <c r="BC969" s="7" t="s">
        <v>283</v>
      </c>
      <c r="BD969" s="27">
        <v>585</v>
      </c>
      <c r="BJ969" s="7" t="s">
        <v>265</v>
      </c>
      <c r="BK969" s="40">
        <v>1000</v>
      </c>
      <c r="BL969" s="40">
        <v>100</v>
      </c>
      <c r="BN969" t="str">
        <f t="shared" si="87"/>
        <v>Berlin Brands Group</v>
      </c>
      <c r="BO969">
        <f t="shared" ref="BO969:BO1032" si="88">RANK($BK$839:$BK$1662,$BK$839:$BK$1662,0)</f>
        <v>88</v>
      </c>
      <c r="BP969">
        <f t="shared" ref="BP969:BP1032" si="89">RANK($BL$840:$BL$1662,$BL$840:$BL$1662,0)</f>
        <v>254</v>
      </c>
      <c r="BQ969">
        <f t="shared" ref="BQ969:BQ1032" si="90">BO969+BP969</f>
        <v>342</v>
      </c>
    </row>
    <row r="970" spans="26:69" hidden="1" x14ac:dyDescent="0.25">
      <c r="Z970" s="7" t="s">
        <v>255</v>
      </c>
      <c r="AA970" s="1">
        <v>0.25</v>
      </c>
      <c r="AI970" s="7" t="s">
        <v>261</v>
      </c>
      <c r="AJ970" s="40">
        <v>1</v>
      </c>
      <c r="AL970" s="7" t="s">
        <v>263</v>
      </c>
      <c r="AM970" s="27">
        <v>1</v>
      </c>
      <c r="AW970" s="7" t="s">
        <v>312</v>
      </c>
      <c r="AX970" s="27">
        <v>200</v>
      </c>
      <c r="BC970" s="7" t="s">
        <v>284</v>
      </c>
      <c r="BD970" s="27">
        <v>1406</v>
      </c>
      <c r="BJ970" s="7" t="s">
        <v>266</v>
      </c>
      <c r="BK970" s="40">
        <v>137</v>
      </c>
      <c r="BL970" s="40">
        <v>41</v>
      </c>
      <c r="BN970" t="str">
        <f t="shared" si="87"/>
        <v>Bestow</v>
      </c>
      <c r="BO970">
        <f t="shared" si="88"/>
        <v>388</v>
      </c>
      <c r="BP970">
        <f t="shared" si="89"/>
        <v>451</v>
      </c>
      <c r="BQ970">
        <f t="shared" si="90"/>
        <v>839</v>
      </c>
    </row>
    <row r="971" spans="26:69" hidden="1" x14ac:dyDescent="0.25">
      <c r="Z971" s="7" t="s">
        <v>256</v>
      </c>
      <c r="AA971" s="1">
        <v>0.08</v>
      </c>
      <c r="AI971" s="7" t="s">
        <v>263</v>
      </c>
      <c r="AJ971" s="40">
        <v>1</v>
      </c>
      <c r="AL971" s="7" t="s">
        <v>264</v>
      </c>
      <c r="AM971" s="27">
        <v>1</v>
      </c>
      <c r="AW971" s="7" t="s">
        <v>314</v>
      </c>
      <c r="AX971" s="27">
        <v>95</v>
      </c>
      <c r="BC971" s="7" t="s">
        <v>286</v>
      </c>
      <c r="BD971" s="27">
        <v>69</v>
      </c>
      <c r="BJ971" s="7" t="s">
        <v>268</v>
      </c>
      <c r="BK971" s="40">
        <v>1810</v>
      </c>
      <c r="BL971" s="40">
        <v>3900</v>
      </c>
      <c r="BN971" t="str">
        <f t="shared" si="87"/>
        <v>Better.com</v>
      </c>
      <c r="BO971">
        <f t="shared" si="88"/>
        <v>46</v>
      </c>
      <c r="BP971">
        <f t="shared" si="89"/>
        <v>9</v>
      </c>
      <c r="BQ971">
        <f t="shared" si="90"/>
        <v>55</v>
      </c>
    </row>
    <row r="972" spans="26:69" hidden="1" x14ac:dyDescent="0.25">
      <c r="Z972" s="7" t="s">
        <v>258</v>
      </c>
      <c r="AA972" s="1">
        <v>0.12</v>
      </c>
      <c r="AI972" s="7" t="s">
        <v>264</v>
      </c>
      <c r="AJ972" s="40">
        <v>1</v>
      </c>
      <c r="AL972" s="7" t="s">
        <v>265</v>
      </c>
      <c r="AM972" s="27">
        <v>1</v>
      </c>
      <c r="AW972" s="7" t="s">
        <v>315</v>
      </c>
      <c r="AX972" s="27">
        <v>20</v>
      </c>
      <c r="BC972" s="7" t="s">
        <v>290</v>
      </c>
      <c r="BD972" s="27">
        <v>30</v>
      </c>
      <c r="BJ972" s="7" t="s">
        <v>269</v>
      </c>
      <c r="BK972" s="40">
        <v>408</v>
      </c>
      <c r="BL972" s="40">
        <v>30</v>
      </c>
      <c r="BN972" t="str">
        <f t="shared" si="87"/>
        <v>Betterfly</v>
      </c>
      <c r="BO972">
        <f t="shared" si="88"/>
        <v>193</v>
      </c>
      <c r="BP972">
        <f t="shared" si="89"/>
        <v>512</v>
      </c>
      <c r="BQ972">
        <f t="shared" si="90"/>
        <v>705</v>
      </c>
    </row>
    <row r="973" spans="26:69" hidden="1" x14ac:dyDescent="0.25">
      <c r="Z973" s="7" t="s">
        <v>259</v>
      </c>
      <c r="AA973" s="1">
        <v>0</v>
      </c>
      <c r="AI973" s="7" t="s">
        <v>265</v>
      </c>
      <c r="AJ973" s="40">
        <v>1</v>
      </c>
      <c r="AL973" s="7" t="s">
        <v>266</v>
      </c>
      <c r="AM973" s="27">
        <v>1</v>
      </c>
      <c r="AW973" s="7" t="s">
        <v>316</v>
      </c>
      <c r="AX973" s="27">
        <v>860</v>
      </c>
      <c r="BC973" s="7" t="s">
        <v>291</v>
      </c>
      <c r="BD973" s="27">
        <v>546</v>
      </c>
      <c r="BJ973" s="7" t="s">
        <v>272</v>
      </c>
      <c r="BK973" s="40">
        <v>435</v>
      </c>
      <c r="BL973" s="40">
        <v>28</v>
      </c>
      <c r="BN973" t="str">
        <f t="shared" si="87"/>
        <v>Betterment</v>
      </c>
      <c r="BO973">
        <f t="shared" si="88"/>
        <v>183</v>
      </c>
      <c r="BP973">
        <f t="shared" si="89"/>
        <v>544</v>
      </c>
      <c r="BQ973">
        <f t="shared" si="90"/>
        <v>727</v>
      </c>
    </row>
    <row r="974" spans="26:69" hidden="1" x14ac:dyDescent="0.25">
      <c r="Z974" s="7" t="s">
        <v>260</v>
      </c>
      <c r="AA974" s="1">
        <v>0.1</v>
      </c>
      <c r="AI974" s="7" t="s">
        <v>266</v>
      </c>
      <c r="AJ974" s="40">
        <v>1</v>
      </c>
      <c r="AL974" s="7" t="s">
        <v>268</v>
      </c>
      <c r="AM974" s="27">
        <v>2</v>
      </c>
      <c r="AW974" s="7" t="s">
        <v>317</v>
      </c>
      <c r="AX974" s="27">
        <v>260</v>
      </c>
      <c r="BC974" s="7" t="s">
        <v>294</v>
      </c>
      <c r="BD974" s="27">
        <v>83</v>
      </c>
      <c r="BJ974" s="7" t="s">
        <v>273</v>
      </c>
      <c r="BK974" s="40">
        <v>60</v>
      </c>
      <c r="BL974" s="40">
        <v>30</v>
      </c>
      <c r="BN974" t="str">
        <f t="shared" si="87"/>
        <v>Bevi</v>
      </c>
      <c r="BO974">
        <f t="shared" si="88"/>
        <v>513</v>
      </c>
      <c r="BP974">
        <f t="shared" si="89"/>
        <v>512</v>
      </c>
      <c r="BQ974">
        <f t="shared" si="90"/>
        <v>1025</v>
      </c>
    </row>
    <row r="975" spans="26:69" hidden="1" x14ac:dyDescent="0.25">
      <c r="Z975" s="7" t="s">
        <v>261</v>
      </c>
      <c r="AA975" s="1">
        <v>0.14000000000000001</v>
      </c>
      <c r="AI975" s="7" t="s">
        <v>268</v>
      </c>
      <c r="AJ975" s="40">
        <v>2</v>
      </c>
      <c r="AL975" s="7" t="s">
        <v>269</v>
      </c>
      <c r="AM975" s="27">
        <v>2</v>
      </c>
      <c r="AW975" s="7" t="s">
        <v>318</v>
      </c>
      <c r="AX975" s="27">
        <v>250</v>
      </c>
      <c r="BC975" s="7" t="s">
        <v>297</v>
      </c>
      <c r="BD975" s="27">
        <v>401</v>
      </c>
      <c r="BJ975" s="7" t="s">
        <v>274</v>
      </c>
      <c r="BK975" s="40">
        <v>244</v>
      </c>
      <c r="BL975" s="40">
        <v>240</v>
      </c>
      <c r="BN975" t="str">
        <f t="shared" si="87"/>
        <v>Beyond Meat</v>
      </c>
      <c r="BO975">
        <f t="shared" si="88"/>
        <v>281</v>
      </c>
      <c r="BP975">
        <f t="shared" si="89"/>
        <v>129</v>
      </c>
      <c r="BQ975">
        <f t="shared" si="90"/>
        <v>410</v>
      </c>
    </row>
    <row r="976" spans="26:69" hidden="1" x14ac:dyDescent="0.25">
      <c r="Z976" s="7" t="s">
        <v>263</v>
      </c>
      <c r="AA976" s="1">
        <v>0.14000000000000001</v>
      </c>
      <c r="AI976" s="7" t="s">
        <v>269</v>
      </c>
      <c r="AJ976" s="40">
        <v>2</v>
      </c>
      <c r="AL976" s="7" t="s">
        <v>272</v>
      </c>
      <c r="AM976" s="27">
        <v>1</v>
      </c>
      <c r="AW976" s="7" t="s">
        <v>319</v>
      </c>
      <c r="AX976" s="27">
        <v>88</v>
      </c>
      <c r="BC976" s="7" t="s">
        <v>298</v>
      </c>
      <c r="BD976" s="27">
        <v>756</v>
      </c>
      <c r="BJ976" s="7" t="s">
        <v>275</v>
      </c>
      <c r="BK976" s="40">
        <v>16</v>
      </c>
      <c r="BL976" s="40">
        <v>65</v>
      </c>
      <c r="BN976" t="str">
        <f t="shared" si="87"/>
        <v>BeyondMinds</v>
      </c>
      <c r="BO976">
        <f t="shared" si="88"/>
        <v>659</v>
      </c>
      <c r="BP976">
        <f t="shared" si="89"/>
        <v>366</v>
      </c>
      <c r="BQ976">
        <f t="shared" si="90"/>
        <v>1025</v>
      </c>
    </row>
    <row r="977" spans="26:69" hidden="1" x14ac:dyDescent="0.25">
      <c r="Z977" s="7" t="s">
        <v>264</v>
      </c>
      <c r="AA977" s="1">
        <v>0.12</v>
      </c>
      <c r="AI977" s="7" t="s">
        <v>272</v>
      </c>
      <c r="AJ977" s="40">
        <v>1</v>
      </c>
      <c r="AL977" s="7" t="s">
        <v>273</v>
      </c>
      <c r="AM977" s="27">
        <v>1</v>
      </c>
      <c r="AW977" s="7" t="s">
        <v>321</v>
      </c>
      <c r="AX977" s="27">
        <v>130</v>
      </c>
      <c r="BC977" s="7" t="s">
        <v>301</v>
      </c>
      <c r="BD977" s="27">
        <v>46</v>
      </c>
      <c r="BJ977" s="7" t="s">
        <v>276</v>
      </c>
      <c r="BK977" s="40">
        <v>21</v>
      </c>
      <c r="BL977" s="40">
        <v>40</v>
      </c>
      <c r="BN977" t="str">
        <f t="shared" si="87"/>
        <v>BharatAgri</v>
      </c>
      <c r="BO977">
        <f t="shared" si="88"/>
        <v>636</v>
      </c>
      <c r="BP977">
        <f t="shared" si="89"/>
        <v>454</v>
      </c>
      <c r="BQ977">
        <f t="shared" si="90"/>
        <v>1090</v>
      </c>
    </row>
    <row r="978" spans="26:69" hidden="1" x14ac:dyDescent="0.25">
      <c r="Z978" s="7" t="s">
        <v>265</v>
      </c>
      <c r="AA978" s="1">
        <v>0.1</v>
      </c>
      <c r="AI978" s="7" t="s">
        <v>273</v>
      </c>
      <c r="AJ978" s="40">
        <v>1</v>
      </c>
      <c r="AL978" s="7" t="s">
        <v>274</v>
      </c>
      <c r="AM978" s="27">
        <v>2</v>
      </c>
      <c r="AW978" s="7" t="s">
        <v>322</v>
      </c>
      <c r="AX978" s="27">
        <v>60</v>
      </c>
      <c r="BC978" s="7" t="s">
        <v>304</v>
      </c>
      <c r="BD978" s="27">
        <v>70</v>
      </c>
      <c r="BJ978" s="7" t="s">
        <v>277</v>
      </c>
      <c r="BK978" s="40">
        <v>95</v>
      </c>
      <c r="BL978" s="40">
        <v>250</v>
      </c>
      <c r="BN978" t="str">
        <f t="shared" si="87"/>
        <v>Big Fish Games</v>
      </c>
      <c r="BO978">
        <f t="shared" si="88"/>
        <v>449</v>
      </c>
      <c r="BP978">
        <f t="shared" si="89"/>
        <v>121</v>
      </c>
      <c r="BQ978">
        <f t="shared" si="90"/>
        <v>570</v>
      </c>
    </row>
    <row r="979" spans="26:69" hidden="1" x14ac:dyDescent="0.25">
      <c r="Z979" s="7" t="s">
        <v>266</v>
      </c>
      <c r="AA979" s="1">
        <v>0.14000000000000001</v>
      </c>
      <c r="AI979" s="7" t="s">
        <v>274</v>
      </c>
      <c r="AJ979" s="40">
        <v>2</v>
      </c>
      <c r="AL979" s="7" t="s">
        <v>275</v>
      </c>
      <c r="AM979" s="27">
        <v>1</v>
      </c>
      <c r="AW979" s="7" t="s">
        <v>323</v>
      </c>
      <c r="AX979" s="27">
        <v>30</v>
      </c>
      <c r="BC979" s="7" t="s">
        <v>305</v>
      </c>
      <c r="BD979" s="27">
        <v>45</v>
      </c>
      <c r="BJ979" s="7" t="s">
        <v>278</v>
      </c>
      <c r="BK979" s="40">
        <v>200</v>
      </c>
      <c r="BL979" s="40">
        <v>0</v>
      </c>
      <c r="BN979" t="str">
        <f t="shared" si="87"/>
        <v>BigBear.ai</v>
      </c>
      <c r="BO979">
        <f t="shared" si="88"/>
        <v>322</v>
      </c>
      <c r="BP979">
        <f t="shared" si="89"/>
        <v>683</v>
      </c>
      <c r="BQ979">
        <f t="shared" si="90"/>
        <v>1005</v>
      </c>
    </row>
    <row r="980" spans="26:69" hidden="1" x14ac:dyDescent="0.25">
      <c r="Z980" s="7" t="s">
        <v>268</v>
      </c>
      <c r="AA980" s="1">
        <v>0.33</v>
      </c>
      <c r="AI980" s="7" t="s">
        <v>275</v>
      </c>
      <c r="AJ980" s="40">
        <v>1</v>
      </c>
      <c r="AL980" s="7" t="s">
        <v>276</v>
      </c>
      <c r="AM980" s="27">
        <v>1</v>
      </c>
      <c r="AW980" s="7" t="s">
        <v>324</v>
      </c>
      <c r="AX980" s="27">
        <v>137</v>
      </c>
      <c r="BC980" s="7" t="s">
        <v>306</v>
      </c>
      <c r="BD980" s="27">
        <v>388</v>
      </c>
      <c r="BJ980" s="7" t="s">
        <v>279</v>
      </c>
      <c r="BK980" s="40">
        <v>224</v>
      </c>
      <c r="BL980" s="40">
        <v>180</v>
      </c>
      <c r="BN980" t="str">
        <f t="shared" ref="BN980:BN1043" si="91">VLOOKUP(BJ980,BJ980:BL1791,1,0)</f>
        <v>BigCommerce</v>
      </c>
      <c r="BO980">
        <f t="shared" si="88"/>
        <v>300</v>
      </c>
      <c r="BP980">
        <f t="shared" si="89"/>
        <v>169</v>
      </c>
      <c r="BQ980">
        <f t="shared" si="90"/>
        <v>469</v>
      </c>
    </row>
    <row r="981" spans="26:69" hidden="1" x14ac:dyDescent="0.25">
      <c r="Z981" s="7" t="s">
        <v>269</v>
      </c>
      <c r="AA981" s="1">
        <v>0.3</v>
      </c>
      <c r="AI981" s="7" t="s">
        <v>276</v>
      </c>
      <c r="AJ981" s="40">
        <v>1</v>
      </c>
      <c r="AL981" s="7" t="s">
        <v>277</v>
      </c>
      <c r="AM981" s="27">
        <v>1</v>
      </c>
      <c r="AW981" s="7" t="s">
        <v>328</v>
      </c>
      <c r="AX981" s="27">
        <v>307</v>
      </c>
      <c r="BC981" s="7" t="s">
        <v>310</v>
      </c>
      <c r="BD981" s="27">
        <v>272</v>
      </c>
      <c r="BJ981" s="7" t="s">
        <v>280</v>
      </c>
      <c r="BK981" s="40">
        <v>3700</v>
      </c>
      <c r="BL981" s="40">
        <v>0</v>
      </c>
      <c r="BN981" t="str">
        <f t="shared" si="91"/>
        <v>Bilibili</v>
      </c>
      <c r="BO981">
        <f t="shared" si="88"/>
        <v>16</v>
      </c>
      <c r="BP981">
        <f t="shared" si="89"/>
        <v>683</v>
      </c>
      <c r="BQ981">
        <f t="shared" si="90"/>
        <v>699</v>
      </c>
    </row>
    <row r="982" spans="26:69" hidden="1" x14ac:dyDescent="0.25">
      <c r="Z982" s="7" t="s">
        <v>272</v>
      </c>
      <c r="AA982" s="1">
        <v>0</v>
      </c>
      <c r="AI982" s="7" t="s">
        <v>277</v>
      </c>
      <c r="AJ982" s="40">
        <v>1</v>
      </c>
      <c r="AL982" s="7" t="s">
        <v>278</v>
      </c>
      <c r="AM982" s="27">
        <v>1</v>
      </c>
      <c r="AW982" s="7" t="s">
        <v>330</v>
      </c>
      <c r="AX982" s="27">
        <v>59</v>
      </c>
      <c r="BC982" s="7" t="s">
        <v>312</v>
      </c>
      <c r="BD982" s="27">
        <v>293</v>
      </c>
      <c r="BJ982" s="7" t="s">
        <v>283</v>
      </c>
      <c r="BK982" s="40">
        <v>585</v>
      </c>
      <c r="BL982" s="40">
        <v>120</v>
      </c>
      <c r="BN982" t="str">
        <f t="shared" si="91"/>
        <v>BioMarin</v>
      </c>
      <c r="BO982">
        <f t="shared" si="88"/>
        <v>142</v>
      </c>
      <c r="BP982">
        <f t="shared" si="89"/>
        <v>238</v>
      </c>
      <c r="BQ982">
        <f t="shared" si="90"/>
        <v>380</v>
      </c>
    </row>
    <row r="983" spans="26:69" hidden="1" x14ac:dyDescent="0.25">
      <c r="Z983" s="7" t="s">
        <v>273</v>
      </c>
      <c r="AA983" s="1">
        <v>0.2</v>
      </c>
      <c r="AI983" s="7" t="s">
        <v>278</v>
      </c>
      <c r="AJ983" s="40">
        <v>1</v>
      </c>
      <c r="AL983" s="7" t="s">
        <v>279</v>
      </c>
      <c r="AM983" s="27">
        <v>1</v>
      </c>
      <c r="AW983" s="7" t="s">
        <v>331</v>
      </c>
      <c r="AX983" s="27">
        <v>140</v>
      </c>
      <c r="BC983" s="7" t="s">
        <v>314</v>
      </c>
      <c r="BD983" s="27">
        <v>220</v>
      </c>
      <c r="BJ983" s="7" t="s">
        <v>284</v>
      </c>
      <c r="BK983" s="40">
        <v>1406</v>
      </c>
      <c r="BL983" s="40">
        <v>544</v>
      </c>
      <c r="BN983" t="str">
        <f t="shared" si="91"/>
        <v>Bird</v>
      </c>
      <c r="BO983">
        <f t="shared" si="88"/>
        <v>60</v>
      </c>
      <c r="BP983">
        <f t="shared" si="89"/>
        <v>62</v>
      </c>
      <c r="BQ983">
        <f t="shared" si="90"/>
        <v>122</v>
      </c>
    </row>
    <row r="984" spans="26:69" hidden="1" x14ac:dyDescent="0.25">
      <c r="Z984" s="7" t="s">
        <v>274</v>
      </c>
      <c r="AA984" s="1">
        <v>0.19</v>
      </c>
      <c r="AI984" s="7" t="s">
        <v>279</v>
      </c>
      <c r="AJ984" s="40">
        <v>1</v>
      </c>
      <c r="AL984" s="7" t="s">
        <v>280</v>
      </c>
      <c r="AM984" s="27">
        <v>1</v>
      </c>
      <c r="AW984" s="7" t="s">
        <v>332</v>
      </c>
      <c r="AX984" s="27">
        <v>12</v>
      </c>
      <c r="BC984" s="7" t="s">
        <v>315</v>
      </c>
      <c r="BD984" s="27">
        <v>41</v>
      </c>
      <c r="BJ984" s="7" t="s">
        <v>285</v>
      </c>
      <c r="BK984" s="40">
        <v>0</v>
      </c>
      <c r="BL984" s="40">
        <v>0</v>
      </c>
      <c r="BN984" t="str">
        <f t="shared" si="91"/>
        <v>Bitfront</v>
      </c>
      <c r="BO984">
        <f t="shared" si="88"/>
        <v>742</v>
      </c>
      <c r="BP984">
        <f t="shared" si="89"/>
        <v>683</v>
      </c>
      <c r="BQ984">
        <f t="shared" si="90"/>
        <v>1425</v>
      </c>
    </row>
    <row r="985" spans="26:69" hidden="1" x14ac:dyDescent="0.25">
      <c r="Z985" s="7" t="s">
        <v>275</v>
      </c>
      <c r="AA985" s="1">
        <v>1</v>
      </c>
      <c r="AI985" s="7" t="s">
        <v>280</v>
      </c>
      <c r="AJ985" s="40">
        <v>1</v>
      </c>
      <c r="AL985" s="7" t="s">
        <v>283</v>
      </c>
      <c r="AM985" s="27">
        <v>1</v>
      </c>
      <c r="AW985" s="7" t="s">
        <v>333</v>
      </c>
      <c r="AX985" s="27">
        <v>4601</v>
      </c>
      <c r="BC985" s="7" t="s">
        <v>316</v>
      </c>
      <c r="BD985" s="27">
        <v>2660</v>
      </c>
      <c r="BJ985" s="7" t="s">
        <v>286</v>
      </c>
      <c r="BK985" s="40">
        <v>69</v>
      </c>
      <c r="BL985" s="40">
        <v>0</v>
      </c>
      <c r="BN985" t="str">
        <f t="shared" si="91"/>
        <v>BitGo</v>
      </c>
      <c r="BO985">
        <f t="shared" si="88"/>
        <v>498</v>
      </c>
      <c r="BP985">
        <f t="shared" si="89"/>
        <v>683</v>
      </c>
      <c r="BQ985">
        <f t="shared" si="90"/>
        <v>1181</v>
      </c>
    </row>
    <row r="986" spans="26:69" hidden="1" x14ac:dyDescent="0.25">
      <c r="Z986" s="7" t="s">
        <v>276</v>
      </c>
      <c r="AA986" s="1">
        <v>0.43</v>
      </c>
      <c r="AI986" s="7" t="s">
        <v>283</v>
      </c>
      <c r="AJ986" s="40">
        <v>1</v>
      </c>
      <c r="AL986" s="7" t="s">
        <v>284</v>
      </c>
      <c r="AM986" s="27">
        <v>2</v>
      </c>
      <c r="AW986" s="7" t="s">
        <v>337</v>
      </c>
      <c r="AX986" s="27">
        <v>270</v>
      </c>
      <c r="BC986" s="7" t="s">
        <v>317</v>
      </c>
      <c r="BD986" s="27">
        <v>980</v>
      </c>
      <c r="BJ986" s="7" t="s">
        <v>287</v>
      </c>
      <c r="BK986" s="40">
        <v>0</v>
      </c>
      <c r="BL986" s="40">
        <v>75</v>
      </c>
      <c r="BN986" t="str">
        <f t="shared" si="91"/>
        <v>BitMEX</v>
      </c>
      <c r="BO986">
        <f t="shared" si="88"/>
        <v>742</v>
      </c>
      <c r="BP986">
        <f t="shared" si="89"/>
        <v>341</v>
      </c>
      <c r="BQ986">
        <f t="shared" si="90"/>
        <v>1083</v>
      </c>
    </row>
    <row r="987" spans="26:69" hidden="1" x14ac:dyDescent="0.25">
      <c r="Z987" s="7" t="s">
        <v>277</v>
      </c>
      <c r="AA987" s="1">
        <v>0</v>
      </c>
      <c r="AI987" s="7" t="s">
        <v>284</v>
      </c>
      <c r="AJ987" s="40">
        <v>2</v>
      </c>
      <c r="AL987" s="7" t="s">
        <v>285</v>
      </c>
      <c r="AM987" s="27">
        <v>1</v>
      </c>
      <c r="AW987" s="7" t="s">
        <v>338</v>
      </c>
      <c r="AX987" s="27">
        <v>200</v>
      </c>
      <c r="BC987" s="7" t="s">
        <v>318</v>
      </c>
      <c r="BD987" s="27">
        <v>2000</v>
      </c>
      <c r="BJ987" s="7" t="s">
        <v>290</v>
      </c>
      <c r="BK987" s="40">
        <v>30</v>
      </c>
      <c r="BL987" s="40">
        <v>9</v>
      </c>
      <c r="BN987" t="str">
        <f t="shared" si="91"/>
        <v>BitOasis</v>
      </c>
      <c r="BO987">
        <f t="shared" si="88"/>
        <v>601</v>
      </c>
      <c r="BP987">
        <f t="shared" si="89"/>
        <v>662</v>
      </c>
      <c r="BQ987">
        <f t="shared" si="90"/>
        <v>1263</v>
      </c>
    </row>
    <row r="988" spans="26:69" hidden="1" x14ac:dyDescent="0.25">
      <c r="Z988" s="7" t="s">
        <v>278</v>
      </c>
      <c r="AA988" s="1">
        <v>7.0000000000000007E-2</v>
      </c>
      <c r="AI988" s="7" t="s">
        <v>285</v>
      </c>
      <c r="AJ988" s="40">
        <v>1</v>
      </c>
      <c r="AL988" s="7" t="s">
        <v>286</v>
      </c>
      <c r="AM988" s="27">
        <v>1</v>
      </c>
      <c r="AW988" s="7" t="s">
        <v>339</v>
      </c>
      <c r="AX988" s="27">
        <v>30</v>
      </c>
      <c r="BC988" s="7" t="s">
        <v>320</v>
      </c>
      <c r="BD988" s="27">
        <v>352</v>
      </c>
      <c r="BJ988" s="7" t="s">
        <v>291</v>
      </c>
      <c r="BK988" s="40">
        <v>546</v>
      </c>
      <c r="BL988" s="40">
        <v>270</v>
      </c>
      <c r="BN988" t="str">
        <f t="shared" si="91"/>
        <v>Bitpanda</v>
      </c>
      <c r="BO988">
        <f t="shared" si="88"/>
        <v>155</v>
      </c>
      <c r="BP988">
        <f t="shared" si="89"/>
        <v>113</v>
      </c>
      <c r="BQ988">
        <f t="shared" si="90"/>
        <v>268</v>
      </c>
    </row>
    <row r="989" spans="26:69" hidden="1" x14ac:dyDescent="0.25">
      <c r="Z989" s="7" t="s">
        <v>279</v>
      </c>
      <c r="AA989" s="1">
        <v>0.13</v>
      </c>
      <c r="AI989" s="7" t="s">
        <v>286</v>
      </c>
      <c r="AJ989" s="40">
        <v>1</v>
      </c>
      <c r="AL989" s="7" t="s">
        <v>287</v>
      </c>
      <c r="AM989" s="27">
        <v>2</v>
      </c>
      <c r="AW989" s="7" t="s">
        <v>341</v>
      </c>
      <c r="AX989" s="27">
        <v>70</v>
      </c>
      <c r="BC989" s="7" t="s">
        <v>321</v>
      </c>
      <c r="BD989" s="27">
        <v>77</v>
      </c>
      <c r="BJ989" s="7" t="s">
        <v>294</v>
      </c>
      <c r="BK989" s="40">
        <v>83</v>
      </c>
      <c r="BL989" s="40">
        <v>0</v>
      </c>
      <c r="BN989" t="str">
        <f t="shared" si="91"/>
        <v>Bitrise</v>
      </c>
      <c r="BO989">
        <f t="shared" si="88"/>
        <v>469</v>
      </c>
      <c r="BP989">
        <f t="shared" si="89"/>
        <v>683</v>
      </c>
      <c r="BQ989">
        <f t="shared" si="90"/>
        <v>1152</v>
      </c>
    </row>
    <row r="990" spans="26:69" hidden="1" x14ac:dyDescent="0.25">
      <c r="Z990" s="7" t="s">
        <v>280</v>
      </c>
      <c r="AA990" s="1">
        <v>0.3</v>
      </c>
      <c r="AI990" s="7" t="s">
        <v>287</v>
      </c>
      <c r="AJ990" s="40">
        <v>2</v>
      </c>
      <c r="AL990" s="7" t="s">
        <v>290</v>
      </c>
      <c r="AM990" s="27">
        <v>1</v>
      </c>
      <c r="AW990" s="7" t="s">
        <v>343</v>
      </c>
      <c r="AX990" s="27">
        <v>15</v>
      </c>
      <c r="BC990" s="7" t="s">
        <v>322</v>
      </c>
      <c r="BD990" s="27">
        <v>48</v>
      </c>
      <c r="BJ990" s="7" t="s">
        <v>297</v>
      </c>
      <c r="BK990" s="40">
        <v>401</v>
      </c>
      <c r="BL990" s="40">
        <v>40</v>
      </c>
      <c r="BN990" t="str">
        <f t="shared" si="91"/>
        <v>BitSight</v>
      </c>
      <c r="BO990">
        <f t="shared" si="88"/>
        <v>196</v>
      </c>
      <c r="BP990">
        <f t="shared" si="89"/>
        <v>454</v>
      </c>
      <c r="BQ990">
        <f t="shared" si="90"/>
        <v>650</v>
      </c>
    </row>
    <row r="991" spans="26:69" hidden="1" x14ac:dyDescent="0.25">
      <c r="Z991" s="7" t="s">
        <v>283</v>
      </c>
      <c r="AA991" s="1">
        <v>0.04</v>
      </c>
      <c r="AI991" s="7" t="s">
        <v>290</v>
      </c>
      <c r="AJ991" s="40">
        <v>1</v>
      </c>
      <c r="AL991" s="7" t="s">
        <v>291</v>
      </c>
      <c r="AM991" s="27">
        <v>1</v>
      </c>
      <c r="AW991" s="7" t="s">
        <v>344</v>
      </c>
      <c r="AX991" s="27">
        <v>61</v>
      </c>
      <c r="BC991" s="7" t="s">
        <v>324</v>
      </c>
      <c r="BD991" s="27">
        <v>108</v>
      </c>
      <c r="BJ991" s="7" t="s">
        <v>298</v>
      </c>
      <c r="BK991" s="40">
        <v>756</v>
      </c>
      <c r="BL991" s="40">
        <v>180</v>
      </c>
      <c r="BN991" t="str">
        <f t="shared" si="91"/>
        <v>Bitso</v>
      </c>
      <c r="BO991">
        <f t="shared" si="88"/>
        <v>114</v>
      </c>
      <c r="BP991">
        <f t="shared" si="89"/>
        <v>169</v>
      </c>
      <c r="BQ991">
        <f t="shared" si="90"/>
        <v>283</v>
      </c>
    </row>
    <row r="992" spans="26:69" hidden="1" x14ac:dyDescent="0.25">
      <c r="Z992" s="7" t="s">
        <v>284</v>
      </c>
      <c r="AA992" s="1">
        <v>0.3</v>
      </c>
      <c r="AI992" s="7" t="s">
        <v>291</v>
      </c>
      <c r="AJ992" s="40">
        <v>1</v>
      </c>
      <c r="AL992" s="7" t="s">
        <v>294</v>
      </c>
      <c r="AM992" s="27">
        <v>1</v>
      </c>
      <c r="AW992" s="7" t="s">
        <v>345</v>
      </c>
      <c r="AX992" s="27">
        <v>490</v>
      </c>
      <c r="BC992" s="7" t="s">
        <v>328</v>
      </c>
      <c r="BD992" s="27">
        <v>2600</v>
      </c>
      <c r="BJ992" s="7" t="s">
        <v>301</v>
      </c>
      <c r="BK992" s="40">
        <v>46</v>
      </c>
      <c r="BL992" s="40">
        <v>70</v>
      </c>
      <c r="BN992" t="str">
        <f t="shared" si="91"/>
        <v>BitTitan</v>
      </c>
      <c r="BO992">
        <f t="shared" si="88"/>
        <v>554</v>
      </c>
      <c r="BP992">
        <f t="shared" si="89"/>
        <v>350</v>
      </c>
      <c r="BQ992">
        <f t="shared" si="90"/>
        <v>904</v>
      </c>
    </row>
    <row r="993" spans="26:69" hidden="1" x14ac:dyDescent="0.25">
      <c r="Z993" s="7" t="s">
        <v>285</v>
      </c>
      <c r="AA993" s="1">
        <v>1</v>
      </c>
      <c r="AI993" s="7" t="s">
        <v>294</v>
      </c>
      <c r="AJ993" s="40">
        <v>1</v>
      </c>
      <c r="AL993" s="7" t="s">
        <v>297</v>
      </c>
      <c r="AM993" s="27">
        <v>1</v>
      </c>
      <c r="AW993" s="7" t="s">
        <v>346</v>
      </c>
      <c r="AX993" s="27">
        <v>77</v>
      </c>
      <c r="BC993" s="7" t="s">
        <v>330</v>
      </c>
      <c r="BD993" s="27">
        <v>54</v>
      </c>
      <c r="BJ993" s="7" t="s">
        <v>302</v>
      </c>
      <c r="BK993" s="40">
        <v>0</v>
      </c>
      <c r="BL993" s="40">
        <v>92</v>
      </c>
      <c r="BN993" t="str">
        <f t="shared" si="91"/>
        <v>BitTorrent</v>
      </c>
      <c r="BO993">
        <f t="shared" si="88"/>
        <v>742</v>
      </c>
      <c r="BP993">
        <f t="shared" si="89"/>
        <v>297</v>
      </c>
      <c r="BQ993">
        <f t="shared" si="90"/>
        <v>1039</v>
      </c>
    </row>
    <row r="994" spans="26:69" hidden="1" x14ac:dyDescent="0.25">
      <c r="Z994" s="7" t="s">
        <v>286</v>
      </c>
      <c r="AA994" s="1">
        <v>0.12</v>
      </c>
      <c r="AI994" s="7" t="s">
        <v>297</v>
      </c>
      <c r="AJ994" s="40">
        <v>1</v>
      </c>
      <c r="AL994" s="7" t="s">
        <v>298</v>
      </c>
      <c r="AM994" s="27">
        <v>2</v>
      </c>
      <c r="AW994" s="7" t="s">
        <v>347</v>
      </c>
      <c r="AX994" s="27">
        <v>25</v>
      </c>
      <c r="BC994" s="7" t="s">
        <v>332</v>
      </c>
      <c r="BD994" s="27">
        <v>26</v>
      </c>
      <c r="BJ994" s="7" t="s">
        <v>303</v>
      </c>
      <c r="BK994" s="40">
        <v>0</v>
      </c>
      <c r="BL994" s="40">
        <v>80</v>
      </c>
      <c r="BN994" t="str">
        <f t="shared" si="91"/>
        <v>Bittrex</v>
      </c>
      <c r="BO994">
        <f t="shared" si="88"/>
        <v>742</v>
      </c>
      <c r="BP994">
        <f t="shared" si="89"/>
        <v>322</v>
      </c>
      <c r="BQ994">
        <f t="shared" si="90"/>
        <v>1064</v>
      </c>
    </row>
    <row r="995" spans="26:69" hidden="1" x14ac:dyDescent="0.25">
      <c r="Z995" s="7" t="s">
        <v>287</v>
      </c>
      <c r="AA995" s="1">
        <v>0.3</v>
      </c>
      <c r="AI995" s="7" t="s">
        <v>298</v>
      </c>
      <c r="AJ995" s="40">
        <v>2</v>
      </c>
      <c r="AL995" s="7" t="s">
        <v>301</v>
      </c>
      <c r="AM995" s="27">
        <v>1</v>
      </c>
      <c r="AW995" s="7" t="s">
        <v>350</v>
      </c>
      <c r="AX995" s="27">
        <v>3</v>
      </c>
      <c r="BC995" s="7" t="s">
        <v>337</v>
      </c>
      <c r="BD995" s="27">
        <v>224</v>
      </c>
      <c r="BJ995" s="7" t="s">
        <v>304</v>
      </c>
      <c r="BK995" s="40">
        <v>70</v>
      </c>
      <c r="BL995" s="40">
        <v>140</v>
      </c>
      <c r="BN995" t="str">
        <f t="shared" si="91"/>
        <v>Bizongo</v>
      </c>
      <c r="BO995">
        <f t="shared" si="88"/>
        <v>494</v>
      </c>
      <c r="BP995">
        <f t="shared" si="89"/>
        <v>212</v>
      </c>
      <c r="BQ995">
        <f t="shared" si="90"/>
        <v>706</v>
      </c>
    </row>
    <row r="996" spans="26:69" hidden="1" x14ac:dyDescent="0.25">
      <c r="Z996" s="7" t="s">
        <v>290</v>
      </c>
      <c r="AA996" s="1">
        <v>0.05</v>
      </c>
      <c r="AI996" s="7" t="s">
        <v>301</v>
      </c>
      <c r="AJ996" s="40">
        <v>1</v>
      </c>
      <c r="AL996" s="7" t="s">
        <v>302</v>
      </c>
      <c r="AM996" s="27">
        <v>1</v>
      </c>
      <c r="AW996" s="7" t="s">
        <v>351</v>
      </c>
      <c r="AX996" s="27">
        <v>100</v>
      </c>
      <c r="BC996" s="7" t="s">
        <v>338</v>
      </c>
      <c r="BD996" s="27">
        <v>48</v>
      </c>
      <c r="BJ996" s="7" t="s">
        <v>305</v>
      </c>
      <c r="BK996" s="40">
        <v>45</v>
      </c>
      <c r="BL996" s="40">
        <v>0</v>
      </c>
      <c r="BN996" t="str">
        <f t="shared" si="91"/>
        <v>Bizpay</v>
      </c>
      <c r="BO996">
        <f t="shared" si="88"/>
        <v>556</v>
      </c>
      <c r="BP996">
        <f t="shared" si="89"/>
        <v>683</v>
      </c>
      <c r="BQ996">
        <f t="shared" si="90"/>
        <v>1239</v>
      </c>
    </row>
    <row r="997" spans="26:69" hidden="1" x14ac:dyDescent="0.25">
      <c r="Z997" s="7" t="s">
        <v>291</v>
      </c>
      <c r="AA997" s="1">
        <v>0.27</v>
      </c>
      <c r="AI997" s="7" t="s">
        <v>302</v>
      </c>
      <c r="AJ997" s="40">
        <v>1</v>
      </c>
      <c r="AL997" s="7" t="s">
        <v>303</v>
      </c>
      <c r="AM997" s="27">
        <v>1</v>
      </c>
      <c r="AW997" s="7" t="s">
        <v>352</v>
      </c>
      <c r="AX997" s="27">
        <v>40</v>
      </c>
      <c r="BC997" s="7" t="s">
        <v>339</v>
      </c>
      <c r="BD997" s="27">
        <v>23</v>
      </c>
      <c r="BJ997" s="7" t="s">
        <v>306</v>
      </c>
      <c r="BK997" s="40">
        <v>388</v>
      </c>
      <c r="BL997" s="40">
        <v>220</v>
      </c>
      <c r="BN997" t="str">
        <f t="shared" si="91"/>
        <v>Bizzabo</v>
      </c>
      <c r="BO997">
        <f t="shared" si="88"/>
        <v>200</v>
      </c>
      <c r="BP997">
        <f t="shared" si="89"/>
        <v>140</v>
      </c>
      <c r="BQ997">
        <f t="shared" si="90"/>
        <v>340</v>
      </c>
    </row>
    <row r="998" spans="26:69" hidden="1" x14ac:dyDescent="0.25">
      <c r="Z998" s="7" t="s">
        <v>294</v>
      </c>
      <c r="AA998" s="1">
        <v>0.14000000000000001</v>
      </c>
      <c r="AI998" s="7" t="s">
        <v>303</v>
      </c>
      <c r="AJ998" s="40">
        <v>1</v>
      </c>
      <c r="AL998" s="7" t="s">
        <v>304</v>
      </c>
      <c r="AM998" s="27">
        <v>1</v>
      </c>
      <c r="AW998" s="7" t="s">
        <v>353</v>
      </c>
      <c r="AX998" s="27">
        <v>50</v>
      </c>
      <c r="BC998" s="7" t="s">
        <v>340</v>
      </c>
      <c r="BD998" s="27">
        <v>137</v>
      </c>
      <c r="BJ998" s="7" t="s">
        <v>307</v>
      </c>
      <c r="BK998" s="40">
        <v>0</v>
      </c>
      <c r="BL998" s="40">
        <v>900</v>
      </c>
      <c r="BN998" t="str">
        <f t="shared" si="91"/>
        <v>Black Shark</v>
      </c>
      <c r="BO998">
        <f t="shared" si="88"/>
        <v>742</v>
      </c>
      <c r="BP998">
        <f t="shared" si="89"/>
        <v>35</v>
      </c>
      <c r="BQ998">
        <f t="shared" si="90"/>
        <v>777</v>
      </c>
    </row>
    <row r="999" spans="26:69" hidden="1" x14ac:dyDescent="0.25">
      <c r="Z999" s="7" t="s">
        <v>297</v>
      </c>
      <c r="AA999" s="1">
        <v>0</v>
      </c>
      <c r="AI999" s="7" t="s">
        <v>304</v>
      </c>
      <c r="AJ999" s="40">
        <v>1</v>
      </c>
      <c r="AL999" s="7" t="s">
        <v>305</v>
      </c>
      <c r="AM999" s="27">
        <v>1</v>
      </c>
      <c r="AW999" s="7" t="s">
        <v>355</v>
      </c>
      <c r="AX999" s="27">
        <v>120</v>
      </c>
      <c r="BC999" s="7" t="s">
        <v>341</v>
      </c>
      <c r="BD999" s="27">
        <v>56</v>
      </c>
      <c r="BJ999" s="7" t="s">
        <v>310</v>
      </c>
      <c r="BK999" s="40">
        <v>272</v>
      </c>
      <c r="BL999" s="40">
        <v>500</v>
      </c>
      <c r="BN999" t="str">
        <f t="shared" si="91"/>
        <v>Blackbaud</v>
      </c>
      <c r="BO999">
        <f t="shared" si="88"/>
        <v>264</v>
      </c>
      <c r="BP999">
        <f t="shared" si="89"/>
        <v>66</v>
      </c>
      <c r="BQ999">
        <f t="shared" si="90"/>
        <v>330</v>
      </c>
    </row>
    <row r="1000" spans="26:69" hidden="1" x14ac:dyDescent="0.25">
      <c r="Z1000" s="7" t="s">
        <v>298</v>
      </c>
      <c r="AA1000" s="1">
        <v>0.11</v>
      </c>
      <c r="AI1000" s="7" t="s">
        <v>305</v>
      </c>
      <c r="AJ1000" s="40">
        <v>1</v>
      </c>
      <c r="AL1000" s="7" t="s">
        <v>306</v>
      </c>
      <c r="AM1000" s="27">
        <v>2</v>
      </c>
      <c r="AW1000" s="7" t="s">
        <v>356</v>
      </c>
      <c r="AX1000" s="27">
        <v>198</v>
      </c>
      <c r="BC1000" s="7" t="s">
        <v>343</v>
      </c>
      <c r="BD1000" s="27">
        <v>72</v>
      </c>
      <c r="BJ1000" s="7" t="s">
        <v>312</v>
      </c>
      <c r="BK1000" s="40">
        <v>293</v>
      </c>
      <c r="BL1000" s="40">
        <v>200</v>
      </c>
      <c r="BN1000" t="str">
        <f t="shared" si="91"/>
        <v>BlackBuck</v>
      </c>
      <c r="BO1000">
        <f t="shared" si="88"/>
        <v>249</v>
      </c>
      <c r="BP1000">
        <f t="shared" si="89"/>
        <v>147</v>
      </c>
      <c r="BQ1000">
        <f t="shared" si="90"/>
        <v>396</v>
      </c>
    </row>
    <row r="1001" spans="26:69" hidden="1" x14ac:dyDescent="0.25">
      <c r="Z1001" s="7" t="s">
        <v>301</v>
      </c>
      <c r="AA1001" s="1">
        <v>0.27</v>
      </c>
      <c r="AI1001" s="7" t="s">
        <v>306</v>
      </c>
      <c r="AJ1001" s="40">
        <v>2</v>
      </c>
      <c r="AL1001" s="7" t="s">
        <v>307</v>
      </c>
      <c r="AM1001" s="27">
        <v>1</v>
      </c>
      <c r="AW1001" s="7" t="s">
        <v>357</v>
      </c>
      <c r="AX1001" s="27">
        <v>154</v>
      </c>
      <c r="BC1001" s="7" t="s">
        <v>344</v>
      </c>
      <c r="BD1001" s="27">
        <v>204</v>
      </c>
      <c r="BJ1001" s="7" t="s">
        <v>314</v>
      </c>
      <c r="BK1001" s="40">
        <v>220</v>
      </c>
      <c r="BL1001" s="40">
        <v>95</v>
      </c>
      <c r="BN1001" t="str">
        <f t="shared" si="91"/>
        <v>BlackLine</v>
      </c>
      <c r="BO1001">
        <f t="shared" si="88"/>
        <v>305</v>
      </c>
      <c r="BP1001">
        <f t="shared" si="89"/>
        <v>291</v>
      </c>
      <c r="BQ1001">
        <f t="shared" si="90"/>
        <v>596</v>
      </c>
    </row>
    <row r="1002" spans="26:69" hidden="1" x14ac:dyDescent="0.25">
      <c r="Z1002" s="7" t="s">
        <v>302</v>
      </c>
      <c r="AA1002" s="1">
        <v>0</v>
      </c>
      <c r="AI1002" s="7" t="s">
        <v>307</v>
      </c>
      <c r="AJ1002" s="40">
        <v>1</v>
      </c>
      <c r="AL1002" s="7" t="s">
        <v>310</v>
      </c>
      <c r="AM1002" s="27">
        <v>1</v>
      </c>
      <c r="AW1002" s="7" t="s">
        <v>359</v>
      </c>
      <c r="AX1002" s="27">
        <v>13</v>
      </c>
      <c r="BC1002" s="7" t="s">
        <v>345</v>
      </c>
      <c r="BD1002" s="27">
        <v>856</v>
      </c>
      <c r="BJ1002" s="7" t="s">
        <v>315</v>
      </c>
      <c r="BK1002" s="40">
        <v>41</v>
      </c>
      <c r="BL1002" s="40">
        <v>20</v>
      </c>
      <c r="BN1002" t="str">
        <f t="shared" si="91"/>
        <v>Bleacher Report</v>
      </c>
      <c r="BO1002">
        <f t="shared" si="88"/>
        <v>568</v>
      </c>
      <c r="BP1002">
        <f t="shared" si="89"/>
        <v>588</v>
      </c>
      <c r="BQ1002">
        <f t="shared" si="90"/>
        <v>1156</v>
      </c>
    </row>
    <row r="1003" spans="26:69" hidden="1" x14ac:dyDescent="0.25">
      <c r="Z1003" s="7" t="s">
        <v>303</v>
      </c>
      <c r="AA1003" s="1">
        <v>0</v>
      </c>
      <c r="AI1003" s="7" t="s">
        <v>310</v>
      </c>
      <c r="AJ1003" s="40">
        <v>1</v>
      </c>
      <c r="AL1003" s="7" t="s">
        <v>312</v>
      </c>
      <c r="AM1003" s="27">
        <v>1</v>
      </c>
      <c r="AW1003" s="7" t="s">
        <v>361</v>
      </c>
      <c r="AX1003" s="27">
        <v>30</v>
      </c>
      <c r="BC1003" s="7" t="s">
        <v>346</v>
      </c>
      <c r="BD1003" s="27">
        <v>75</v>
      </c>
      <c r="BJ1003" s="7" t="s">
        <v>316</v>
      </c>
      <c r="BK1003" s="40">
        <v>2660</v>
      </c>
      <c r="BL1003" s="40">
        <v>860</v>
      </c>
      <c r="BN1003" t="str">
        <f t="shared" si="91"/>
        <v>Blend</v>
      </c>
      <c r="BO1003">
        <f t="shared" si="88"/>
        <v>25</v>
      </c>
      <c r="BP1003">
        <f t="shared" si="89"/>
        <v>37</v>
      </c>
      <c r="BQ1003">
        <f t="shared" si="90"/>
        <v>62</v>
      </c>
    </row>
    <row r="1004" spans="26:69" hidden="1" x14ac:dyDescent="0.25">
      <c r="Z1004" s="7" t="s">
        <v>304</v>
      </c>
      <c r="AA1004" s="1">
        <v>0</v>
      </c>
      <c r="AI1004" s="7" t="s">
        <v>312</v>
      </c>
      <c r="AJ1004" s="40">
        <v>1</v>
      </c>
      <c r="AL1004" s="7" t="s">
        <v>314</v>
      </c>
      <c r="AM1004" s="27">
        <v>1</v>
      </c>
      <c r="AW1004" s="7" t="s">
        <v>362</v>
      </c>
      <c r="AX1004" s="27">
        <v>100</v>
      </c>
      <c r="BC1004" s="7" t="s">
        <v>347</v>
      </c>
      <c r="BD1004" s="27">
        <v>148</v>
      </c>
      <c r="BJ1004" s="7" t="s">
        <v>317</v>
      </c>
      <c r="BK1004" s="40">
        <v>980</v>
      </c>
      <c r="BL1004" s="40">
        <v>260</v>
      </c>
      <c r="BN1004" t="str">
        <f t="shared" si="91"/>
        <v>Blockchain.com</v>
      </c>
      <c r="BO1004">
        <f t="shared" si="88"/>
        <v>92</v>
      </c>
      <c r="BP1004">
        <f t="shared" si="89"/>
        <v>116</v>
      </c>
      <c r="BQ1004">
        <f t="shared" si="90"/>
        <v>208</v>
      </c>
    </row>
    <row r="1005" spans="26:69" hidden="1" x14ac:dyDescent="0.25">
      <c r="Z1005" s="7" t="s">
        <v>305</v>
      </c>
      <c r="AA1005" s="1">
        <v>0.3</v>
      </c>
      <c r="AI1005" s="7" t="s">
        <v>314</v>
      </c>
      <c r="AJ1005" s="40">
        <v>1</v>
      </c>
      <c r="AL1005" s="7" t="s">
        <v>315</v>
      </c>
      <c r="AM1005" s="27">
        <v>1</v>
      </c>
      <c r="AW1005" s="7" t="s">
        <v>363</v>
      </c>
      <c r="AX1005" s="27">
        <v>88</v>
      </c>
      <c r="BC1005" s="7" t="s">
        <v>350</v>
      </c>
      <c r="BD1005" s="27">
        <v>2</v>
      </c>
      <c r="BJ1005" s="7" t="s">
        <v>318</v>
      </c>
      <c r="BK1005" s="40">
        <v>2000</v>
      </c>
      <c r="BL1005" s="40">
        <v>250</v>
      </c>
      <c r="BN1005" t="str">
        <f t="shared" si="91"/>
        <v>BlockFi</v>
      </c>
      <c r="BO1005">
        <f t="shared" si="88"/>
        <v>39</v>
      </c>
      <c r="BP1005">
        <f t="shared" si="89"/>
        <v>121</v>
      </c>
      <c r="BQ1005">
        <f t="shared" si="90"/>
        <v>160</v>
      </c>
    </row>
    <row r="1006" spans="26:69" hidden="1" x14ac:dyDescent="0.25">
      <c r="Z1006" s="7" t="s">
        <v>306</v>
      </c>
      <c r="AA1006" s="1">
        <v>0.37</v>
      </c>
      <c r="AI1006" s="7" t="s">
        <v>315</v>
      </c>
      <c r="AJ1006" s="40">
        <v>1</v>
      </c>
      <c r="AL1006" s="7" t="s">
        <v>316</v>
      </c>
      <c r="AM1006" s="27">
        <v>4</v>
      </c>
      <c r="AW1006" s="7" t="s">
        <v>365</v>
      </c>
      <c r="AX1006" s="27">
        <v>10</v>
      </c>
      <c r="BC1006" s="7" t="s">
        <v>351</v>
      </c>
      <c r="BD1006" s="27">
        <v>367</v>
      </c>
      <c r="BJ1006" s="7" t="s">
        <v>319</v>
      </c>
      <c r="BK1006" s="40">
        <v>0</v>
      </c>
      <c r="BL1006" s="40">
        <v>88</v>
      </c>
      <c r="BN1006" t="str">
        <f t="shared" si="91"/>
        <v>BloomTech</v>
      </c>
      <c r="BO1006">
        <f t="shared" si="88"/>
        <v>742</v>
      </c>
      <c r="BP1006">
        <f t="shared" si="89"/>
        <v>308</v>
      </c>
      <c r="BQ1006">
        <f t="shared" si="90"/>
        <v>1050</v>
      </c>
    </row>
    <row r="1007" spans="26:69" hidden="1" x14ac:dyDescent="0.25">
      <c r="Z1007" s="7" t="s">
        <v>307</v>
      </c>
      <c r="AA1007" s="1">
        <v>0</v>
      </c>
      <c r="AI1007" s="7" t="s">
        <v>316</v>
      </c>
      <c r="AJ1007" s="40">
        <v>4</v>
      </c>
      <c r="AL1007" s="7" t="s">
        <v>317</v>
      </c>
      <c r="AM1007" s="27">
        <v>2</v>
      </c>
      <c r="AW1007" s="7" t="s">
        <v>366</v>
      </c>
      <c r="AX1007" s="27">
        <v>206</v>
      </c>
      <c r="BC1007" s="7" t="s">
        <v>352</v>
      </c>
      <c r="BD1007" s="27">
        <v>42</v>
      </c>
      <c r="BJ1007" s="7" t="s">
        <v>320</v>
      </c>
      <c r="BK1007" s="40">
        <v>352</v>
      </c>
      <c r="BL1007" s="40">
        <v>0</v>
      </c>
      <c r="BN1007" t="str">
        <f t="shared" si="91"/>
        <v>Blue Apron</v>
      </c>
      <c r="BO1007">
        <f t="shared" si="88"/>
        <v>214</v>
      </c>
      <c r="BP1007">
        <f t="shared" si="89"/>
        <v>683</v>
      </c>
      <c r="BQ1007">
        <f t="shared" si="90"/>
        <v>897</v>
      </c>
    </row>
    <row r="1008" spans="26:69" hidden="1" x14ac:dyDescent="0.25">
      <c r="Z1008" s="7" t="s">
        <v>310</v>
      </c>
      <c r="AA1008" s="1">
        <v>0.14000000000000001</v>
      </c>
      <c r="AI1008" s="7" t="s">
        <v>317</v>
      </c>
      <c r="AJ1008" s="40">
        <v>2</v>
      </c>
      <c r="AL1008" s="7" t="s">
        <v>318</v>
      </c>
      <c r="AM1008" s="27">
        <v>2</v>
      </c>
      <c r="AW1008" s="7" t="s">
        <v>367</v>
      </c>
      <c r="AX1008" s="27">
        <v>26</v>
      </c>
      <c r="BC1008" s="7" t="s">
        <v>353</v>
      </c>
      <c r="BD1008" s="27">
        <v>6</v>
      </c>
      <c r="BJ1008" s="7" t="s">
        <v>321</v>
      </c>
      <c r="BK1008" s="40">
        <v>77</v>
      </c>
      <c r="BL1008" s="40">
        <v>130</v>
      </c>
      <c r="BN1008" t="str">
        <f t="shared" si="91"/>
        <v>Blueground</v>
      </c>
      <c r="BO1008">
        <f t="shared" si="88"/>
        <v>480</v>
      </c>
      <c r="BP1008">
        <f t="shared" si="89"/>
        <v>226</v>
      </c>
      <c r="BQ1008">
        <f t="shared" si="90"/>
        <v>706</v>
      </c>
    </row>
    <row r="1009" spans="26:69" hidden="1" x14ac:dyDescent="0.25">
      <c r="Z1009" s="7" t="s">
        <v>312</v>
      </c>
      <c r="AA1009" s="1">
        <v>0</v>
      </c>
      <c r="AI1009" s="7" t="s">
        <v>318</v>
      </c>
      <c r="AJ1009" s="40">
        <v>2</v>
      </c>
      <c r="AL1009" s="7" t="s">
        <v>319</v>
      </c>
      <c r="AM1009" s="27">
        <v>1</v>
      </c>
      <c r="AW1009" s="7" t="s">
        <v>369</v>
      </c>
      <c r="AX1009" s="27">
        <v>100</v>
      </c>
      <c r="BC1009" s="7" t="s">
        <v>355</v>
      </c>
      <c r="BD1009" s="27">
        <v>131</v>
      </c>
      <c r="BJ1009" s="7" t="s">
        <v>322</v>
      </c>
      <c r="BK1009" s="40">
        <v>48</v>
      </c>
      <c r="BL1009" s="40">
        <v>60</v>
      </c>
      <c r="BN1009" t="str">
        <f t="shared" si="91"/>
        <v>BlueStacks</v>
      </c>
      <c r="BO1009">
        <f t="shared" si="88"/>
        <v>549</v>
      </c>
      <c r="BP1009">
        <f t="shared" si="89"/>
        <v>378</v>
      </c>
      <c r="BQ1009">
        <f t="shared" si="90"/>
        <v>927</v>
      </c>
    </row>
    <row r="1010" spans="26:69" hidden="1" x14ac:dyDescent="0.25">
      <c r="Z1010" s="7" t="s">
        <v>314</v>
      </c>
      <c r="AA1010" s="1">
        <v>0.05</v>
      </c>
      <c r="AI1010" s="7" t="s">
        <v>319</v>
      </c>
      <c r="AJ1010" s="40">
        <v>1</v>
      </c>
      <c r="AL1010" s="7" t="s">
        <v>320</v>
      </c>
      <c r="AM1010" s="27">
        <v>1</v>
      </c>
      <c r="AW1010" s="7" t="s">
        <v>370</v>
      </c>
      <c r="AX1010" s="27">
        <v>80</v>
      </c>
      <c r="BC1010" s="7" t="s">
        <v>356</v>
      </c>
      <c r="BD1010" s="27">
        <v>2232</v>
      </c>
      <c r="BJ1010" s="7" t="s">
        <v>323</v>
      </c>
      <c r="BK1010" s="40">
        <v>0</v>
      </c>
      <c r="BL1010" s="40">
        <v>30</v>
      </c>
      <c r="BN1010" t="str">
        <f t="shared" si="91"/>
        <v>Blume Global</v>
      </c>
      <c r="BO1010">
        <f t="shared" si="88"/>
        <v>742</v>
      </c>
      <c r="BP1010">
        <f t="shared" si="89"/>
        <v>512</v>
      </c>
      <c r="BQ1010">
        <f t="shared" si="90"/>
        <v>1254</v>
      </c>
    </row>
    <row r="1011" spans="26:69" hidden="1" x14ac:dyDescent="0.25">
      <c r="Z1011" s="7" t="s">
        <v>315</v>
      </c>
      <c r="AA1011" s="1">
        <v>0</v>
      </c>
      <c r="AI1011" s="7" t="s">
        <v>320</v>
      </c>
      <c r="AJ1011" s="40">
        <v>1</v>
      </c>
      <c r="AL1011" s="7" t="s">
        <v>321</v>
      </c>
      <c r="AM1011" s="27">
        <v>1</v>
      </c>
      <c r="AW1011" s="7" t="s">
        <v>373</v>
      </c>
      <c r="AX1011" s="27">
        <v>39</v>
      </c>
      <c r="BC1011" s="7" t="s">
        <v>357</v>
      </c>
      <c r="BD1011" s="27">
        <v>45</v>
      </c>
      <c r="BJ1011" s="7" t="s">
        <v>324</v>
      </c>
      <c r="BK1011" s="40">
        <v>108</v>
      </c>
      <c r="BL1011" s="40">
        <v>137</v>
      </c>
      <c r="BN1011" t="str">
        <f t="shared" si="91"/>
        <v>Bluprint</v>
      </c>
      <c r="BO1011">
        <f t="shared" si="88"/>
        <v>425</v>
      </c>
      <c r="BP1011">
        <f t="shared" si="89"/>
        <v>222</v>
      </c>
      <c r="BQ1011">
        <f t="shared" si="90"/>
        <v>647</v>
      </c>
    </row>
    <row r="1012" spans="26:69" hidden="1" x14ac:dyDescent="0.25">
      <c r="Z1012" s="7" t="s">
        <v>316</v>
      </c>
      <c r="AA1012" s="1">
        <v>0.28000000000000003</v>
      </c>
      <c r="AI1012" s="7" t="s">
        <v>321</v>
      </c>
      <c r="AJ1012" s="40">
        <v>1</v>
      </c>
      <c r="AL1012" s="7" t="s">
        <v>322</v>
      </c>
      <c r="AM1012" s="27">
        <v>1</v>
      </c>
      <c r="AW1012" s="7" t="s">
        <v>374</v>
      </c>
      <c r="AX1012" s="27">
        <v>78</v>
      </c>
      <c r="BC1012" s="7" t="s">
        <v>359</v>
      </c>
      <c r="BD1012" s="27">
        <v>36</v>
      </c>
      <c r="BJ1012" s="7" t="s">
        <v>326</v>
      </c>
      <c r="BK1012" s="40">
        <v>0</v>
      </c>
      <c r="BL1012" s="40">
        <v>0</v>
      </c>
      <c r="BN1012" t="str">
        <f t="shared" si="91"/>
        <v>BM Technologies</v>
      </c>
      <c r="BO1012">
        <f t="shared" si="88"/>
        <v>742</v>
      </c>
      <c r="BP1012">
        <f t="shared" si="89"/>
        <v>683</v>
      </c>
      <c r="BQ1012">
        <f t="shared" si="90"/>
        <v>1425</v>
      </c>
    </row>
    <row r="1013" spans="26:69" hidden="1" x14ac:dyDescent="0.25">
      <c r="Z1013" s="7" t="s">
        <v>317</v>
      </c>
      <c r="AA1013" s="1">
        <v>0.28000000000000003</v>
      </c>
      <c r="AI1013" s="7" t="s">
        <v>322</v>
      </c>
      <c r="AJ1013" s="40">
        <v>1</v>
      </c>
      <c r="AL1013" s="7" t="s">
        <v>323</v>
      </c>
      <c r="AM1013" s="27">
        <v>1</v>
      </c>
      <c r="AW1013" s="7" t="s">
        <v>375</v>
      </c>
      <c r="AX1013" s="27">
        <v>100</v>
      </c>
      <c r="BC1013" s="7" t="s">
        <v>361</v>
      </c>
      <c r="BD1013" s="27">
        <v>250</v>
      </c>
      <c r="BJ1013" s="7" t="s">
        <v>328</v>
      </c>
      <c r="BK1013" s="40">
        <v>2600</v>
      </c>
      <c r="BL1013" s="40">
        <v>307</v>
      </c>
      <c r="BN1013" t="str">
        <f t="shared" si="91"/>
        <v>Bolt</v>
      </c>
      <c r="BO1013">
        <f t="shared" si="88"/>
        <v>26</v>
      </c>
      <c r="BP1013">
        <f t="shared" si="89"/>
        <v>102</v>
      </c>
      <c r="BQ1013">
        <f t="shared" si="90"/>
        <v>128</v>
      </c>
    </row>
    <row r="1014" spans="26:69" hidden="1" x14ac:dyDescent="0.25">
      <c r="Z1014" s="7" t="s">
        <v>318</v>
      </c>
      <c r="AA1014" s="1">
        <v>1</v>
      </c>
      <c r="AI1014" s="7" t="s">
        <v>323</v>
      </c>
      <c r="AJ1014" s="40">
        <v>1</v>
      </c>
      <c r="AL1014" s="7" t="s">
        <v>324</v>
      </c>
      <c r="AM1014" s="27">
        <v>1</v>
      </c>
      <c r="AW1014" s="7" t="s">
        <v>376</v>
      </c>
      <c r="AX1014" s="27">
        <v>30</v>
      </c>
      <c r="BC1014" s="7" t="s">
        <v>362</v>
      </c>
      <c r="BD1014" s="27">
        <v>31</v>
      </c>
      <c r="BJ1014" s="7" t="s">
        <v>330</v>
      </c>
      <c r="BK1014" s="40">
        <v>54</v>
      </c>
      <c r="BL1014" s="40">
        <v>59</v>
      </c>
      <c r="BN1014" t="str">
        <f t="shared" si="91"/>
        <v>Bonsai</v>
      </c>
      <c r="BO1014">
        <f t="shared" si="88"/>
        <v>535</v>
      </c>
      <c r="BP1014">
        <f t="shared" si="89"/>
        <v>393</v>
      </c>
      <c r="BQ1014">
        <f t="shared" si="90"/>
        <v>928</v>
      </c>
    </row>
    <row r="1015" spans="26:69" hidden="1" x14ac:dyDescent="0.25">
      <c r="Z1015" s="7" t="s">
        <v>319</v>
      </c>
      <c r="AA1015" s="1">
        <v>0.5</v>
      </c>
      <c r="AI1015" s="7" t="s">
        <v>324</v>
      </c>
      <c r="AJ1015" s="40">
        <v>1</v>
      </c>
      <c r="AL1015" s="7" t="s">
        <v>326</v>
      </c>
      <c r="AM1015" s="27">
        <v>1</v>
      </c>
      <c r="AW1015" s="7" t="s">
        <v>377</v>
      </c>
      <c r="AX1015" s="27">
        <v>70</v>
      </c>
      <c r="BC1015" s="7" t="s">
        <v>363</v>
      </c>
      <c r="BD1015" s="27">
        <v>290</v>
      </c>
      <c r="BJ1015" s="7" t="s">
        <v>331</v>
      </c>
      <c r="BK1015" s="40">
        <v>0</v>
      </c>
      <c r="BL1015" s="40">
        <v>140</v>
      </c>
      <c r="BN1015" t="str">
        <f t="shared" si="91"/>
        <v>Bonterra</v>
      </c>
      <c r="BO1015">
        <f t="shared" si="88"/>
        <v>742</v>
      </c>
      <c r="BP1015">
        <f t="shared" si="89"/>
        <v>212</v>
      </c>
      <c r="BQ1015">
        <f t="shared" si="90"/>
        <v>954</v>
      </c>
    </row>
    <row r="1016" spans="26:69" hidden="1" x14ac:dyDescent="0.25">
      <c r="Z1016" s="7" t="s">
        <v>320</v>
      </c>
      <c r="AA1016" s="1">
        <v>0.1</v>
      </c>
      <c r="AI1016" s="7" t="s">
        <v>326</v>
      </c>
      <c r="AJ1016" s="40">
        <v>1</v>
      </c>
      <c r="AL1016" s="7" t="s">
        <v>328</v>
      </c>
      <c r="AM1016" s="27">
        <v>3</v>
      </c>
      <c r="AW1016" s="7" t="s">
        <v>378</v>
      </c>
      <c r="AX1016" s="27">
        <v>23</v>
      </c>
      <c r="BC1016" s="7" t="s">
        <v>364</v>
      </c>
      <c r="BD1016" s="27">
        <v>212</v>
      </c>
      <c r="BJ1016" s="7" t="s">
        <v>332</v>
      </c>
      <c r="BK1016" s="40">
        <v>26</v>
      </c>
      <c r="BL1016" s="40">
        <v>12</v>
      </c>
      <c r="BN1016" t="str">
        <f t="shared" si="91"/>
        <v>BookClub</v>
      </c>
      <c r="BO1016">
        <f t="shared" si="88"/>
        <v>612</v>
      </c>
      <c r="BP1016">
        <f t="shared" si="89"/>
        <v>640</v>
      </c>
      <c r="BQ1016">
        <f t="shared" si="90"/>
        <v>1252</v>
      </c>
    </row>
    <row r="1017" spans="26:69" hidden="1" x14ac:dyDescent="0.25">
      <c r="Z1017" s="7" t="s">
        <v>321</v>
      </c>
      <c r="AA1017" s="1">
        <v>0.25</v>
      </c>
      <c r="AI1017" s="7" t="s">
        <v>328</v>
      </c>
      <c r="AJ1017" s="40">
        <v>3</v>
      </c>
      <c r="AL1017" s="7" t="s">
        <v>330</v>
      </c>
      <c r="AM1017" s="27">
        <v>2</v>
      </c>
      <c r="AW1017" s="7" t="s">
        <v>379</v>
      </c>
      <c r="AX1017" s="27">
        <v>160</v>
      </c>
      <c r="BC1017" s="7" t="s">
        <v>365</v>
      </c>
      <c r="BD1017" s="27">
        <v>84</v>
      </c>
      <c r="BJ1017" s="7" t="s">
        <v>333</v>
      </c>
      <c r="BK1017" s="40">
        <v>0</v>
      </c>
      <c r="BL1017" s="40">
        <v>4601</v>
      </c>
      <c r="BN1017" t="str">
        <f t="shared" si="91"/>
        <v>Booking.com</v>
      </c>
      <c r="BO1017">
        <f t="shared" si="88"/>
        <v>742</v>
      </c>
      <c r="BP1017">
        <f t="shared" si="89"/>
        <v>5</v>
      </c>
      <c r="BQ1017">
        <f t="shared" si="90"/>
        <v>747</v>
      </c>
    </row>
    <row r="1018" spans="26:69" hidden="1" x14ac:dyDescent="0.25">
      <c r="Z1018" s="7" t="s">
        <v>322</v>
      </c>
      <c r="AA1018" s="1">
        <v>0</v>
      </c>
      <c r="AI1018" s="7" t="s">
        <v>330</v>
      </c>
      <c r="AJ1018" s="40">
        <v>2</v>
      </c>
      <c r="AL1018" s="7" t="s">
        <v>331</v>
      </c>
      <c r="AM1018" s="27">
        <v>1</v>
      </c>
      <c r="AW1018" s="7" t="s">
        <v>380</v>
      </c>
      <c r="AX1018" s="27">
        <v>43</v>
      </c>
      <c r="BC1018" s="7" t="s">
        <v>366</v>
      </c>
      <c r="BD1018" s="27">
        <v>2400</v>
      </c>
      <c r="BJ1018" s="7" t="s">
        <v>337</v>
      </c>
      <c r="BK1018" s="40">
        <v>224</v>
      </c>
      <c r="BL1018" s="40">
        <v>270</v>
      </c>
      <c r="BN1018" t="str">
        <f t="shared" si="91"/>
        <v>BookMyShow</v>
      </c>
      <c r="BO1018">
        <f t="shared" si="88"/>
        <v>300</v>
      </c>
      <c r="BP1018">
        <f t="shared" si="89"/>
        <v>113</v>
      </c>
      <c r="BQ1018">
        <f t="shared" si="90"/>
        <v>413</v>
      </c>
    </row>
    <row r="1019" spans="26:69" hidden="1" x14ac:dyDescent="0.25">
      <c r="Z1019" s="7" t="s">
        <v>323</v>
      </c>
      <c r="AA1019" s="1">
        <v>0.1</v>
      </c>
      <c r="AI1019" s="7" t="s">
        <v>331</v>
      </c>
      <c r="AJ1019" s="40">
        <v>1</v>
      </c>
      <c r="AL1019" s="7" t="s">
        <v>332</v>
      </c>
      <c r="AM1019" s="27">
        <v>1</v>
      </c>
      <c r="AW1019" s="7" t="s">
        <v>381</v>
      </c>
      <c r="AX1019" s="27">
        <v>1000</v>
      </c>
      <c r="BC1019" s="7" t="s">
        <v>367</v>
      </c>
      <c r="BD1019" s="27">
        <v>10</v>
      </c>
      <c r="BJ1019" s="7" t="s">
        <v>338</v>
      </c>
      <c r="BK1019" s="40">
        <v>48</v>
      </c>
      <c r="BL1019" s="40">
        <v>200</v>
      </c>
      <c r="BN1019" t="str">
        <f t="shared" si="91"/>
        <v>Booksy</v>
      </c>
      <c r="BO1019">
        <f t="shared" si="88"/>
        <v>549</v>
      </c>
      <c r="BP1019">
        <f t="shared" si="89"/>
        <v>147</v>
      </c>
      <c r="BQ1019">
        <f t="shared" si="90"/>
        <v>696</v>
      </c>
    </row>
    <row r="1020" spans="26:69" hidden="1" x14ac:dyDescent="0.25">
      <c r="Z1020" s="7" t="s">
        <v>324</v>
      </c>
      <c r="AA1020" s="1">
        <v>1</v>
      </c>
      <c r="AI1020" s="7" t="s">
        <v>332</v>
      </c>
      <c r="AJ1020" s="40">
        <v>1</v>
      </c>
      <c r="AL1020" s="7" t="s">
        <v>333</v>
      </c>
      <c r="AM1020" s="27">
        <v>2</v>
      </c>
      <c r="AW1020" s="7" t="s">
        <v>384</v>
      </c>
      <c r="AX1020" s="27">
        <v>48</v>
      </c>
      <c r="BC1020" s="7" t="s">
        <v>368</v>
      </c>
      <c r="BD1020" s="27">
        <v>25</v>
      </c>
      <c r="BJ1020" s="7" t="s">
        <v>339</v>
      </c>
      <c r="BK1020" s="40">
        <v>23</v>
      </c>
      <c r="BL1020" s="40">
        <v>30</v>
      </c>
      <c r="BN1020" t="str">
        <f t="shared" si="91"/>
        <v>Booktopia</v>
      </c>
      <c r="BO1020">
        <f t="shared" si="88"/>
        <v>628</v>
      </c>
      <c r="BP1020">
        <f t="shared" si="89"/>
        <v>512</v>
      </c>
      <c r="BQ1020">
        <f t="shared" si="90"/>
        <v>1140</v>
      </c>
    </row>
    <row r="1021" spans="26:69" hidden="1" x14ac:dyDescent="0.25">
      <c r="Z1021" s="7" t="s">
        <v>326</v>
      </c>
      <c r="AA1021" s="1">
        <v>0.25</v>
      </c>
      <c r="AI1021" s="7" t="s">
        <v>333</v>
      </c>
      <c r="AJ1021" s="40">
        <v>2</v>
      </c>
      <c r="AL1021" s="7" t="s">
        <v>337</v>
      </c>
      <c r="AM1021" s="27">
        <v>1</v>
      </c>
      <c r="AW1021" s="7" t="s">
        <v>385</v>
      </c>
      <c r="AX1021" s="27">
        <v>87</v>
      </c>
      <c r="BC1021" s="7" t="s">
        <v>369</v>
      </c>
      <c r="BD1021" s="27">
        <v>89</v>
      </c>
      <c r="BJ1021" s="7" t="s">
        <v>340</v>
      </c>
      <c r="BK1021" s="40">
        <v>137</v>
      </c>
      <c r="BL1021" s="40">
        <v>0</v>
      </c>
      <c r="BN1021" t="str">
        <f t="shared" si="91"/>
        <v>Boosted Commerce</v>
      </c>
      <c r="BO1021">
        <f t="shared" si="88"/>
        <v>388</v>
      </c>
      <c r="BP1021">
        <f t="shared" si="89"/>
        <v>683</v>
      </c>
      <c r="BQ1021">
        <f t="shared" si="90"/>
        <v>1071</v>
      </c>
    </row>
    <row r="1022" spans="26:69" hidden="1" x14ac:dyDescent="0.25">
      <c r="Z1022" s="7" t="s">
        <v>328</v>
      </c>
      <c r="AA1022" s="1">
        <v>0.27</v>
      </c>
      <c r="AI1022" s="7" t="s">
        <v>337</v>
      </c>
      <c r="AJ1022" s="40">
        <v>1</v>
      </c>
      <c r="AL1022" s="7" t="s">
        <v>338</v>
      </c>
      <c r="AM1022" s="27">
        <v>1</v>
      </c>
      <c r="AW1022" s="7" t="s">
        <v>387</v>
      </c>
      <c r="AX1022" s="27">
        <v>180</v>
      </c>
      <c r="BC1022" s="7" t="s">
        <v>370</v>
      </c>
      <c r="BD1022" s="27">
        <v>11</v>
      </c>
      <c r="BJ1022" s="7" t="s">
        <v>341</v>
      </c>
      <c r="BK1022" s="40">
        <v>56</v>
      </c>
      <c r="BL1022" s="40">
        <v>70</v>
      </c>
      <c r="BN1022" t="str">
        <f t="shared" si="91"/>
        <v>Boozt</v>
      </c>
      <c r="BO1022">
        <f t="shared" si="88"/>
        <v>530</v>
      </c>
      <c r="BP1022">
        <f t="shared" si="89"/>
        <v>350</v>
      </c>
      <c r="BQ1022">
        <f t="shared" si="90"/>
        <v>880</v>
      </c>
    </row>
    <row r="1023" spans="26:69" hidden="1" x14ac:dyDescent="0.25">
      <c r="Z1023" s="7" t="s">
        <v>330</v>
      </c>
      <c r="AA1023" s="1">
        <v>0.55000000000000004</v>
      </c>
      <c r="AI1023" s="7" t="s">
        <v>338</v>
      </c>
      <c r="AJ1023" s="40">
        <v>1</v>
      </c>
      <c r="AL1023" s="7" t="s">
        <v>339</v>
      </c>
      <c r="AM1023" s="27">
        <v>1</v>
      </c>
      <c r="AW1023" s="7" t="s">
        <v>388</v>
      </c>
      <c r="AX1023" s="27">
        <v>25</v>
      </c>
      <c r="BC1023" s="7" t="s">
        <v>373</v>
      </c>
      <c r="BD1023" s="27">
        <v>29</v>
      </c>
      <c r="BJ1023" s="7" t="s">
        <v>343</v>
      </c>
      <c r="BK1023" s="40">
        <v>72</v>
      </c>
      <c r="BL1023" s="40">
        <v>15</v>
      </c>
      <c r="BN1023" t="str">
        <f t="shared" si="91"/>
        <v>Borrowell</v>
      </c>
      <c r="BO1023">
        <f t="shared" si="88"/>
        <v>491</v>
      </c>
      <c r="BP1023">
        <f t="shared" si="89"/>
        <v>622</v>
      </c>
      <c r="BQ1023">
        <f t="shared" si="90"/>
        <v>1113</v>
      </c>
    </row>
    <row r="1024" spans="26:69" hidden="1" x14ac:dyDescent="0.25">
      <c r="Z1024" s="7" t="s">
        <v>331</v>
      </c>
      <c r="AA1024" s="1">
        <v>0.1</v>
      </c>
      <c r="AI1024" s="7" t="s">
        <v>339</v>
      </c>
      <c r="AJ1024" s="40">
        <v>1</v>
      </c>
      <c r="AL1024" s="7" t="s">
        <v>340</v>
      </c>
      <c r="AM1024" s="27">
        <v>1</v>
      </c>
      <c r="AW1024" s="7" t="s">
        <v>390</v>
      </c>
      <c r="AX1024" s="27">
        <v>600</v>
      </c>
      <c r="BC1024" s="7" t="s">
        <v>374</v>
      </c>
      <c r="BD1024" s="27">
        <v>58</v>
      </c>
      <c r="BJ1024" s="7" t="s">
        <v>344</v>
      </c>
      <c r="BK1024" s="40">
        <v>204</v>
      </c>
      <c r="BL1024" s="40">
        <v>61</v>
      </c>
      <c r="BN1024" t="str">
        <f t="shared" si="91"/>
        <v>Bossa Nova</v>
      </c>
      <c r="BO1024">
        <f t="shared" si="88"/>
        <v>315</v>
      </c>
      <c r="BP1024">
        <f t="shared" si="89"/>
        <v>377</v>
      </c>
      <c r="BQ1024">
        <f t="shared" si="90"/>
        <v>692</v>
      </c>
    </row>
    <row r="1025" spans="26:69" hidden="1" x14ac:dyDescent="0.25">
      <c r="Z1025" s="7" t="s">
        <v>332</v>
      </c>
      <c r="AA1025" s="1">
        <v>0.25</v>
      </c>
      <c r="AI1025" s="7" t="s">
        <v>340</v>
      </c>
      <c r="AJ1025" s="40">
        <v>1</v>
      </c>
      <c r="AL1025" s="7" t="s">
        <v>341</v>
      </c>
      <c r="AM1025" s="27">
        <v>1</v>
      </c>
      <c r="AW1025" s="7" t="s">
        <v>391</v>
      </c>
      <c r="AX1025" s="27">
        <v>4000</v>
      </c>
      <c r="BC1025" s="7" t="s">
        <v>375</v>
      </c>
      <c r="BD1025" s="27">
        <v>32</v>
      </c>
      <c r="BJ1025" s="7" t="s">
        <v>345</v>
      </c>
      <c r="BK1025" s="40">
        <v>856</v>
      </c>
      <c r="BL1025" s="40">
        <v>490</v>
      </c>
      <c r="BN1025" t="str">
        <f t="shared" si="91"/>
        <v>Bounce</v>
      </c>
      <c r="BO1025">
        <f t="shared" si="88"/>
        <v>103</v>
      </c>
      <c r="BP1025">
        <f t="shared" si="89"/>
        <v>76</v>
      </c>
      <c r="BQ1025">
        <f t="shared" si="90"/>
        <v>179</v>
      </c>
    </row>
    <row r="1026" spans="26:69" hidden="1" x14ac:dyDescent="0.25">
      <c r="Z1026" s="7" t="s">
        <v>333</v>
      </c>
      <c r="AA1026" s="1">
        <v>0.25</v>
      </c>
      <c r="AI1026" s="7" t="s">
        <v>341</v>
      </c>
      <c r="AJ1026" s="40">
        <v>1</v>
      </c>
      <c r="AL1026" s="7" t="s">
        <v>343</v>
      </c>
      <c r="AM1026" s="27">
        <v>1</v>
      </c>
      <c r="AW1026" s="7" t="s">
        <v>392</v>
      </c>
      <c r="AX1026" s="27">
        <v>3750</v>
      </c>
      <c r="BC1026" s="7" t="s">
        <v>376</v>
      </c>
      <c r="BD1026" s="27">
        <v>300</v>
      </c>
      <c r="BJ1026" s="7" t="s">
        <v>346</v>
      </c>
      <c r="BK1026" s="40">
        <v>75</v>
      </c>
      <c r="BL1026" s="40">
        <v>77</v>
      </c>
      <c r="BN1026" t="str">
        <f t="shared" si="91"/>
        <v>BounceX</v>
      </c>
      <c r="BO1026">
        <f t="shared" si="88"/>
        <v>485</v>
      </c>
      <c r="BP1026">
        <f t="shared" si="89"/>
        <v>338</v>
      </c>
      <c r="BQ1026">
        <f t="shared" si="90"/>
        <v>823</v>
      </c>
    </row>
    <row r="1027" spans="26:69" hidden="1" x14ac:dyDescent="0.25">
      <c r="Z1027" s="7" t="s">
        <v>337</v>
      </c>
      <c r="AA1027" s="1">
        <v>0.18</v>
      </c>
      <c r="AI1027" s="7" t="s">
        <v>343</v>
      </c>
      <c r="AJ1027" s="40">
        <v>1</v>
      </c>
      <c r="AL1027" s="7" t="s">
        <v>344</v>
      </c>
      <c r="AM1027" s="27">
        <v>2</v>
      </c>
      <c r="AW1027" s="7" t="s">
        <v>394</v>
      </c>
      <c r="AX1027" s="27">
        <v>20</v>
      </c>
      <c r="BC1027" s="7" t="s">
        <v>377</v>
      </c>
      <c r="BD1027" s="27">
        <v>171</v>
      </c>
      <c r="BJ1027" s="7" t="s">
        <v>347</v>
      </c>
      <c r="BK1027" s="40">
        <v>148</v>
      </c>
      <c r="BL1027" s="40">
        <v>25</v>
      </c>
      <c r="BN1027" t="str">
        <f t="shared" si="91"/>
        <v>Brainly</v>
      </c>
      <c r="BO1027">
        <f t="shared" si="88"/>
        <v>377</v>
      </c>
      <c r="BP1027">
        <f t="shared" si="89"/>
        <v>554</v>
      </c>
      <c r="BQ1027">
        <f t="shared" si="90"/>
        <v>931</v>
      </c>
    </row>
    <row r="1028" spans="26:69" hidden="1" x14ac:dyDescent="0.25">
      <c r="Z1028" s="7" t="s">
        <v>338</v>
      </c>
      <c r="AA1028" s="1">
        <v>0</v>
      </c>
      <c r="AI1028" s="7" t="s">
        <v>344</v>
      </c>
      <c r="AJ1028" s="40">
        <v>2</v>
      </c>
      <c r="AL1028" s="7" t="s">
        <v>345</v>
      </c>
      <c r="AM1028" s="27">
        <v>4</v>
      </c>
      <c r="AW1028" s="7" t="s">
        <v>397</v>
      </c>
      <c r="AX1028" s="27">
        <v>60</v>
      </c>
      <c r="BC1028" s="7" t="s">
        <v>378</v>
      </c>
      <c r="BD1028" s="27">
        <v>21</v>
      </c>
      <c r="BJ1028" s="7" t="s">
        <v>350</v>
      </c>
      <c r="BK1028" s="40">
        <v>2</v>
      </c>
      <c r="BL1028" s="40">
        <v>3</v>
      </c>
      <c r="BN1028" t="str">
        <f t="shared" si="91"/>
        <v>Branch</v>
      </c>
      <c r="BO1028">
        <f t="shared" si="88"/>
        <v>725</v>
      </c>
      <c r="BP1028">
        <f t="shared" si="89"/>
        <v>682</v>
      </c>
      <c r="BQ1028">
        <f t="shared" si="90"/>
        <v>1407</v>
      </c>
    </row>
    <row r="1029" spans="26:69" hidden="1" x14ac:dyDescent="0.25">
      <c r="Z1029" s="7" t="s">
        <v>339</v>
      </c>
      <c r="AA1029" s="1">
        <v>0</v>
      </c>
      <c r="AI1029" s="7" t="s">
        <v>345</v>
      </c>
      <c r="AJ1029" s="40">
        <v>4</v>
      </c>
      <c r="AL1029" s="7" t="s">
        <v>346</v>
      </c>
      <c r="AM1029" s="27">
        <v>1</v>
      </c>
      <c r="AW1029" s="7" t="s">
        <v>399</v>
      </c>
      <c r="AX1029" s="27">
        <v>28</v>
      </c>
      <c r="BC1029" s="7" t="s">
        <v>379</v>
      </c>
      <c r="BD1029" s="27">
        <v>138</v>
      </c>
      <c r="BJ1029" s="7" t="s">
        <v>351</v>
      </c>
      <c r="BK1029" s="40">
        <v>367</v>
      </c>
      <c r="BL1029" s="40">
        <v>100</v>
      </c>
      <c r="BN1029" t="str">
        <f t="shared" si="91"/>
        <v>Branch Metrics</v>
      </c>
      <c r="BO1029">
        <f t="shared" si="88"/>
        <v>206</v>
      </c>
      <c r="BP1029">
        <f t="shared" si="89"/>
        <v>254</v>
      </c>
      <c r="BQ1029">
        <f t="shared" si="90"/>
        <v>460</v>
      </c>
    </row>
    <row r="1030" spans="26:69" hidden="1" x14ac:dyDescent="0.25">
      <c r="Z1030" s="7" t="s">
        <v>340</v>
      </c>
      <c r="AA1030" s="1">
        <v>0.05</v>
      </c>
      <c r="AI1030" s="7" t="s">
        <v>346</v>
      </c>
      <c r="AJ1030" s="40">
        <v>1</v>
      </c>
      <c r="AL1030" s="7" t="s">
        <v>347</v>
      </c>
      <c r="AM1030" s="27">
        <v>1</v>
      </c>
      <c r="AW1030" s="7" t="s">
        <v>400</v>
      </c>
      <c r="AX1030" s="27">
        <v>156</v>
      </c>
      <c r="BC1030" s="7" t="s">
        <v>380</v>
      </c>
      <c r="BD1030" s="27">
        <v>240</v>
      </c>
      <c r="BJ1030" s="7" t="s">
        <v>352</v>
      </c>
      <c r="BK1030" s="40">
        <v>42</v>
      </c>
      <c r="BL1030" s="40">
        <v>40</v>
      </c>
      <c r="BN1030" t="str">
        <f t="shared" si="91"/>
        <v>Brave Care</v>
      </c>
      <c r="BO1030">
        <f t="shared" si="88"/>
        <v>565</v>
      </c>
      <c r="BP1030">
        <f t="shared" si="89"/>
        <v>454</v>
      </c>
      <c r="BQ1030">
        <f t="shared" si="90"/>
        <v>1019</v>
      </c>
    </row>
    <row r="1031" spans="26:69" hidden="1" x14ac:dyDescent="0.25">
      <c r="Z1031" s="7" t="s">
        <v>341</v>
      </c>
      <c r="AA1031" s="1">
        <v>0.05</v>
      </c>
      <c r="AI1031" s="7" t="s">
        <v>347</v>
      </c>
      <c r="AJ1031" s="40">
        <v>1</v>
      </c>
      <c r="AL1031" s="7" t="s">
        <v>350</v>
      </c>
      <c r="AM1031" s="27">
        <v>1</v>
      </c>
      <c r="AW1031" s="7" t="s">
        <v>401</v>
      </c>
      <c r="AX1031" s="27">
        <v>20</v>
      </c>
      <c r="BC1031" s="7" t="s">
        <v>381</v>
      </c>
      <c r="BD1031" s="27">
        <v>50</v>
      </c>
      <c r="BJ1031" s="7" t="s">
        <v>353</v>
      </c>
      <c r="BK1031" s="40">
        <v>6</v>
      </c>
      <c r="BL1031" s="40">
        <v>50</v>
      </c>
      <c r="BN1031" t="str">
        <f t="shared" si="91"/>
        <v>Breathe</v>
      </c>
      <c r="BO1031">
        <f t="shared" si="88"/>
        <v>706</v>
      </c>
      <c r="BP1031">
        <f t="shared" si="89"/>
        <v>410</v>
      </c>
      <c r="BQ1031">
        <f t="shared" si="90"/>
        <v>1116</v>
      </c>
    </row>
    <row r="1032" spans="26:69" hidden="1" x14ac:dyDescent="0.25">
      <c r="Z1032" s="7" t="s">
        <v>343</v>
      </c>
      <c r="AA1032" s="1">
        <v>0.2</v>
      </c>
      <c r="AI1032" s="7" t="s">
        <v>350</v>
      </c>
      <c r="AJ1032" s="40">
        <v>1</v>
      </c>
      <c r="AL1032" s="7" t="s">
        <v>351</v>
      </c>
      <c r="AM1032" s="27">
        <v>1</v>
      </c>
      <c r="AW1032" s="7" t="s">
        <v>402</v>
      </c>
      <c r="AX1032" s="27">
        <v>140</v>
      </c>
      <c r="BC1032" s="7" t="s">
        <v>382</v>
      </c>
      <c r="BD1032" s="27">
        <v>1060</v>
      </c>
      <c r="BJ1032" s="7" t="s">
        <v>355</v>
      </c>
      <c r="BK1032" s="40">
        <v>131</v>
      </c>
      <c r="BL1032" s="40">
        <v>120</v>
      </c>
      <c r="BN1032" t="str">
        <f t="shared" si="91"/>
        <v>Breather</v>
      </c>
      <c r="BO1032">
        <f t="shared" si="88"/>
        <v>395</v>
      </c>
      <c r="BP1032">
        <f t="shared" si="89"/>
        <v>238</v>
      </c>
      <c r="BQ1032">
        <f t="shared" si="90"/>
        <v>633</v>
      </c>
    </row>
    <row r="1033" spans="26:69" hidden="1" x14ac:dyDescent="0.25">
      <c r="Z1033" s="7" t="s">
        <v>344</v>
      </c>
      <c r="AA1033" s="1">
        <v>0.5</v>
      </c>
      <c r="AI1033" s="7" t="s">
        <v>351</v>
      </c>
      <c r="AJ1033" s="40">
        <v>1</v>
      </c>
      <c r="AL1033" s="7" t="s">
        <v>352</v>
      </c>
      <c r="AM1033" s="27">
        <v>1</v>
      </c>
      <c r="AW1033" s="7" t="s">
        <v>403</v>
      </c>
      <c r="AX1033" s="27">
        <v>90</v>
      </c>
      <c r="BC1033" s="7" t="s">
        <v>384</v>
      </c>
      <c r="BD1033" s="27">
        <v>64</v>
      </c>
      <c r="BJ1033" s="7" t="s">
        <v>356</v>
      </c>
      <c r="BK1033" s="40">
        <v>2232</v>
      </c>
      <c r="BL1033" s="40">
        <v>198</v>
      </c>
      <c r="BN1033" t="str">
        <f t="shared" si="91"/>
        <v>Brex</v>
      </c>
      <c r="BO1033">
        <f t="shared" ref="BO1033:BO1096" si="92">RANK($BK$839:$BK$1662,$BK$839:$BK$1662,0)</f>
        <v>35</v>
      </c>
      <c r="BP1033">
        <f t="shared" ref="BP1033:BP1096" si="93">RANK($BL$840:$BL$1662,$BL$840:$BL$1662,0)</f>
        <v>161</v>
      </c>
      <c r="BQ1033">
        <f t="shared" ref="BQ1033:BQ1096" si="94">BO1033+BP1033</f>
        <v>196</v>
      </c>
    </row>
    <row r="1034" spans="26:69" hidden="1" x14ac:dyDescent="0.25">
      <c r="Z1034" s="7" t="s">
        <v>345</v>
      </c>
      <c r="AA1034" s="1">
        <v>0.4</v>
      </c>
      <c r="AI1034" s="7" t="s">
        <v>352</v>
      </c>
      <c r="AJ1034" s="40">
        <v>1</v>
      </c>
      <c r="AL1034" s="7" t="s">
        <v>353</v>
      </c>
      <c r="AM1034" s="27">
        <v>1</v>
      </c>
      <c r="AW1034" s="7" t="s">
        <v>404</v>
      </c>
      <c r="AX1034" s="27">
        <v>167</v>
      </c>
      <c r="BC1034" s="7" t="s">
        <v>385</v>
      </c>
      <c r="BD1034" s="27">
        <v>42</v>
      </c>
      <c r="BJ1034" s="7" t="s">
        <v>357</v>
      </c>
      <c r="BK1034" s="40">
        <v>45</v>
      </c>
      <c r="BL1034" s="40">
        <v>154</v>
      </c>
      <c r="BN1034" t="str">
        <f t="shared" si="91"/>
        <v>Bridge Connector</v>
      </c>
      <c r="BO1034">
        <f t="shared" si="92"/>
        <v>556</v>
      </c>
      <c r="BP1034">
        <f t="shared" si="93"/>
        <v>191</v>
      </c>
      <c r="BQ1034">
        <f t="shared" si="94"/>
        <v>747</v>
      </c>
    </row>
    <row r="1035" spans="26:69" hidden="1" x14ac:dyDescent="0.25">
      <c r="Z1035" s="7" t="s">
        <v>346</v>
      </c>
      <c r="AA1035" s="1">
        <v>0.2</v>
      </c>
      <c r="AI1035" s="7" t="s">
        <v>353</v>
      </c>
      <c r="AJ1035" s="40">
        <v>1</v>
      </c>
      <c r="AL1035" s="7" t="s">
        <v>355</v>
      </c>
      <c r="AM1035" s="27">
        <v>1</v>
      </c>
      <c r="AW1035" s="7" t="s">
        <v>407</v>
      </c>
      <c r="AX1035" s="27">
        <v>33</v>
      </c>
      <c r="BC1035" s="7" t="s">
        <v>386</v>
      </c>
      <c r="BD1035" s="27">
        <v>32</v>
      </c>
      <c r="BJ1035" s="7" t="s">
        <v>359</v>
      </c>
      <c r="BK1035" s="40">
        <v>36</v>
      </c>
      <c r="BL1035" s="40">
        <v>13</v>
      </c>
      <c r="BN1035" t="str">
        <f t="shared" si="91"/>
        <v>Bridgit</v>
      </c>
      <c r="BO1035">
        <f t="shared" si="92"/>
        <v>586</v>
      </c>
      <c r="BP1035">
        <f t="shared" si="93"/>
        <v>634</v>
      </c>
      <c r="BQ1035">
        <f t="shared" si="94"/>
        <v>1220</v>
      </c>
    </row>
    <row r="1036" spans="26:69" hidden="1" x14ac:dyDescent="0.25">
      <c r="Z1036" s="7" t="s">
        <v>347</v>
      </c>
      <c r="AA1036" s="1">
        <v>0</v>
      </c>
      <c r="AI1036" s="7" t="s">
        <v>355</v>
      </c>
      <c r="AJ1036" s="40">
        <v>1</v>
      </c>
      <c r="AL1036" s="7" t="s">
        <v>356</v>
      </c>
      <c r="AM1036" s="27">
        <v>2</v>
      </c>
      <c r="AW1036" s="7" t="s">
        <v>408</v>
      </c>
      <c r="AX1036" s="27">
        <v>58</v>
      </c>
      <c r="BC1036" s="7" t="s">
        <v>387</v>
      </c>
      <c r="BD1036" s="27">
        <v>696</v>
      </c>
      <c r="BJ1036" s="7" t="s">
        <v>361</v>
      </c>
      <c r="BK1036" s="40">
        <v>250</v>
      </c>
      <c r="BL1036" s="40">
        <v>30</v>
      </c>
      <c r="BN1036" t="str">
        <f t="shared" si="91"/>
        <v>Bright Machines</v>
      </c>
      <c r="BO1036">
        <f t="shared" si="92"/>
        <v>276</v>
      </c>
      <c r="BP1036">
        <f t="shared" si="93"/>
        <v>512</v>
      </c>
      <c r="BQ1036">
        <f t="shared" si="94"/>
        <v>788</v>
      </c>
    </row>
    <row r="1037" spans="26:69" hidden="1" x14ac:dyDescent="0.25">
      <c r="Z1037" s="7" t="s">
        <v>350</v>
      </c>
      <c r="AA1037" s="1">
        <v>0.27</v>
      </c>
      <c r="AI1037" s="7" t="s">
        <v>356</v>
      </c>
      <c r="AJ1037" s="40">
        <v>2</v>
      </c>
      <c r="AL1037" s="7" t="s">
        <v>357</v>
      </c>
      <c r="AM1037" s="27">
        <v>1</v>
      </c>
      <c r="AW1037" s="7" t="s">
        <v>409</v>
      </c>
      <c r="AX1037" s="27">
        <v>1100</v>
      </c>
      <c r="BC1037" s="7" t="s">
        <v>391</v>
      </c>
      <c r="BD1037" s="27">
        <v>11000</v>
      </c>
      <c r="BJ1037" s="7" t="s">
        <v>362</v>
      </c>
      <c r="BK1037" s="40">
        <v>31</v>
      </c>
      <c r="BL1037" s="40">
        <v>100</v>
      </c>
      <c r="BN1037" t="str">
        <f t="shared" si="91"/>
        <v>Bright Money</v>
      </c>
      <c r="BO1037">
        <f t="shared" si="92"/>
        <v>599</v>
      </c>
      <c r="BP1037">
        <f t="shared" si="93"/>
        <v>254</v>
      </c>
      <c r="BQ1037">
        <f t="shared" si="94"/>
        <v>853</v>
      </c>
    </row>
    <row r="1038" spans="26:69" hidden="1" x14ac:dyDescent="0.25">
      <c r="Z1038" s="7" t="s">
        <v>351</v>
      </c>
      <c r="AA1038" s="1">
        <v>0.2</v>
      </c>
      <c r="AI1038" s="7" t="s">
        <v>357</v>
      </c>
      <c r="AJ1038" s="40">
        <v>1</v>
      </c>
      <c r="AL1038" s="7" t="s">
        <v>359</v>
      </c>
      <c r="AM1038" s="27">
        <v>1</v>
      </c>
      <c r="AW1038" s="7" t="s">
        <v>410</v>
      </c>
      <c r="AX1038" s="27">
        <v>37</v>
      </c>
      <c r="BC1038" s="7" t="s">
        <v>392</v>
      </c>
      <c r="BD1038" s="27">
        <v>35600</v>
      </c>
      <c r="BJ1038" s="7" t="s">
        <v>363</v>
      </c>
      <c r="BK1038" s="40">
        <v>290</v>
      </c>
      <c r="BL1038" s="40">
        <v>88</v>
      </c>
      <c r="BN1038" t="str">
        <f t="shared" si="91"/>
        <v>Brighte</v>
      </c>
      <c r="BO1038">
        <f t="shared" si="92"/>
        <v>251</v>
      </c>
      <c r="BP1038">
        <f t="shared" si="93"/>
        <v>308</v>
      </c>
      <c r="BQ1038">
        <f t="shared" si="94"/>
        <v>559</v>
      </c>
    </row>
    <row r="1039" spans="26:69" hidden="1" x14ac:dyDescent="0.25">
      <c r="Z1039" s="7" t="s">
        <v>352</v>
      </c>
      <c r="AA1039" s="1">
        <v>0.33</v>
      </c>
      <c r="AI1039" s="7" t="s">
        <v>359</v>
      </c>
      <c r="AJ1039" s="40">
        <v>1</v>
      </c>
      <c r="AL1039" s="7" t="s">
        <v>361</v>
      </c>
      <c r="AM1039" s="27">
        <v>1</v>
      </c>
      <c r="AW1039" s="7" t="s">
        <v>412</v>
      </c>
      <c r="AX1039" s="27">
        <v>120</v>
      </c>
      <c r="BC1039" s="7" t="s">
        <v>394</v>
      </c>
      <c r="BD1039" s="27">
        <v>537</v>
      </c>
      <c r="BJ1039" s="7" t="s">
        <v>364</v>
      </c>
      <c r="BK1039" s="40">
        <v>212</v>
      </c>
      <c r="BL1039" s="40">
        <v>0</v>
      </c>
      <c r="BN1039" t="str">
        <f t="shared" si="91"/>
        <v>Brightline</v>
      </c>
      <c r="BO1039">
        <f t="shared" si="92"/>
        <v>310</v>
      </c>
      <c r="BP1039">
        <f t="shared" si="93"/>
        <v>683</v>
      </c>
      <c r="BQ1039">
        <f t="shared" si="94"/>
        <v>993</v>
      </c>
    </row>
    <row r="1040" spans="26:69" hidden="1" x14ac:dyDescent="0.25">
      <c r="Z1040" s="7" t="s">
        <v>353</v>
      </c>
      <c r="AA1040" s="1">
        <v>0.33</v>
      </c>
      <c r="AI1040" s="7" t="s">
        <v>361</v>
      </c>
      <c r="AJ1040" s="40">
        <v>1</v>
      </c>
      <c r="AL1040" s="7" t="s">
        <v>362</v>
      </c>
      <c r="AM1040" s="27">
        <v>1</v>
      </c>
      <c r="AW1040" s="7" t="s">
        <v>413</v>
      </c>
      <c r="AX1040" s="27">
        <v>31</v>
      </c>
      <c r="BC1040" s="7" t="s">
        <v>398</v>
      </c>
      <c r="BD1040" s="27">
        <v>3</v>
      </c>
      <c r="BJ1040" s="7" t="s">
        <v>365</v>
      </c>
      <c r="BK1040" s="40">
        <v>84</v>
      </c>
      <c r="BL1040" s="40">
        <v>10</v>
      </c>
      <c r="BN1040" t="str">
        <f t="shared" si="91"/>
        <v>Bringg</v>
      </c>
      <c r="BO1040">
        <f t="shared" si="92"/>
        <v>466</v>
      </c>
      <c r="BP1040">
        <f t="shared" si="93"/>
        <v>653</v>
      </c>
      <c r="BQ1040">
        <f t="shared" si="94"/>
        <v>1119</v>
      </c>
    </row>
    <row r="1041" spans="26:69" hidden="1" x14ac:dyDescent="0.25">
      <c r="Z1041" s="7" t="s">
        <v>355</v>
      </c>
      <c r="AA1041" s="1">
        <v>0.8</v>
      </c>
      <c r="AI1041" s="7" t="s">
        <v>362</v>
      </c>
      <c r="AJ1041" s="40">
        <v>1</v>
      </c>
      <c r="AL1041" s="7" t="s">
        <v>363</v>
      </c>
      <c r="AM1041" s="27">
        <v>2</v>
      </c>
      <c r="AW1041" s="7" t="s">
        <v>414</v>
      </c>
      <c r="AX1041" s="27">
        <v>450</v>
      </c>
      <c r="BC1041" s="7" t="s">
        <v>399</v>
      </c>
      <c r="BD1041" s="27">
        <v>133</v>
      </c>
      <c r="BJ1041" s="7" t="s">
        <v>366</v>
      </c>
      <c r="BK1041" s="40">
        <v>2400</v>
      </c>
      <c r="BL1041" s="40">
        <v>206</v>
      </c>
      <c r="BN1041" t="str">
        <f t="shared" si="91"/>
        <v>Britishvolt</v>
      </c>
      <c r="BO1041">
        <f t="shared" si="92"/>
        <v>30</v>
      </c>
      <c r="BP1041">
        <f t="shared" si="93"/>
        <v>146</v>
      </c>
      <c r="BQ1041">
        <f t="shared" si="94"/>
        <v>176</v>
      </c>
    </row>
    <row r="1042" spans="26:69" hidden="1" x14ac:dyDescent="0.25">
      <c r="Z1042" s="7" t="s">
        <v>356</v>
      </c>
      <c r="AA1042" s="1">
        <v>0.15</v>
      </c>
      <c r="AI1042" s="7" t="s">
        <v>363</v>
      </c>
      <c r="AJ1042" s="40">
        <v>2</v>
      </c>
      <c r="AL1042" s="7" t="s">
        <v>364</v>
      </c>
      <c r="AM1042" s="27">
        <v>1</v>
      </c>
      <c r="AW1042" s="7" t="s">
        <v>415</v>
      </c>
      <c r="AX1042" s="27">
        <v>200</v>
      </c>
      <c r="BC1042" s="7" t="s">
        <v>400</v>
      </c>
      <c r="BD1042" s="27">
        <v>127</v>
      </c>
      <c r="BJ1042" s="7" t="s">
        <v>367</v>
      </c>
      <c r="BK1042" s="40">
        <v>10</v>
      </c>
      <c r="BL1042" s="40">
        <v>26</v>
      </c>
      <c r="BN1042" t="str">
        <f t="shared" si="91"/>
        <v>Briza</v>
      </c>
      <c r="BO1042">
        <f t="shared" si="92"/>
        <v>689</v>
      </c>
      <c r="BP1042">
        <f t="shared" si="93"/>
        <v>549</v>
      </c>
      <c r="BQ1042">
        <f t="shared" si="94"/>
        <v>1238</v>
      </c>
    </row>
    <row r="1043" spans="26:69" hidden="1" x14ac:dyDescent="0.25">
      <c r="Z1043" s="7" t="s">
        <v>357</v>
      </c>
      <c r="AA1043" s="1">
        <v>1</v>
      </c>
      <c r="AI1043" s="7" t="s">
        <v>364</v>
      </c>
      <c r="AJ1043" s="40">
        <v>1</v>
      </c>
      <c r="AL1043" s="7" t="s">
        <v>365</v>
      </c>
      <c r="AM1043" s="27">
        <v>1</v>
      </c>
      <c r="AW1043" s="7" t="s">
        <v>416</v>
      </c>
      <c r="AX1043" s="27">
        <v>51</v>
      </c>
      <c r="BC1043" s="7" t="s">
        <v>401</v>
      </c>
      <c r="BD1043" s="27">
        <v>75</v>
      </c>
      <c r="BJ1043" s="7" t="s">
        <v>368</v>
      </c>
      <c r="BK1043" s="40">
        <v>25</v>
      </c>
      <c r="BL1043" s="40">
        <v>0</v>
      </c>
      <c r="BN1043" t="str">
        <f t="shared" si="91"/>
        <v>Brodmann17</v>
      </c>
      <c r="BO1043">
        <f t="shared" si="92"/>
        <v>619</v>
      </c>
      <c r="BP1043">
        <f t="shared" si="93"/>
        <v>683</v>
      </c>
      <c r="BQ1043">
        <f t="shared" si="94"/>
        <v>1302</v>
      </c>
    </row>
    <row r="1044" spans="26:69" hidden="1" x14ac:dyDescent="0.25">
      <c r="Z1044" s="7" t="s">
        <v>359</v>
      </c>
      <c r="AA1044" s="1">
        <v>0.13</v>
      </c>
      <c r="AI1044" s="7" t="s">
        <v>365</v>
      </c>
      <c r="AJ1044" s="40">
        <v>1</v>
      </c>
      <c r="AL1044" s="7" t="s">
        <v>366</v>
      </c>
      <c r="AM1044" s="27">
        <v>1</v>
      </c>
      <c r="AW1044" s="7" t="s">
        <v>417</v>
      </c>
      <c r="AX1044" s="27">
        <v>81</v>
      </c>
      <c r="BC1044" s="7" t="s">
        <v>403</v>
      </c>
      <c r="BD1044" s="27">
        <v>218</v>
      </c>
      <c r="BJ1044" s="7" t="s">
        <v>369</v>
      </c>
      <c r="BK1044" s="40">
        <v>89</v>
      </c>
      <c r="BL1044" s="40">
        <v>100</v>
      </c>
      <c r="BN1044" t="str">
        <f t="shared" ref="BN1044:BN1107" si="95">VLOOKUP(BJ1044,BJ1044:BL1855,1,0)</f>
        <v>Bryter</v>
      </c>
      <c r="BO1044">
        <f t="shared" si="92"/>
        <v>458</v>
      </c>
      <c r="BP1044">
        <f t="shared" si="93"/>
        <v>254</v>
      </c>
      <c r="BQ1044">
        <f t="shared" si="94"/>
        <v>712</v>
      </c>
    </row>
    <row r="1045" spans="26:69" hidden="1" x14ac:dyDescent="0.25">
      <c r="Z1045" s="7" t="s">
        <v>361</v>
      </c>
      <c r="AA1045" s="1">
        <v>0.08</v>
      </c>
      <c r="AI1045" s="7" t="s">
        <v>366</v>
      </c>
      <c r="AJ1045" s="40">
        <v>1</v>
      </c>
      <c r="AL1045" s="7" t="s">
        <v>367</v>
      </c>
      <c r="AM1045" s="27">
        <v>1</v>
      </c>
      <c r="AW1045" s="7" t="s">
        <v>418</v>
      </c>
      <c r="AX1045" s="27">
        <v>536</v>
      </c>
      <c r="BC1045" s="7" t="s">
        <v>404</v>
      </c>
      <c r="BD1045" s="27">
        <v>330</v>
      </c>
      <c r="BJ1045" s="7" t="s">
        <v>370</v>
      </c>
      <c r="BK1045" s="40">
        <v>11</v>
      </c>
      <c r="BL1045" s="40">
        <v>80</v>
      </c>
      <c r="BN1045" t="str">
        <f t="shared" si="95"/>
        <v>Buenbit</v>
      </c>
      <c r="BO1045">
        <f t="shared" si="92"/>
        <v>683</v>
      </c>
      <c r="BP1045">
        <f t="shared" si="93"/>
        <v>322</v>
      </c>
      <c r="BQ1045">
        <f t="shared" si="94"/>
        <v>1005</v>
      </c>
    </row>
    <row r="1046" spans="26:69" hidden="1" x14ac:dyDescent="0.25">
      <c r="Z1046" s="7" t="s">
        <v>362</v>
      </c>
      <c r="AA1046" s="1">
        <v>0.5</v>
      </c>
      <c r="AI1046" s="7" t="s">
        <v>367</v>
      </c>
      <c r="AJ1046" s="40">
        <v>1</v>
      </c>
      <c r="AL1046" s="7" t="s">
        <v>368</v>
      </c>
      <c r="AM1046" s="27">
        <v>1</v>
      </c>
      <c r="AW1046" s="7" t="s">
        <v>419</v>
      </c>
      <c r="AX1046" s="27">
        <v>82</v>
      </c>
      <c r="BC1046" s="7" t="s">
        <v>405</v>
      </c>
      <c r="BD1046" s="27">
        <v>16</v>
      </c>
      <c r="BJ1046" s="7" t="s">
        <v>373</v>
      </c>
      <c r="BK1046" s="40">
        <v>29</v>
      </c>
      <c r="BL1046" s="40">
        <v>39</v>
      </c>
      <c r="BN1046" t="str">
        <f t="shared" si="95"/>
        <v>Builder</v>
      </c>
      <c r="BO1046">
        <f t="shared" si="92"/>
        <v>608</v>
      </c>
      <c r="BP1046">
        <f t="shared" si="93"/>
        <v>482</v>
      </c>
      <c r="BQ1046">
        <f t="shared" si="94"/>
        <v>1090</v>
      </c>
    </row>
    <row r="1047" spans="26:69" hidden="1" x14ac:dyDescent="0.25">
      <c r="Z1047" s="7" t="s">
        <v>363</v>
      </c>
      <c r="AA1047" s="1">
        <v>0.15</v>
      </c>
      <c r="AI1047" s="7" t="s">
        <v>368</v>
      </c>
      <c r="AJ1047" s="40">
        <v>1</v>
      </c>
      <c r="AL1047" s="7" t="s">
        <v>369</v>
      </c>
      <c r="AM1047" s="27">
        <v>1</v>
      </c>
      <c r="AW1047" s="7" t="s">
        <v>420</v>
      </c>
      <c r="AX1047" s="27">
        <v>130</v>
      </c>
      <c r="BC1047" s="7" t="s">
        <v>407</v>
      </c>
      <c r="BD1047" s="27">
        <v>100</v>
      </c>
      <c r="BJ1047" s="7" t="s">
        <v>374</v>
      </c>
      <c r="BK1047" s="40">
        <v>58</v>
      </c>
      <c r="BL1047" s="40">
        <v>78</v>
      </c>
      <c r="BN1047" t="str">
        <f t="shared" si="95"/>
        <v>Built In</v>
      </c>
      <c r="BO1047">
        <f t="shared" si="92"/>
        <v>521</v>
      </c>
      <c r="BP1047">
        <f t="shared" si="93"/>
        <v>335</v>
      </c>
      <c r="BQ1047">
        <f t="shared" si="94"/>
        <v>856</v>
      </c>
    </row>
    <row r="1048" spans="26:69" hidden="1" x14ac:dyDescent="0.25">
      <c r="Z1048" s="7" t="s">
        <v>364</v>
      </c>
      <c r="AA1048" s="1">
        <v>0.2</v>
      </c>
      <c r="AI1048" s="7" t="s">
        <v>369</v>
      </c>
      <c r="AJ1048" s="40">
        <v>1</v>
      </c>
      <c r="AL1048" s="7" t="s">
        <v>370</v>
      </c>
      <c r="AM1048" s="27">
        <v>1</v>
      </c>
      <c r="AW1048" s="7" t="s">
        <v>421</v>
      </c>
      <c r="AX1048" s="27">
        <v>110</v>
      </c>
      <c r="BC1048" s="7" t="s">
        <v>408</v>
      </c>
      <c r="BD1048" s="27">
        <v>300</v>
      </c>
      <c r="BJ1048" s="7" t="s">
        <v>375</v>
      </c>
      <c r="BK1048" s="40">
        <v>32</v>
      </c>
      <c r="BL1048" s="40">
        <v>100</v>
      </c>
      <c r="BN1048" t="str">
        <f t="shared" si="95"/>
        <v>Bullhorn</v>
      </c>
      <c r="BO1048">
        <f t="shared" si="92"/>
        <v>595</v>
      </c>
      <c r="BP1048">
        <f t="shared" si="93"/>
        <v>254</v>
      </c>
      <c r="BQ1048">
        <f t="shared" si="94"/>
        <v>849</v>
      </c>
    </row>
    <row r="1049" spans="26:69" hidden="1" x14ac:dyDescent="0.25">
      <c r="Z1049" s="7" t="s">
        <v>365</v>
      </c>
      <c r="AA1049" s="1">
        <v>0.1</v>
      </c>
      <c r="AI1049" s="7" t="s">
        <v>370</v>
      </c>
      <c r="AJ1049" s="40">
        <v>1</v>
      </c>
      <c r="AL1049" s="7" t="s">
        <v>373</v>
      </c>
      <c r="AM1049" s="27">
        <v>1</v>
      </c>
      <c r="AW1049" s="7" t="s">
        <v>422</v>
      </c>
      <c r="AX1049" s="27">
        <v>600</v>
      </c>
      <c r="BC1049" s="7" t="s">
        <v>410</v>
      </c>
      <c r="BD1049" s="27">
        <v>562</v>
      </c>
      <c r="BJ1049" s="7" t="s">
        <v>376</v>
      </c>
      <c r="BK1049" s="40">
        <v>300</v>
      </c>
      <c r="BL1049" s="40">
        <v>30</v>
      </c>
      <c r="BN1049" t="str">
        <f t="shared" si="95"/>
        <v>Bullish</v>
      </c>
      <c r="BO1049">
        <f t="shared" si="92"/>
        <v>243</v>
      </c>
      <c r="BP1049">
        <f t="shared" si="93"/>
        <v>512</v>
      </c>
      <c r="BQ1049">
        <f t="shared" si="94"/>
        <v>755</v>
      </c>
    </row>
    <row r="1050" spans="26:69" hidden="1" x14ac:dyDescent="0.25">
      <c r="Z1050" s="7" t="s">
        <v>366</v>
      </c>
      <c r="AA1050" s="1">
        <v>1</v>
      </c>
      <c r="AI1050" s="7" t="s">
        <v>373</v>
      </c>
      <c r="AJ1050" s="40">
        <v>1</v>
      </c>
      <c r="AL1050" s="7" t="s">
        <v>374</v>
      </c>
      <c r="AM1050" s="27">
        <v>2</v>
      </c>
      <c r="AW1050" s="7" t="s">
        <v>427</v>
      </c>
      <c r="AX1050" s="27">
        <v>161</v>
      </c>
      <c r="BC1050" s="7" t="s">
        <v>411</v>
      </c>
      <c r="BD1050" s="27">
        <v>570</v>
      </c>
      <c r="BJ1050" s="7" t="s">
        <v>377</v>
      </c>
      <c r="BK1050" s="40">
        <v>171</v>
      </c>
      <c r="BL1050" s="40">
        <v>70</v>
      </c>
      <c r="BN1050" t="str">
        <f t="shared" si="95"/>
        <v>Bungalow</v>
      </c>
      <c r="BO1050">
        <f t="shared" si="92"/>
        <v>349</v>
      </c>
      <c r="BP1050">
        <f t="shared" si="93"/>
        <v>350</v>
      </c>
      <c r="BQ1050">
        <f t="shared" si="94"/>
        <v>699</v>
      </c>
    </row>
    <row r="1051" spans="26:69" hidden="1" x14ac:dyDescent="0.25">
      <c r="Z1051" s="7" t="s">
        <v>367</v>
      </c>
      <c r="AA1051" s="1">
        <v>0.4</v>
      </c>
      <c r="AI1051" s="7" t="s">
        <v>374</v>
      </c>
      <c r="AJ1051" s="40">
        <v>2</v>
      </c>
      <c r="AL1051" s="7" t="s">
        <v>375</v>
      </c>
      <c r="AM1051" s="27">
        <v>1</v>
      </c>
      <c r="AW1051" s="7" t="s">
        <v>428</v>
      </c>
      <c r="AX1051" s="27">
        <v>4000</v>
      </c>
      <c r="BC1051" s="7" t="s">
        <v>412</v>
      </c>
      <c r="BD1051" s="27">
        <v>126</v>
      </c>
      <c r="BJ1051" s="7" t="s">
        <v>378</v>
      </c>
      <c r="BK1051" s="40">
        <v>21</v>
      </c>
      <c r="BL1051" s="40">
        <v>23</v>
      </c>
      <c r="BN1051" t="str">
        <f t="shared" si="95"/>
        <v>BusBud</v>
      </c>
      <c r="BO1051">
        <f t="shared" si="92"/>
        <v>636</v>
      </c>
      <c r="BP1051">
        <f t="shared" si="93"/>
        <v>570</v>
      </c>
      <c r="BQ1051">
        <f t="shared" si="94"/>
        <v>1206</v>
      </c>
    </row>
    <row r="1052" spans="26:69" hidden="1" x14ac:dyDescent="0.25">
      <c r="Z1052" s="7" t="s">
        <v>368</v>
      </c>
      <c r="AA1052" s="1">
        <v>1</v>
      </c>
      <c r="AI1052" s="7" t="s">
        <v>375</v>
      </c>
      <c r="AJ1052" s="40">
        <v>1</v>
      </c>
      <c r="AL1052" s="7" t="s">
        <v>376</v>
      </c>
      <c r="AM1052" s="27">
        <v>1</v>
      </c>
      <c r="AW1052" s="7" t="s">
        <v>429</v>
      </c>
      <c r="AX1052" s="27">
        <v>70</v>
      </c>
      <c r="BC1052" s="7" t="s">
        <v>413</v>
      </c>
      <c r="BD1052" s="27">
        <v>164</v>
      </c>
      <c r="BJ1052" s="7" t="s">
        <v>379</v>
      </c>
      <c r="BK1052" s="40">
        <v>138</v>
      </c>
      <c r="BL1052" s="40">
        <v>160</v>
      </c>
      <c r="BN1052" t="str">
        <f t="shared" si="95"/>
        <v>Buser</v>
      </c>
      <c r="BO1052">
        <f t="shared" si="92"/>
        <v>386</v>
      </c>
      <c r="BP1052">
        <f t="shared" si="93"/>
        <v>184</v>
      </c>
      <c r="BQ1052">
        <f t="shared" si="94"/>
        <v>570</v>
      </c>
    </row>
    <row r="1053" spans="26:69" hidden="1" x14ac:dyDescent="0.25">
      <c r="Z1053" s="7" t="s">
        <v>369</v>
      </c>
      <c r="AA1053" s="1">
        <v>0.3</v>
      </c>
      <c r="AI1053" s="7" t="s">
        <v>376</v>
      </c>
      <c r="AJ1053" s="40">
        <v>1</v>
      </c>
      <c r="AL1053" s="7" t="s">
        <v>377</v>
      </c>
      <c r="AM1053" s="27">
        <v>1</v>
      </c>
      <c r="AW1053" s="7" t="s">
        <v>433</v>
      </c>
      <c r="AX1053" s="27">
        <v>100</v>
      </c>
      <c r="BC1053" s="7" t="s">
        <v>414</v>
      </c>
      <c r="BD1053" s="27">
        <v>1044</v>
      </c>
      <c r="BJ1053" s="7" t="s">
        <v>380</v>
      </c>
      <c r="BK1053" s="40">
        <v>240</v>
      </c>
      <c r="BL1053" s="40">
        <v>43</v>
      </c>
      <c r="BN1053" t="str">
        <f t="shared" si="95"/>
        <v>Bustle Digital Group</v>
      </c>
      <c r="BO1053">
        <f t="shared" si="92"/>
        <v>287</v>
      </c>
      <c r="BP1053">
        <f t="shared" si="93"/>
        <v>448</v>
      </c>
      <c r="BQ1053">
        <f t="shared" si="94"/>
        <v>735</v>
      </c>
    </row>
    <row r="1054" spans="26:69" hidden="1" x14ac:dyDescent="0.25">
      <c r="Z1054" s="7" t="s">
        <v>370</v>
      </c>
      <c r="AA1054" s="1">
        <v>0.45</v>
      </c>
      <c r="AI1054" s="7" t="s">
        <v>377</v>
      </c>
      <c r="AJ1054" s="40">
        <v>1</v>
      </c>
      <c r="AL1054" s="7" t="s">
        <v>378</v>
      </c>
      <c r="AM1054" s="27">
        <v>1</v>
      </c>
      <c r="AW1054" s="7" t="s">
        <v>434</v>
      </c>
      <c r="AX1054" s="27">
        <v>78</v>
      </c>
      <c r="BC1054" s="7" t="s">
        <v>415</v>
      </c>
      <c r="BD1054" s="27">
        <v>247</v>
      </c>
      <c r="BJ1054" s="7" t="s">
        <v>381</v>
      </c>
      <c r="BK1054" s="40">
        <v>50</v>
      </c>
      <c r="BL1054" s="40">
        <v>1000</v>
      </c>
      <c r="BN1054" t="str">
        <f t="shared" si="95"/>
        <v>Butler Hospitality</v>
      </c>
      <c r="BO1054">
        <f t="shared" si="92"/>
        <v>542</v>
      </c>
      <c r="BP1054">
        <f t="shared" si="93"/>
        <v>30</v>
      </c>
      <c r="BQ1054">
        <f t="shared" si="94"/>
        <v>572</v>
      </c>
    </row>
    <row r="1055" spans="26:69" hidden="1" x14ac:dyDescent="0.25">
      <c r="Z1055" s="7" t="s">
        <v>373</v>
      </c>
      <c r="AA1055" s="1">
        <v>0.14000000000000001</v>
      </c>
      <c r="AI1055" s="7" t="s">
        <v>378</v>
      </c>
      <c r="AJ1055" s="40">
        <v>1</v>
      </c>
      <c r="AL1055" s="7" t="s">
        <v>379</v>
      </c>
      <c r="AM1055" s="27">
        <v>1</v>
      </c>
      <c r="AW1055" s="7" t="s">
        <v>436</v>
      </c>
      <c r="AX1055" s="27">
        <v>30</v>
      </c>
      <c r="BC1055" s="7" t="s">
        <v>416</v>
      </c>
      <c r="BD1055" s="27">
        <v>212</v>
      </c>
      <c r="BJ1055" s="7" t="s">
        <v>382</v>
      </c>
      <c r="BK1055" s="40">
        <v>1060</v>
      </c>
      <c r="BL1055" s="40">
        <v>0</v>
      </c>
      <c r="BN1055" t="str">
        <f t="shared" si="95"/>
        <v>Butterfly Network</v>
      </c>
      <c r="BO1055">
        <f t="shared" si="92"/>
        <v>84</v>
      </c>
      <c r="BP1055">
        <f t="shared" si="93"/>
        <v>683</v>
      </c>
      <c r="BQ1055">
        <f t="shared" si="94"/>
        <v>767</v>
      </c>
    </row>
    <row r="1056" spans="26:69" hidden="1" x14ac:dyDescent="0.25">
      <c r="Z1056" s="7" t="s">
        <v>374</v>
      </c>
      <c r="AA1056" s="1">
        <v>0.25</v>
      </c>
      <c r="AI1056" s="7" t="s">
        <v>379</v>
      </c>
      <c r="AJ1056" s="40">
        <v>1</v>
      </c>
      <c r="AL1056" s="7" t="s">
        <v>380</v>
      </c>
      <c r="AM1056" s="27">
        <v>3</v>
      </c>
      <c r="AW1056" s="7" t="s">
        <v>437</v>
      </c>
      <c r="AX1056" s="27">
        <v>100</v>
      </c>
      <c r="BC1056" s="7" t="s">
        <v>417</v>
      </c>
      <c r="BD1056" s="27">
        <v>156</v>
      </c>
      <c r="BJ1056" s="7" t="s">
        <v>384</v>
      </c>
      <c r="BK1056" s="40">
        <v>64</v>
      </c>
      <c r="BL1056" s="40">
        <v>48</v>
      </c>
      <c r="BN1056" t="str">
        <f t="shared" si="95"/>
        <v>Button</v>
      </c>
      <c r="BO1056">
        <f t="shared" si="92"/>
        <v>504</v>
      </c>
      <c r="BP1056">
        <f t="shared" si="93"/>
        <v>434</v>
      </c>
      <c r="BQ1056">
        <f t="shared" si="94"/>
        <v>938</v>
      </c>
    </row>
    <row r="1057" spans="26:69" hidden="1" x14ac:dyDescent="0.25">
      <c r="Z1057" s="7" t="s">
        <v>375</v>
      </c>
      <c r="AA1057" s="1">
        <v>0</v>
      </c>
      <c r="AI1057" s="7" t="s">
        <v>380</v>
      </c>
      <c r="AJ1057" s="40">
        <v>3</v>
      </c>
      <c r="AL1057" s="7" t="s">
        <v>381</v>
      </c>
      <c r="AM1057" s="27">
        <v>1</v>
      </c>
      <c r="AW1057" s="7" t="s">
        <v>438</v>
      </c>
      <c r="AX1057" s="27">
        <v>750</v>
      </c>
      <c r="BC1057" s="7" t="s">
        <v>418</v>
      </c>
      <c r="BD1057" s="27">
        <v>771</v>
      </c>
      <c r="BJ1057" s="7" t="s">
        <v>385</v>
      </c>
      <c r="BK1057" s="40">
        <v>42</v>
      </c>
      <c r="BL1057" s="40">
        <v>87</v>
      </c>
      <c r="BN1057" t="str">
        <f t="shared" si="95"/>
        <v>Buy.com / Rakuten</v>
      </c>
      <c r="BO1057">
        <f t="shared" si="92"/>
        <v>565</v>
      </c>
      <c r="BP1057">
        <f t="shared" si="93"/>
        <v>310</v>
      </c>
      <c r="BQ1057">
        <f t="shared" si="94"/>
        <v>875</v>
      </c>
    </row>
    <row r="1058" spans="26:69" hidden="1" x14ac:dyDescent="0.25">
      <c r="Z1058" s="7" t="s">
        <v>376</v>
      </c>
      <c r="AA1058" s="1">
        <v>0.08</v>
      </c>
      <c r="AI1058" s="7" t="s">
        <v>381</v>
      </c>
      <c r="AJ1058" s="40">
        <v>1</v>
      </c>
      <c r="AL1058" s="7" t="s">
        <v>382</v>
      </c>
      <c r="AM1058" s="27">
        <v>2</v>
      </c>
      <c r="AW1058" s="7" t="s">
        <v>440</v>
      </c>
      <c r="AX1058" s="27">
        <v>150</v>
      </c>
      <c r="BC1058" s="7" t="s">
        <v>419</v>
      </c>
      <c r="BD1058" s="27">
        <v>102</v>
      </c>
      <c r="BJ1058" s="7" t="s">
        <v>386</v>
      </c>
      <c r="BK1058" s="40">
        <v>32</v>
      </c>
      <c r="BL1058" s="40">
        <v>0</v>
      </c>
      <c r="BN1058" t="str">
        <f t="shared" si="95"/>
        <v>Buzzer</v>
      </c>
      <c r="BO1058">
        <f t="shared" si="92"/>
        <v>595</v>
      </c>
      <c r="BP1058">
        <f t="shared" si="93"/>
        <v>683</v>
      </c>
      <c r="BQ1058">
        <f t="shared" si="94"/>
        <v>1278</v>
      </c>
    </row>
    <row r="1059" spans="26:69" hidden="1" x14ac:dyDescent="0.25">
      <c r="Z1059" s="7" t="s">
        <v>377</v>
      </c>
      <c r="AA1059" s="1">
        <v>0</v>
      </c>
      <c r="AI1059" s="7" t="s">
        <v>382</v>
      </c>
      <c r="AJ1059" s="40">
        <v>2</v>
      </c>
      <c r="AL1059" s="7" t="s">
        <v>384</v>
      </c>
      <c r="AM1059" s="27">
        <v>1</v>
      </c>
      <c r="AW1059" s="7" t="s">
        <v>441</v>
      </c>
      <c r="AX1059" s="27">
        <v>685</v>
      </c>
      <c r="BC1059" s="7" t="s">
        <v>420</v>
      </c>
      <c r="BD1059" s="27">
        <v>1</v>
      </c>
      <c r="BJ1059" s="7" t="s">
        <v>387</v>
      </c>
      <c r="BK1059" s="40">
        <v>696</v>
      </c>
      <c r="BL1059" s="40">
        <v>180</v>
      </c>
      <c r="BN1059" t="str">
        <f t="shared" si="95"/>
        <v>BuzzFeed</v>
      </c>
      <c r="BO1059">
        <f t="shared" si="92"/>
        <v>128</v>
      </c>
      <c r="BP1059">
        <f t="shared" si="93"/>
        <v>169</v>
      </c>
      <c r="BQ1059">
        <f t="shared" si="94"/>
        <v>297</v>
      </c>
    </row>
    <row r="1060" spans="26:69" hidden="1" x14ac:dyDescent="0.25">
      <c r="Z1060" s="7" t="s">
        <v>378</v>
      </c>
      <c r="AA1060" s="1">
        <v>0.32</v>
      </c>
      <c r="AI1060" s="7" t="s">
        <v>384</v>
      </c>
      <c r="AJ1060" s="40">
        <v>1</v>
      </c>
      <c r="AL1060" s="7" t="s">
        <v>385</v>
      </c>
      <c r="AM1060" s="27">
        <v>1</v>
      </c>
      <c r="AW1060" s="7" t="s">
        <v>442</v>
      </c>
      <c r="AX1060" s="27">
        <v>44</v>
      </c>
      <c r="BC1060" s="7" t="s">
        <v>421</v>
      </c>
      <c r="BD1060" s="27">
        <v>372</v>
      </c>
      <c r="BJ1060" s="7" t="s">
        <v>388</v>
      </c>
      <c r="BK1060" s="40">
        <v>0</v>
      </c>
      <c r="BL1060" s="40">
        <v>25</v>
      </c>
      <c r="BN1060" t="str">
        <f t="shared" si="95"/>
        <v>BVAccel</v>
      </c>
      <c r="BO1060">
        <f t="shared" si="92"/>
        <v>742</v>
      </c>
      <c r="BP1060">
        <f t="shared" si="93"/>
        <v>554</v>
      </c>
      <c r="BQ1060">
        <f t="shared" si="94"/>
        <v>1296</v>
      </c>
    </row>
    <row r="1061" spans="26:69" hidden="1" x14ac:dyDescent="0.25">
      <c r="Z1061" s="7" t="s">
        <v>379</v>
      </c>
      <c r="AA1061" s="1">
        <v>0.3</v>
      </c>
      <c r="AI1061" s="7" t="s">
        <v>385</v>
      </c>
      <c r="AJ1061" s="40">
        <v>1</v>
      </c>
      <c r="AL1061" s="7" t="s">
        <v>386</v>
      </c>
      <c r="AM1061" s="27">
        <v>1</v>
      </c>
      <c r="AW1061" s="7" t="s">
        <v>445</v>
      </c>
      <c r="AX1061" s="27">
        <v>142</v>
      </c>
      <c r="BC1061" s="7" t="s">
        <v>422</v>
      </c>
      <c r="BD1061" s="27">
        <v>1300</v>
      </c>
      <c r="BJ1061" s="7" t="s">
        <v>390</v>
      </c>
      <c r="BK1061" s="40">
        <v>0</v>
      </c>
      <c r="BL1061" s="40">
        <v>600</v>
      </c>
      <c r="BN1061" t="str">
        <f t="shared" si="95"/>
        <v>Bybit</v>
      </c>
      <c r="BO1061">
        <f t="shared" si="92"/>
        <v>742</v>
      </c>
      <c r="BP1061">
        <f t="shared" si="93"/>
        <v>55</v>
      </c>
      <c r="BQ1061">
        <f t="shared" si="94"/>
        <v>797</v>
      </c>
    </row>
    <row r="1062" spans="26:69" x14ac:dyDescent="0.25">
      <c r="Z1062" s="7" t="s">
        <v>380</v>
      </c>
      <c r="AA1062" s="1">
        <v>0.08</v>
      </c>
      <c r="AI1062" s="7" t="s">
        <v>386</v>
      </c>
      <c r="AJ1062" s="40">
        <v>1</v>
      </c>
      <c r="AL1062" s="7" t="s">
        <v>387</v>
      </c>
      <c r="AM1062" s="27">
        <v>1</v>
      </c>
      <c r="AW1062" s="7" t="s">
        <v>446</v>
      </c>
      <c r="AX1062" s="27">
        <v>100</v>
      </c>
      <c r="BC1062" s="7" t="s">
        <v>424</v>
      </c>
      <c r="BD1062" s="27">
        <v>607</v>
      </c>
      <c r="BJ1062" s="7" t="s">
        <v>391</v>
      </c>
      <c r="BK1062" s="40">
        <v>11000</v>
      </c>
      <c r="BL1062" s="40">
        <v>4000</v>
      </c>
      <c r="BN1062" t="str">
        <f t="shared" si="95"/>
        <v>Byju's</v>
      </c>
      <c r="BO1062">
        <f t="shared" si="92"/>
        <v>6</v>
      </c>
      <c r="BP1062">
        <f t="shared" si="93"/>
        <v>7</v>
      </c>
      <c r="BQ1062">
        <f t="shared" si="94"/>
        <v>13</v>
      </c>
    </row>
    <row r="1063" spans="26:69" x14ac:dyDescent="0.25">
      <c r="Z1063" s="7" t="s">
        <v>381</v>
      </c>
      <c r="AA1063" s="1">
        <v>1</v>
      </c>
      <c r="AI1063" s="7" t="s">
        <v>387</v>
      </c>
      <c r="AJ1063" s="40">
        <v>1</v>
      </c>
      <c r="AL1063" s="7" t="s">
        <v>388</v>
      </c>
      <c r="AM1063" s="27">
        <v>1</v>
      </c>
      <c r="AW1063" s="7" t="s">
        <v>447</v>
      </c>
      <c r="AX1063" s="27">
        <v>100</v>
      </c>
      <c r="BC1063" s="7" t="s">
        <v>427</v>
      </c>
      <c r="BD1063" s="27">
        <v>1547</v>
      </c>
      <c r="BJ1063" s="7" t="s">
        <v>392</v>
      </c>
      <c r="BK1063" s="40">
        <v>35600</v>
      </c>
      <c r="BL1063" s="40">
        <v>3750</v>
      </c>
      <c r="BN1063" t="str">
        <f t="shared" si="95"/>
        <v>Bytedance</v>
      </c>
      <c r="BO1063">
        <f t="shared" si="92"/>
        <v>1</v>
      </c>
      <c r="BP1063">
        <f t="shared" si="93"/>
        <v>12</v>
      </c>
      <c r="BQ1063">
        <f t="shared" si="94"/>
        <v>13</v>
      </c>
    </row>
    <row r="1064" spans="26:69" hidden="1" x14ac:dyDescent="0.25">
      <c r="Z1064" s="7" t="s">
        <v>382</v>
      </c>
      <c r="AA1064" s="1">
        <v>0.25</v>
      </c>
      <c r="AI1064" s="7" t="s">
        <v>388</v>
      </c>
      <c r="AJ1064" s="40">
        <v>1</v>
      </c>
      <c r="AL1064" s="7" t="s">
        <v>390</v>
      </c>
      <c r="AM1064" s="27">
        <v>2</v>
      </c>
      <c r="AW1064" s="7" t="s">
        <v>448</v>
      </c>
      <c r="AX1064" s="27">
        <v>64</v>
      </c>
      <c r="BC1064" s="7" t="s">
        <v>428</v>
      </c>
      <c r="BD1064" s="27">
        <v>3200</v>
      </c>
      <c r="BJ1064" s="7" t="s">
        <v>394</v>
      </c>
      <c r="BK1064" s="40">
        <v>537</v>
      </c>
      <c r="BL1064" s="40">
        <v>20</v>
      </c>
      <c r="BN1064" t="str">
        <f t="shared" si="95"/>
        <v>C2FO</v>
      </c>
      <c r="BO1064">
        <f t="shared" si="92"/>
        <v>157</v>
      </c>
      <c r="BP1064">
        <f t="shared" si="93"/>
        <v>588</v>
      </c>
      <c r="BQ1064">
        <f t="shared" si="94"/>
        <v>745</v>
      </c>
    </row>
    <row r="1065" spans="26:69" hidden="1" x14ac:dyDescent="0.25">
      <c r="Z1065" s="7" t="s">
        <v>384</v>
      </c>
      <c r="AA1065" s="1">
        <v>0.35</v>
      </c>
      <c r="AI1065" s="7" t="s">
        <v>390</v>
      </c>
      <c r="AJ1065" s="40">
        <v>2</v>
      </c>
      <c r="AL1065" s="7" t="s">
        <v>391</v>
      </c>
      <c r="AM1065" s="27">
        <v>2</v>
      </c>
      <c r="AW1065" s="7" t="s">
        <v>449</v>
      </c>
      <c r="AX1065" s="27">
        <v>29</v>
      </c>
      <c r="BC1065" s="7" t="s">
        <v>429</v>
      </c>
      <c r="BD1065" s="27">
        <v>157</v>
      </c>
      <c r="BJ1065" s="7" t="s">
        <v>397</v>
      </c>
      <c r="BK1065" s="40">
        <v>0</v>
      </c>
      <c r="BL1065" s="40">
        <v>60</v>
      </c>
      <c r="BN1065" t="str">
        <f t="shared" si="95"/>
        <v>C6 Bank</v>
      </c>
      <c r="BO1065">
        <f t="shared" si="92"/>
        <v>742</v>
      </c>
      <c r="BP1065">
        <f t="shared" si="93"/>
        <v>378</v>
      </c>
      <c r="BQ1065">
        <f t="shared" si="94"/>
        <v>1120</v>
      </c>
    </row>
    <row r="1066" spans="26:69" hidden="1" x14ac:dyDescent="0.25">
      <c r="Z1066" s="7" t="s">
        <v>385</v>
      </c>
      <c r="AA1066" s="1">
        <v>1</v>
      </c>
      <c r="AI1066" s="7" t="s">
        <v>391</v>
      </c>
      <c r="AJ1066" s="40">
        <v>2</v>
      </c>
      <c r="AL1066" s="7" t="s">
        <v>392</v>
      </c>
      <c r="AM1066" s="27">
        <v>4</v>
      </c>
      <c r="AW1066" s="7" t="s">
        <v>450</v>
      </c>
      <c r="AX1066" s="27">
        <v>58</v>
      </c>
      <c r="BC1066" s="7" t="s">
        <v>430</v>
      </c>
      <c r="BD1066" s="27">
        <v>708</v>
      </c>
      <c r="BJ1066" s="7" t="s">
        <v>398</v>
      </c>
      <c r="BK1066" s="40">
        <v>3</v>
      </c>
      <c r="BL1066" s="40">
        <v>0</v>
      </c>
      <c r="BN1066" t="str">
        <f t="shared" si="95"/>
        <v>Cabin</v>
      </c>
      <c r="BO1066">
        <f t="shared" si="92"/>
        <v>719</v>
      </c>
      <c r="BP1066">
        <f t="shared" si="93"/>
        <v>683</v>
      </c>
      <c r="BQ1066">
        <f t="shared" si="94"/>
        <v>1402</v>
      </c>
    </row>
    <row r="1067" spans="26:69" hidden="1" x14ac:dyDescent="0.25">
      <c r="Z1067" s="7" t="s">
        <v>386</v>
      </c>
      <c r="AA1067" s="1">
        <v>0.2</v>
      </c>
      <c r="AI1067" s="7" t="s">
        <v>392</v>
      </c>
      <c r="AJ1067" s="40">
        <v>4</v>
      </c>
      <c r="AL1067" s="7" t="s">
        <v>394</v>
      </c>
      <c r="AM1067" s="27">
        <v>1</v>
      </c>
      <c r="AW1067" s="7" t="s">
        <v>451</v>
      </c>
      <c r="AX1067" s="27">
        <v>156</v>
      </c>
      <c r="BC1067" s="7" t="s">
        <v>433</v>
      </c>
      <c r="BD1067" s="27">
        <v>41</v>
      </c>
      <c r="BJ1067" s="7" t="s">
        <v>399</v>
      </c>
      <c r="BK1067" s="40">
        <v>133</v>
      </c>
      <c r="BL1067" s="40">
        <v>28</v>
      </c>
      <c r="BN1067" t="str">
        <f t="shared" si="95"/>
        <v>Cadre</v>
      </c>
      <c r="BO1067">
        <f t="shared" si="92"/>
        <v>391</v>
      </c>
      <c r="BP1067">
        <f t="shared" si="93"/>
        <v>544</v>
      </c>
      <c r="BQ1067">
        <f t="shared" si="94"/>
        <v>935</v>
      </c>
    </row>
    <row r="1068" spans="26:69" hidden="1" x14ac:dyDescent="0.25">
      <c r="Z1068" s="7" t="s">
        <v>387</v>
      </c>
      <c r="AA1068" s="1">
        <v>0.12</v>
      </c>
      <c r="AI1068" s="7" t="s">
        <v>394</v>
      </c>
      <c r="AJ1068" s="40">
        <v>1</v>
      </c>
      <c r="AL1068" s="7" t="s">
        <v>397</v>
      </c>
      <c r="AM1068" s="27">
        <v>1</v>
      </c>
      <c r="AW1068" s="7" t="s">
        <v>452</v>
      </c>
      <c r="AX1068" s="27">
        <v>150</v>
      </c>
      <c r="BC1068" s="7" t="s">
        <v>434</v>
      </c>
      <c r="BD1068" s="27">
        <v>339</v>
      </c>
      <c r="BJ1068" s="7" t="s">
        <v>400</v>
      </c>
      <c r="BK1068" s="40">
        <v>127</v>
      </c>
      <c r="BL1068" s="40">
        <v>156</v>
      </c>
      <c r="BN1068" t="str">
        <f t="shared" si="95"/>
        <v>Calibrate</v>
      </c>
      <c r="BO1068">
        <f t="shared" si="92"/>
        <v>399</v>
      </c>
      <c r="BP1068">
        <f t="shared" si="93"/>
        <v>189</v>
      </c>
      <c r="BQ1068">
        <f t="shared" si="94"/>
        <v>588</v>
      </c>
    </row>
    <row r="1069" spans="26:69" hidden="1" x14ac:dyDescent="0.25">
      <c r="Z1069" s="7" t="s">
        <v>388</v>
      </c>
      <c r="AA1069" s="1">
        <v>0.25</v>
      </c>
      <c r="AI1069" s="7" t="s">
        <v>397</v>
      </c>
      <c r="AJ1069" s="40">
        <v>1</v>
      </c>
      <c r="AL1069" s="7" t="s">
        <v>398</v>
      </c>
      <c r="AM1069" s="27">
        <v>1</v>
      </c>
      <c r="AW1069" s="7" t="s">
        <v>453</v>
      </c>
      <c r="AX1069" s="27">
        <v>65</v>
      </c>
      <c r="BC1069" s="7" t="s">
        <v>435</v>
      </c>
      <c r="BD1069" s="27">
        <v>184</v>
      </c>
      <c r="BJ1069" s="7" t="s">
        <v>401</v>
      </c>
      <c r="BK1069" s="40">
        <v>75</v>
      </c>
      <c r="BL1069" s="40">
        <v>20</v>
      </c>
      <c r="BN1069" t="str">
        <f t="shared" si="95"/>
        <v>Caliva</v>
      </c>
      <c r="BO1069">
        <f t="shared" si="92"/>
        <v>485</v>
      </c>
      <c r="BP1069">
        <f t="shared" si="93"/>
        <v>588</v>
      </c>
      <c r="BQ1069">
        <f t="shared" si="94"/>
        <v>1073</v>
      </c>
    </row>
    <row r="1070" spans="26:69" hidden="1" x14ac:dyDescent="0.25">
      <c r="Z1070" s="7" t="s">
        <v>390</v>
      </c>
      <c r="AA1070" s="1">
        <v>0.3</v>
      </c>
      <c r="AI1070" s="7" t="s">
        <v>398</v>
      </c>
      <c r="AJ1070" s="40">
        <v>1</v>
      </c>
      <c r="AL1070" s="7" t="s">
        <v>399</v>
      </c>
      <c r="AM1070" s="27">
        <v>1</v>
      </c>
      <c r="AW1070" s="7" t="s">
        <v>454</v>
      </c>
      <c r="AX1070" s="27">
        <v>140</v>
      </c>
      <c r="BC1070" s="7" t="s">
        <v>436</v>
      </c>
      <c r="BD1070" s="27">
        <v>110</v>
      </c>
      <c r="BJ1070" s="7" t="s">
        <v>402</v>
      </c>
      <c r="BK1070" s="40">
        <v>0</v>
      </c>
      <c r="BL1070" s="40">
        <v>140</v>
      </c>
      <c r="BN1070" t="str">
        <f t="shared" si="95"/>
        <v>Callisto Media</v>
      </c>
      <c r="BO1070">
        <f t="shared" si="92"/>
        <v>742</v>
      </c>
      <c r="BP1070">
        <f t="shared" si="93"/>
        <v>212</v>
      </c>
      <c r="BQ1070">
        <f t="shared" si="94"/>
        <v>954</v>
      </c>
    </row>
    <row r="1071" spans="26:69" hidden="1" x14ac:dyDescent="0.25">
      <c r="Z1071" s="7" t="s">
        <v>391</v>
      </c>
      <c r="AA1071" s="1">
        <v>0.05</v>
      </c>
      <c r="AI1071" s="7" t="s">
        <v>399</v>
      </c>
      <c r="AJ1071" s="40">
        <v>1</v>
      </c>
      <c r="AL1071" s="7" t="s">
        <v>400</v>
      </c>
      <c r="AM1071" s="27">
        <v>1</v>
      </c>
      <c r="AW1071" s="7" t="s">
        <v>455</v>
      </c>
      <c r="AX1071" s="27">
        <v>145</v>
      </c>
      <c r="BC1071" s="7" t="s">
        <v>437</v>
      </c>
      <c r="BD1071" s="27">
        <v>80</v>
      </c>
      <c r="BJ1071" s="7" t="s">
        <v>403</v>
      </c>
      <c r="BK1071" s="40">
        <v>218</v>
      </c>
      <c r="BL1071" s="40">
        <v>90</v>
      </c>
      <c r="BN1071" t="str">
        <f t="shared" si="95"/>
        <v>Calm</v>
      </c>
      <c r="BO1071">
        <f t="shared" si="92"/>
        <v>306</v>
      </c>
      <c r="BP1071">
        <f t="shared" si="93"/>
        <v>298</v>
      </c>
      <c r="BQ1071">
        <f t="shared" si="94"/>
        <v>604</v>
      </c>
    </row>
    <row r="1072" spans="26:69" hidden="1" x14ac:dyDescent="0.25">
      <c r="Z1072" s="7" t="s">
        <v>392</v>
      </c>
      <c r="AA1072" s="1">
        <v>0.1</v>
      </c>
      <c r="AI1072" s="7" t="s">
        <v>400</v>
      </c>
      <c r="AJ1072" s="40">
        <v>1</v>
      </c>
      <c r="AL1072" s="7" t="s">
        <v>401</v>
      </c>
      <c r="AM1072" s="27">
        <v>1</v>
      </c>
      <c r="AW1072" s="7" t="s">
        <v>457</v>
      </c>
      <c r="AX1072" s="27">
        <v>100</v>
      </c>
      <c r="BC1072" s="7" t="s">
        <v>438</v>
      </c>
      <c r="BD1072" s="27">
        <v>2000</v>
      </c>
      <c r="BJ1072" s="7" t="s">
        <v>404</v>
      </c>
      <c r="BK1072" s="40">
        <v>330</v>
      </c>
      <c r="BL1072" s="40">
        <v>167</v>
      </c>
      <c r="BN1072" t="str">
        <f t="shared" si="95"/>
        <v>Cameo</v>
      </c>
      <c r="BO1072">
        <f t="shared" si="92"/>
        <v>228</v>
      </c>
      <c r="BP1072">
        <f t="shared" si="93"/>
        <v>180</v>
      </c>
      <c r="BQ1072">
        <f t="shared" si="94"/>
        <v>408</v>
      </c>
    </row>
    <row r="1073" spans="26:69" hidden="1" x14ac:dyDescent="0.25">
      <c r="Z1073" s="7" t="s">
        <v>394</v>
      </c>
      <c r="AA1073" s="1">
        <v>0.02</v>
      </c>
      <c r="AI1073" s="7" t="s">
        <v>401</v>
      </c>
      <c r="AJ1073" s="40">
        <v>1</v>
      </c>
      <c r="AL1073" s="7" t="s">
        <v>402</v>
      </c>
      <c r="AM1073" s="27">
        <v>2</v>
      </c>
      <c r="AW1073" s="7" t="s">
        <v>460</v>
      </c>
      <c r="AX1073" s="27">
        <v>4100</v>
      </c>
      <c r="BC1073" s="7" t="s">
        <v>439</v>
      </c>
      <c r="BD1073" s="27">
        <v>351</v>
      </c>
      <c r="BJ1073" s="7" t="s">
        <v>405</v>
      </c>
      <c r="BK1073" s="40">
        <v>16</v>
      </c>
      <c r="BL1073" s="40">
        <v>0</v>
      </c>
      <c r="BN1073" t="str">
        <f t="shared" si="95"/>
        <v>Camp K12</v>
      </c>
      <c r="BO1073">
        <f t="shared" si="92"/>
        <v>659</v>
      </c>
      <c r="BP1073">
        <f t="shared" si="93"/>
        <v>683</v>
      </c>
      <c r="BQ1073">
        <f t="shared" si="94"/>
        <v>1342</v>
      </c>
    </row>
    <row r="1074" spans="26:69" hidden="1" x14ac:dyDescent="0.25">
      <c r="Z1074" s="7" t="s">
        <v>397</v>
      </c>
      <c r="AA1074" s="1">
        <v>0.06</v>
      </c>
      <c r="AI1074" s="7" t="s">
        <v>402</v>
      </c>
      <c r="AJ1074" s="40">
        <v>2</v>
      </c>
      <c r="AL1074" s="7" t="s">
        <v>403</v>
      </c>
      <c r="AM1074" s="27">
        <v>1</v>
      </c>
      <c r="AW1074" s="7" t="s">
        <v>461</v>
      </c>
      <c r="AX1074" s="27">
        <v>33</v>
      </c>
      <c r="BC1074" s="7" t="s">
        <v>440</v>
      </c>
      <c r="BD1074" s="27">
        <v>864</v>
      </c>
      <c r="BJ1074" s="7" t="s">
        <v>407</v>
      </c>
      <c r="BK1074" s="40">
        <v>100</v>
      </c>
      <c r="BL1074" s="40">
        <v>33</v>
      </c>
      <c r="BN1074" t="str">
        <f t="shared" si="95"/>
        <v>Candy Digital</v>
      </c>
      <c r="BO1074">
        <f t="shared" si="92"/>
        <v>439</v>
      </c>
      <c r="BP1074">
        <f t="shared" si="93"/>
        <v>503</v>
      </c>
      <c r="BQ1074">
        <f t="shared" si="94"/>
        <v>942</v>
      </c>
    </row>
    <row r="1075" spans="26:69" hidden="1" x14ac:dyDescent="0.25">
      <c r="Z1075" s="7" t="s">
        <v>398</v>
      </c>
      <c r="AA1075" s="1">
        <v>0.2</v>
      </c>
      <c r="AI1075" s="7" t="s">
        <v>403</v>
      </c>
      <c r="AJ1075" s="40">
        <v>1</v>
      </c>
      <c r="AL1075" s="7" t="s">
        <v>404</v>
      </c>
      <c r="AM1075" s="27">
        <v>2</v>
      </c>
      <c r="AW1075" s="7" t="s">
        <v>462</v>
      </c>
      <c r="AX1075" s="27">
        <v>22</v>
      </c>
      <c r="BC1075" s="7" t="s">
        <v>441</v>
      </c>
      <c r="BD1075" s="27">
        <v>924</v>
      </c>
      <c r="BJ1075" s="7" t="s">
        <v>408</v>
      </c>
      <c r="BK1075" s="40">
        <v>300</v>
      </c>
      <c r="BL1075" s="40">
        <v>58</v>
      </c>
      <c r="BN1075" t="str">
        <f t="shared" si="95"/>
        <v>Canoo</v>
      </c>
      <c r="BO1075">
        <f t="shared" si="92"/>
        <v>243</v>
      </c>
      <c r="BP1075">
        <f t="shared" si="93"/>
        <v>396</v>
      </c>
      <c r="BQ1075">
        <f t="shared" si="94"/>
        <v>639</v>
      </c>
    </row>
    <row r="1076" spans="26:69" hidden="1" x14ac:dyDescent="0.25">
      <c r="Z1076" s="7" t="s">
        <v>399</v>
      </c>
      <c r="AA1076" s="1">
        <v>0.25</v>
      </c>
      <c r="AI1076" s="7" t="s">
        <v>404</v>
      </c>
      <c r="AJ1076" s="40">
        <v>2</v>
      </c>
      <c r="AL1076" s="7" t="s">
        <v>405</v>
      </c>
      <c r="AM1076" s="27">
        <v>1</v>
      </c>
      <c r="AW1076" s="7" t="s">
        <v>464</v>
      </c>
      <c r="AX1076" s="27">
        <v>191</v>
      </c>
      <c r="BC1076" s="7" t="s">
        <v>442</v>
      </c>
      <c r="BD1076" s="27">
        <v>536</v>
      </c>
      <c r="BJ1076" s="7" t="s">
        <v>409</v>
      </c>
      <c r="BK1076" s="40">
        <v>0</v>
      </c>
      <c r="BL1076" s="40">
        <v>1100</v>
      </c>
      <c r="BN1076" t="str">
        <f t="shared" si="95"/>
        <v>Capital One</v>
      </c>
      <c r="BO1076">
        <f t="shared" si="92"/>
        <v>742</v>
      </c>
      <c r="BP1076">
        <f t="shared" si="93"/>
        <v>26</v>
      </c>
      <c r="BQ1076">
        <f t="shared" si="94"/>
        <v>768</v>
      </c>
    </row>
    <row r="1077" spans="26:69" hidden="1" x14ac:dyDescent="0.25">
      <c r="Z1077" s="7" t="s">
        <v>400</v>
      </c>
      <c r="AA1077" s="1">
        <v>0.24</v>
      </c>
      <c r="AI1077" s="7" t="s">
        <v>405</v>
      </c>
      <c r="AJ1077" s="40">
        <v>1</v>
      </c>
      <c r="AL1077" s="7" t="s">
        <v>407</v>
      </c>
      <c r="AM1077" s="27">
        <v>1</v>
      </c>
      <c r="AW1077" s="7" t="s">
        <v>465</v>
      </c>
      <c r="AX1077" s="27">
        <v>65</v>
      </c>
      <c r="BC1077" s="7" t="s">
        <v>443</v>
      </c>
      <c r="BD1077" s="27">
        <v>22</v>
      </c>
      <c r="BJ1077" s="7" t="s">
        <v>410</v>
      </c>
      <c r="BK1077" s="40">
        <v>562</v>
      </c>
      <c r="BL1077" s="40">
        <v>37</v>
      </c>
      <c r="BN1077" t="str">
        <f t="shared" si="95"/>
        <v>Capitolis</v>
      </c>
      <c r="BO1077">
        <f t="shared" si="92"/>
        <v>148</v>
      </c>
      <c r="BP1077">
        <f t="shared" si="93"/>
        <v>488</v>
      </c>
      <c r="BQ1077">
        <f t="shared" si="94"/>
        <v>636</v>
      </c>
    </row>
    <row r="1078" spans="26:69" hidden="1" x14ac:dyDescent="0.25">
      <c r="Z1078" s="7" t="s">
        <v>401</v>
      </c>
      <c r="AA1078" s="1">
        <v>0</v>
      </c>
      <c r="AI1078" s="7" t="s">
        <v>407</v>
      </c>
      <c r="AJ1078" s="40">
        <v>1</v>
      </c>
      <c r="AL1078" s="7" t="s">
        <v>408</v>
      </c>
      <c r="AM1078" s="27">
        <v>1</v>
      </c>
      <c r="AW1078" s="7" t="s">
        <v>466</v>
      </c>
      <c r="AX1078" s="27">
        <v>15</v>
      </c>
      <c r="BC1078" s="7" t="s">
        <v>444</v>
      </c>
      <c r="BD1078" s="27">
        <v>72</v>
      </c>
      <c r="BJ1078" s="7" t="s">
        <v>411</v>
      </c>
      <c r="BK1078" s="40">
        <v>570</v>
      </c>
      <c r="BL1078" s="40">
        <v>0</v>
      </c>
      <c r="BN1078" t="str">
        <f t="shared" si="95"/>
        <v>Capsule</v>
      </c>
      <c r="BO1078">
        <f t="shared" si="92"/>
        <v>145</v>
      </c>
      <c r="BP1078">
        <f t="shared" si="93"/>
        <v>683</v>
      </c>
      <c r="BQ1078">
        <f t="shared" si="94"/>
        <v>828</v>
      </c>
    </row>
    <row r="1079" spans="26:69" hidden="1" x14ac:dyDescent="0.25">
      <c r="Z1079" s="7" t="s">
        <v>402</v>
      </c>
      <c r="AA1079" s="1">
        <v>0.35</v>
      </c>
      <c r="AI1079" s="7" t="s">
        <v>408</v>
      </c>
      <c r="AJ1079" s="40">
        <v>1</v>
      </c>
      <c r="AL1079" s="7" t="s">
        <v>409</v>
      </c>
      <c r="AM1079" s="27">
        <v>1</v>
      </c>
      <c r="AW1079" s="7" t="s">
        <v>467</v>
      </c>
      <c r="AX1079" s="27">
        <v>154</v>
      </c>
      <c r="BC1079" s="7" t="s">
        <v>445</v>
      </c>
      <c r="BD1079" s="27">
        <v>468</v>
      </c>
      <c r="BJ1079" s="7" t="s">
        <v>412</v>
      </c>
      <c r="BK1079" s="40">
        <v>126</v>
      </c>
      <c r="BL1079" s="40">
        <v>120</v>
      </c>
      <c r="BN1079" t="str">
        <f t="shared" si="95"/>
        <v>Captain Fresh</v>
      </c>
      <c r="BO1079">
        <f t="shared" si="92"/>
        <v>401</v>
      </c>
      <c r="BP1079">
        <f t="shared" si="93"/>
        <v>238</v>
      </c>
      <c r="BQ1079">
        <f t="shared" si="94"/>
        <v>639</v>
      </c>
    </row>
    <row r="1080" spans="26:69" hidden="1" x14ac:dyDescent="0.25">
      <c r="Z1080" s="7" t="s">
        <v>403</v>
      </c>
      <c r="AA1080" s="1">
        <v>0.2</v>
      </c>
      <c r="AI1080" s="7" t="s">
        <v>409</v>
      </c>
      <c r="AJ1080" s="40">
        <v>1</v>
      </c>
      <c r="AL1080" s="7" t="s">
        <v>410</v>
      </c>
      <c r="AM1080" s="27">
        <v>2</v>
      </c>
      <c r="AW1080" s="7" t="s">
        <v>469</v>
      </c>
      <c r="AX1080" s="27">
        <v>190</v>
      </c>
      <c r="BC1080" s="7" t="s">
        <v>446</v>
      </c>
      <c r="BD1080" s="27">
        <v>92</v>
      </c>
      <c r="BJ1080" s="7" t="s">
        <v>413</v>
      </c>
      <c r="BK1080" s="40">
        <v>164</v>
      </c>
      <c r="BL1080" s="40">
        <v>31</v>
      </c>
      <c r="BN1080" t="str">
        <f t="shared" si="95"/>
        <v>CaptivateIQ</v>
      </c>
      <c r="BO1080">
        <f t="shared" si="92"/>
        <v>359</v>
      </c>
      <c r="BP1080">
        <f t="shared" si="93"/>
        <v>508</v>
      </c>
      <c r="BQ1080">
        <f t="shared" si="94"/>
        <v>867</v>
      </c>
    </row>
    <row r="1081" spans="26:69" hidden="1" x14ac:dyDescent="0.25">
      <c r="Z1081" s="7" t="s">
        <v>404</v>
      </c>
      <c r="AA1081" s="1">
        <v>0.25</v>
      </c>
      <c r="AI1081" s="7" t="s">
        <v>410</v>
      </c>
      <c r="AJ1081" s="40">
        <v>2</v>
      </c>
      <c r="AL1081" s="7" t="s">
        <v>411</v>
      </c>
      <c r="AM1081" s="27">
        <v>1</v>
      </c>
      <c r="AW1081" s="7" t="s">
        <v>470</v>
      </c>
      <c r="AX1081" s="27">
        <v>628</v>
      </c>
      <c r="BC1081" s="7" t="s">
        <v>447</v>
      </c>
      <c r="BD1081" s="27">
        <v>1800</v>
      </c>
      <c r="BJ1081" s="7" t="s">
        <v>414</v>
      </c>
      <c r="BK1081" s="40">
        <v>1044</v>
      </c>
      <c r="BL1081" s="40">
        <v>450</v>
      </c>
      <c r="BN1081" t="str">
        <f t="shared" si="95"/>
        <v>Carbon Health</v>
      </c>
      <c r="BO1081">
        <f t="shared" si="92"/>
        <v>85</v>
      </c>
      <c r="BP1081">
        <f t="shared" si="93"/>
        <v>78</v>
      </c>
      <c r="BQ1081">
        <f t="shared" si="94"/>
        <v>163</v>
      </c>
    </row>
    <row r="1082" spans="26:69" hidden="1" x14ac:dyDescent="0.25">
      <c r="Z1082" s="7" t="s">
        <v>405</v>
      </c>
      <c r="AA1082" s="1">
        <v>0.7</v>
      </c>
      <c r="AI1082" s="7" t="s">
        <v>411</v>
      </c>
      <c r="AJ1082" s="40">
        <v>1</v>
      </c>
      <c r="AL1082" s="7" t="s">
        <v>412</v>
      </c>
      <c r="AM1082" s="27">
        <v>1</v>
      </c>
      <c r="AW1082" s="7" t="s">
        <v>472</v>
      </c>
      <c r="AX1082" s="27">
        <v>17</v>
      </c>
      <c r="BC1082" s="7" t="s">
        <v>448</v>
      </c>
      <c r="BD1082" s="27">
        <v>309</v>
      </c>
      <c r="BJ1082" s="7" t="s">
        <v>415</v>
      </c>
      <c r="BK1082" s="40">
        <v>247</v>
      </c>
      <c r="BL1082" s="40">
        <v>200</v>
      </c>
      <c r="BN1082" t="str">
        <f t="shared" si="95"/>
        <v>CarDekho</v>
      </c>
      <c r="BO1082">
        <f t="shared" si="92"/>
        <v>277</v>
      </c>
      <c r="BP1082">
        <f t="shared" si="93"/>
        <v>147</v>
      </c>
      <c r="BQ1082">
        <f t="shared" si="94"/>
        <v>424</v>
      </c>
    </row>
    <row r="1083" spans="26:69" hidden="1" x14ac:dyDescent="0.25">
      <c r="Z1083" s="7" t="s">
        <v>407</v>
      </c>
      <c r="AA1083" s="1">
        <v>0.33</v>
      </c>
      <c r="AI1083" s="7" t="s">
        <v>412</v>
      </c>
      <c r="AJ1083" s="40">
        <v>1</v>
      </c>
      <c r="AL1083" s="7" t="s">
        <v>413</v>
      </c>
      <c r="AM1083" s="27">
        <v>1</v>
      </c>
      <c r="AW1083" s="7" t="s">
        <v>473</v>
      </c>
      <c r="AX1083" s="27">
        <v>235</v>
      </c>
      <c r="BC1083" s="7" t="s">
        <v>450</v>
      </c>
      <c r="BD1083" s="27">
        <v>54</v>
      </c>
      <c r="BJ1083" s="7" t="s">
        <v>416</v>
      </c>
      <c r="BK1083" s="40">
        <v>212</v>
      </c>
      <c r="BL1083" s="40">
        <v>51</v>
      </c>
      <c r="BN1083" t="str">
        <f t="shared" si="95"/>
        <v>Cardlytics</v>
      </c>
      <c r="BO1083">
        <f t="shared" si="92"/>
        <v>310</v>
      </c>
      <c r="BP1083">
        <f t="shared" si="93"/>
        <v>408</v>
      </c>
      <c r="BQ1083">
        <f t="shared" si="94"/>
        <v>718</v>
      </c>
    </row>
    <row r="1084" spans="26:69" hidden="1" x14ac:dyDescent="0.25">
      <c r="Z1084" s="7" t="s">
        <v>408</v>
      </c>
      <c r="AA1084" s="1">
        <v>0.06</v>
      </c>
      <c r="AI1084" s="7" t="s">
        <v>413</v>
      </c>
      <c r="AJ1084" s="40">
        <v>1</v>
      </c>
      <c r="AL1084" s="7" t="s">
        <v>414</v>
      </c>
      <c r="AM1084" s="27">
        <v>2</v>
      </c>
      <c r="AW1084" s="7" t="s">
        <v>476</v>
      </c>
      <c r="AX1084" s="27">
        <v>60</v>
      </c>
      <c r="BC1084" s="7" t="s">
        <v>451</v>
      </c>
      <c r="BD1084" s="27">
        <v>2300</v>
      </c>
      <c r="BJ1084" s="7" t="s">
        <v>417</v>
      </c>
      <c r="BK1084" s="40">
        <v>156</v>
      </c>
      <c r="BL1084" s="40">
        <v>81</v>
      </c>
      <c r="BN1084" t="str">
        <f t="shared" si="95"/>
        <v>Care.com</v>
      </c>
      <c r="BO1084">
        <f t="shared" si="92"/>
        <v>369</v>
      </c>
      <c r="BP1084">
        <f t="shared" si="93"/>
        <v>321</v>
      </c>
      <c r="BQ1084">
        <f t="shared" si="94"/>
        <v>690</v>
      </c>
    </row>
    <row r="1085" spans="26:69" hidden="1" x14ac:dyDescent="0.25">
      <c r="Z1085" s="7" t="s">
        <v>409</v>
      </c>
      <c r="AA1085" s="1">
        <v>0</v>
      </c>
      <c r="AI1085" s="7" t="s">
        <v>414</v>
      </c>
      <c r="AJ1085" s="40">
        <v>2</v>
      </c>
      <c r="AL1085" s="7" t="s">
        <v>415</v>
      </c>
      <c r="AM1085" s="27">
        <v>1</v>
      </c>
      <c r="AW1085" s="7" t="s">
        <v>477</v>
      </c>
      <c r="AX1085" s="27">
        <v>60</v>
      </c>
      <c r="BC1085" s="7" t="s">
        <v>452</v>
      </c>
      <c r="BD1085" s="27">
        <v>604</v>
      </c>
      <c r="BJ1085" s="7" t="s">
        <v>418</v>
      </c>
      <c r="BK1085" s="40">
        <v>771</v>
      </c>
      <c r="BL1085" s="40">
        <v>536</v>
      </c>
      <c r="BN1085" t="str">
        <f t="shared" si="95"/>
        <v>Careem</v>
      </c>
      <c r="BO1085">
        <f t="shared" si="92"/>
        <v>111</v>
      </c>
      <c r="BP1085">
        <f t="shared" si="93"/>
        <v>64</v>
      </c>
      <c r="BQ1085">
        <f t="shared" si="94"/>
        <v>175</v>
      </c>
    </row>
    <row r="1086" spans="26:69" hidden="1" x14ac:dyDescent="0.25">
      <c r="Z1086" s="7" t="s">
        <v>410</v>
      </c>
      <c r="AA1086" s="1">
        <v>0.25</v>
      </c>
      <c r="AI1086" s="7" t="s">
        <v>415</v>
      </c>
      <c r="AJ1086" s="40">
        <v>1</v>
      </c>
      <c r="AL1086" s="7" t="s">
        <v>416</v>
      </c>
      <c r="AM1086" s="27">
        <v>1</v>
      </c>
      <c r="AW1086" s="7" t="s">
        <v>478</v>
      </c>
      <c r="AX1086" s="27">
        <v>40</v>
      </c>
      <c r="BC1086" s="7" t="s">
        <v>453</v>
      </c>
      <c r="BD1086" s="27">
        <v>50</v>
      </c>
      <c r="BJ1086" s="7" t="s">
        <v>419</v>
      </c>
      <c r="BK1086" s="40">
        <v>102</v>
      </c>
      <c r="BL1086" s="40">
        <v>82</v>
      </c>
      <c r="BN1086" t="str">
        <f t="shared" si="95"/>
        <v>Career Karma</v>
      </c>
      <c r="BO1086">
        <f t="shared" si="92"/>
        <v>432</v>
      </c>
      <c r="BP1086">
        <f t="shared" si="93"/>
        <v>320</v>
      </c>
      <c r="BQ1086">
        <f t="shared" si="94"/>
        <v>752</v>
      </c>
    </row>
    <row r="1087" spans="26:69" hidden="1" x14ac:dyDescent="0.25">
      <c r="Z1087" s="7" t="s">
        <v>411</v>
      </c>
      <c r="AA1087" s="1">
        <v>0.13</v>
      </c>
      <c r="AI1087" s="7" t="s">
        <v>416</v>
      </c>
      <c r="AJ1087" s="40">
        <v>1</v>
      </c>
      <c r="AL1087" s="7" t="s">
        <v>417</v>
      </c>
      <c r="AM1087" s="27">
        <v>1</v>
      </c>
      <c r="AW1087" s="7" t="s">
        <v>483</v>
      </c>
      <c r="AX1087" s="27">
        <v>40</v>
      </c>
      <c r="BC1087" s="7" t="s">
        <v>454</v>
      </c>
      <c r="BD1087" s="27">
        <v>128</v>
      </c>
      <c r="BJ1087" s="7" t="s">
        <v>420</v>
      </c>
      <c r="BK1087" s="40">
        <v>1</v>
      </c>
      <c r="BL1087" s="40">
        <v>130</v>
      </c>
      <c r="BN1087" t="str">
        <f t="shared" si="95"/>
        <v>CarGurus</v>
      </c>
      <c r="BO1087">
        <f t="shared" si="92"/>
        <v>735</v>
      </c>
      <c r="BP1087">
        <f t="shared" si="93"/>
        <v>226</v>
      </c>
      <c r="BQ1087">
        <f t="shared" si="94"/>
        <v>961</v>
      </c>
    </row>
    <row r="1088" spans="26:69" hidden="1" x14ac:dyDescent="0.25">
      <c r="Z1088" s="7" t="s">
        <v>412</v>
      </c>
      <c r="AA1088" s="1">
        <v>0</v>
      </c>
      <c r="AI1088" s="7" t="s">
        <v>417</v>
      </c>
      <c r="AJ1088" s="40">
        <v>1</v>
      </c>
      <c r="AL1088" s="7" t="s">
        <v>418</v>
      </c>
      <c r="AM1088" s="27">
        <v>1</v>
      </c>
      <c r="AW1088" s="7" t="s">
        <v>484</v>
      </c>
      <c r="AX1088" s="27">
        <v>31</v>
      </c>
      <c r="BC1088" s="7" t="s">
        <v>455</v>
      </c>
      <c r="BD1088" s="27">
        <v>410</v>
      </c>
      <c r="BJ1088" s="7" t="s">
        <v>421</v>
      </c>
      <c r="BK1088" s="40">
        <v>372</v>
      </c>
      <c r="BL1088" s="40">
        <v>110</v>
      </c>
      <c r="BN1088" t="str">
        <f t="shared" si="95"/>
        <v>Carousell</v>
      </c>
      <c r="BO1088">
        <f t="shared" si="92"/>
        <v>205</v>
      </c>
      <c r="BP1088">
        <f t="shared" si="93"/>
        <v>248</v>
      </c>
      <c r="BQ1088">
        <f t="shared" si="94"/>
        <v>453</v>
      </c>
    </row>
    <row r="1089" spans="26:69" hidden="1" x14ac:dyDescent="0.25">
      <c r="Z1089" s="7" t="s">
        <v>413</v>
      </c>
      <c r="AA1089" s="1">
        <v>0.1</v>
      </c>
      <c r="AI1089" s="7" t="s">
        <v>418</v>
      </c>
      <c r="AJ1089" s="40">
        <v>1</v>
      </c>
      <c r="AL1089" s="7" t="s">
        <v>419</v>
      </c>
      <c r="AM1089" s="27">
        <v>2</v>
      </c>
      <c r="AW1089" s="7" t="s">
        <v>485</v>
      </c>
      <c r="AX1089" s="27">
        <v>226</v>
      </c>
      <c r="BC1089" s="7" t="s">
        <v>457</v>
      </c>
      <c r="BD1089" s="27">
        <v>55</v>
      </c>
      <c r="BJ1089" s="7" t="s">
        <v>422</v>
      </c>
      <c r="BK1089" s="40">
        <v>1300</v>
      </c>
      <c r="BL1089" s="40">
        <v>600</v>
      </c>
      <c r="BN1089" t="str">
        <f t="shared" si="95"/>
        <v>Cars24</v>
      </c>
      <c r="BO1089">
        <f t="shared" si="92"/>
        <v>64</v>
      </c>
      <c r="BP1089">
        <f t="shared" si="93"/>
        <v>55</v>
      </c>
      <c r="BQ1089">
        <f t="shared" si="94"/>
        <v>119</v>
      </c>
    </row>
    <row r="1090" spans="26:69" hidden="1" x14ac:dyDescent="0.25">
      <c r="Z1090" s="7" t="s">
        <v>414</v>
      </c>
      <c r="AA1090" s="1">
        <v>0.08</v>
      </c>
      <c r="AI1090" s="7" t="s">
        <v>419</v>
      </c>
      <c r="AJ1090" s="40">
        <v>2</v>
      </c>
      <c r="AL1090" s="7" t="s">
        <v>420</v>
      </c>
      <c r="AM1090" s="27">
        <v>1</v>
      </c>
      <c r="AW1090" s="7" t="s">
        <v>487</v>
      </c>
      <c r="AX1090" s="27">
        <v>22</v>
      </c>
      <c r="BC1090" s="7" t="s">
        <v>458</v>
      </c>
      <c r="BD1090" s="27">
        <v>315</v>
      </c>
      <c r="BJ1090" s="7" t="s">
        <v>424</v>
      </c>
      <c r="BK1090" s="40">
        <v>607</v>
      </c>
      <c r="BL1090" s="40">
        <v>0</v>
      </c>
      <c r="BN1090" t="str">
        <f t="shared" si="95"/>
        <v>Carsome</v>
      </c>
      <c r="BO1090">
        <f t="shared" si="92"/>
        <v>138</v>
      </c>
      <c r="BP1090">
        <f t="shared" si="93"/>
        <v>683</v>
      </c>
      <c r="BQ1090">
        <f t="shared" si="94"/>
        <v>821</v>
      </c>
    </row>
    <row r="1091" spans="26:69" hidden="1" x14ac:dyDescent="0.25">
      <c r="Z1091" s="7" t="s">
        <v>415</v>
      </c>
      <c r="AA1091" s="1">
        <v>0</v>
      </c>
      <c r="AI1091" s="7" t="s">
        <v>420</v>
      </c>
      <c r="AJ1091" s="40">
        <v>1</v>
      </c>
      <c r="AL1091" s="7" t="s">
        <v>421</v>
      </c>
      <c r="AM1091" s="27">
        <v>1</v>
      </c>
      <c r="AW1091" s="7" t="s">
        <v>488</v>
      </c>
      <c r="AX1091" s="27">
        <v>12</v>
      </c>
      <c r="BC1091" s="7" t="s">
        <v>459</v>
      </c>
      <c r="BD1091" s="27">
        <v>50</v>
      </c>
      <c r="BJ1091" s="7" t="s">
        <v>427</v>
      </c>
      <c r="BK1091" s="40">
        <v>1547</v>
      </c>
      <c r="BL1091" s="40">
        <v>161</v>
      </c>
      <c r="BN1091" t="str">
        <f t="shared" si="95"/>
        <v>Carta</v>
      </c>
      <c r="BO1091">
        <f t="shared" si="92"/>
        <v>55</v>
      </c>
      <c r="BP1091">
        <f t="shared" si="93"/>
        <v>183</v>
      </c>
      <c r="BQ1091">
        <f t="shared" si="94"/>
        <v>238</v>
      </c>
    </row>
    <row r="1092" spans="26:69" x14ac:dyDescent="0.25">
      <c r="Z1092" s="7" t="s">
        <v>416</v>
      </c>
      <c r="AA1092" s="1">
        <v>0</v>
      </c>
      <c r="AI1092" s="7" t="s">
        <v>421</v>
      </c>
      <c r="AJ1092" s="40">
        <v>1</v>
      </c>
      <c r="AL1092" s="7" t="s">
        <v>422</v>
      </c>
      <c r="AM1092" s="27">
        <v>1</v>
      </c>
      <c r="AW1092" s="7" t="s">
        <v>490</v>
      </c>
      <c r="AX1092" s="27">
        <v>25</v>
      </c>
      <c r="BC1092" s="7" t="s">
        <v>460</v>
      </c>
      <c r="BD1092" s="27">
        <v>2</v>
      </c>
      <c r="BJ1092" s="7" t="s">
        <v>428</v>
      </c>
      <c r="BK1092" s="40">
        <v>3200</v>
      </c>
      <c r="BL1092" s="40">
        <v>4000</v>
      </c>
      <c r="BN1092" t="str">
        <f t="shared" si="95"/>
        <v>Carvana</v>
      </c>
      <c r="BO1092">
        <f t="shared" si="92"/>
        <v>19</v>
      </c>
      <c r="BP1092">
        <f t="shared" si="93"/>
        <v>7</v>
      </c>
      <c r="BQ1092">
        <f t="shared" si="94"/>
        <v>26</v>
      </c>
    </row>
    <row r="1093" spans="26:69" hidden="1" x14ac:dyDescent="0.25">
      <c r="Z1093" s="7" t="s">
        <v>417</v>
      </c>
      <c r="AA1093" s="1">
        <v>0</v>
      </c>
      <c r="AI1093" s="7" t="s">
        <v>422</v>
      </c>
      <c r="AJ1093" s="40">
        <v>1</v>
      </c>
      <c r="AL1093" s="7" t="s">
        <v>424</v>
      </c>
      <c r="AM1093" s="27">
        <v>1</v>
      </c>
      <c r="AW1093" s="7" t="s">
        <v>491</v>
      </c>
      <c r="AX1093" s="27">
        <v>8</v>
      </c>
      <c r="BC1093" s="7" t="s">
        <v>461</v>
      </c>
      <c r="BD1093" s="27">
        <v>133</v>
      </c>
      <c r="BJ1093" s="7" t="s">
        <v>429</v>
      </c>
      <c r="BK1093" s="40">
        <v>157</v>
      </c>
      <c r="BL1093" s="40">
        <v>70</v>
      </c>
      <c r="BN1093" t="str">
        <f t="shared" si="95"/>
        <v>Carwow</v>
      </c>
      <c r="BO1093">
        <f t="shared" si="92"/>
        <v>366</v>
      </c>
      <c r="BP1093">
        <f t="shared" si="93"/>
        <v>350</v>
      </c>
      <c r="BQ1093">
        <f t="shared" si="94"/>
        <v>716</v>
      </c>
    </row>
    <row r="1094" spans="26:69" hidden="1" x14ac:dyDescent="0.25">
      <c r="Z1094" s="7" t="s">
        <v>418</v>
      </c>
      <c r="AA1094" s="1">
        <v>0.31</v>
      </c>
      <c r="AI1094" s="7" t="s">
        <v>424</v>
      </c>
      <c r="AJ1094" s="40">
        <v>1</v>
      </c>
      <c r="AL1094" s="7" t="s">
        <v>427</v>
      </c>
      <c r="AM1094" s="27">
        <v>2</v>
      </c>
      <c r="AW1094" s="7" t="s">
        <v>493</v>
      </c>
      <c r="AX1094" s="27">
        <v>7</v>
      </c>
      <c r="BC1094" s="7" t="s">
        <v>462</v>
      </c>
      <c r="BD1094" s="27">
        <v>64</v>
      </c>
      <c r="BJ1094" s="7" t="s">
        <v>430</v>
      </c>
      <c r="BK1094" s="40">
        <v>708</v>
      </c>
      <c r="BL1094" s="40">
        <v>0</v>
      </c>
      <c r="BN1094" t="str">
        <f t="shared" si="95"/>
        <v>Casavo</v>
      </c>
      <c r="BO1094">
        <f t="shared" si="92"/>
        <v>124</v>
      </c>
      <c r="BP1094">
        <f t="shared" si="93"/>
        <v>683</v>
      </c>
      <c r="BQ1094">
        <f t="shared" si="94"/>
        <v>807</v>
      </c>
    </row>
    <row r="1095" spans="26:69" hidden="1" x14ac:dyDescent="0.25">
      <c r="Z1095" s="7" t="s">
        <v>419</v>
      </c>
      <c r="AA1095" s="1">
        <v>0.33</v>
      </c>
      <c r="AI1095" s="7" t="s">
        <v>427</v>
      </c>
      <c r="AJ1095" s="40">
        <v>2</v>
      </c>
      <c r="AL1095" s="7" t="s">
        <v>428</v>
      </c>
      <c r="AM1095" s="27">
        <v>2</v>
      </c>
      <c r="AW1095" s="7" t="s">
        <v>494</v>
      </c>
      <c r="AX1095" s="27">
        <v>24</v>
      </c>
      <c r="BC1095" s="7" t="s">
        <v>463</v>
      </c>
      <c r="BD1095" s="27">
        <v>20</v>
      </c>
      <c r="BJ1095" s="7" t="s">
        <v>433</v>
      </c>
      <c r="BK1095" s="40">
        <v>41</v>
      </c>
      <c r="BL1095" s="40">
        <v>100</v>
      </c>
      <c r="BN1095" t="str">
        <f t="shared" si="95"/>
        <v>Cashfree Payments</v>
      </c>
      <c r="BO1095">
        <f t="shared" si="92"/>
        <v>568</v>
      </c>
      <c r="BP1095">
        <f t="shared" si="93"/>
        <v>254</v>
      </c>
      <c r="BQ1095">
        <f t="shared" si="94"/>
        <v>822</v>
      </c>
    </row>
    <row r="1096" spans="26:69" hidden="1" x14ac:dyDescent="0.25">
      <c r="Z1096" s="7" t="s">
        <v>420</v>
      </c>
      <c r="AA1096" s="1">
        <v>0.13</v>
      </c>
      <c r="AI1096" s="7" t="s">
        <v>428</v>
      </c>
      <c r="AJ1096" s="40">
        <v>2</v>
      </c>
      <c r="AL1096" s="7" t="s">
        <v>429</v>
      </c>
      <c r="AM1096" s="27">
        <v>1</v>
      </c>
      <c r="AW1096" s="7" t="s">
        <v>495</v>
      </c>
      <c r="AX1096" s="27">
        <v>100</v>
      </c>
      <c r="BC1096" s="7" t="s">
        <v>464</v>
      </c>
      <c r="BD1096" s="27">
        <v>112</v>
      </c>
      <c r="BJ1096" s="7" t="s">
        <v>434</v>
      </c>
      <c r="BK1096" s="40">
        <v>339</v>
      </c>
      <c r="BL1096" s="40">
        <v>78</v>
      </c>
      <c r="BN1096" t="str">
        <f t="shared" si="95"/>
        <v>Casper</v>
      </c>
      <c r="BO1096">
        <f t="shared" si="92"/>
        <v>223</v>
      </c>
      <c r="BP1096">
        <f t="shared" si="93"/>
        <v>335</v>
      </c>
      <c r="BQ1096">
        <f t="shared" si="94"/>
        <v>558</v>
      </c>
    </row>
    <row r="1097" spans="26:69" hidden="1" x14ac:dyDescent="0.25">
      <c r="Z1097" s="7" t="s">
        <v>421</v>
      </c>
      <c r="AA1097" s="1">
        <v>0.1</v>
      </c>
      <c r="AI1097" s="7" t="s">
        <v>429</v>
      </c>
      <c r="AJ1097" s="40">
        <v>1</v>
      </c>
      <c r="AL1097" s="7" t="s">
        <v>430</v>
      </c>
      <c r="AM1097" s="27">
        <v>1</v>
      </c>
      <c r="AW1097" s="7" t="s">
        <v>496</v>
      </c>
      <c r="AX1097" s="27">
        <v>2110</v>
      </c>
      <c r="BC1097" s="7" t="s">
        <v>465</v>
      </c>
      <c r="BD1097" s="27">
        <v>992</v>
      </c>
      <c r="BJ1097" s="7" t="s">
        <v>435</v>
      </c>
      <c r="BK1097" s="40">
        <v>184</v>
      </c>
      <c r="BL1097" s="40">
        <v>0</v>
      </c>
      <c r="BN1097" t="str">
        <f t="shared" si="95"/>
        <v>Castlight Health</v>
      </c>
      <c r="BO1097">
        <f t="shared" ref="BO1097:BO1160" si="96">RANK($BK$839:$BK$1662,$BK$839:$BK$1662,0)</f>
        <v>338</v>
      </c>
      <c r="BP1097">
        <f t="shared" ref="BP1097:BP1160" si="97">RANK($BL$840:$BL$1662,$BL$840:$BL$1662,0)</f>
        <v>683</v>
      </c>
      <c r="BQ1097">
        <f t="shared" ref="BQ1097:BQ1160" si="98">BO1097+BP1097</f>
        <v>1021</v>
      </c>
    </row>
    <row r="1098" spans="26:69" hidden="1" x14ac:dyDescent="0.25">
      <c r="Z1098" s="7" t="s">
        <v>422</v>
      </c>
      <c r="AA1098" s="1">
        <v>0.06</v>
      </c>
      <c r="AI1098" s="7" t="s">
        <v>430</v>
      </c>
      <c r="AJ1098" s="40">
        <v>1</v>
      </c>
      <c r="AL1098" s="7" t="s">
        <v>433</v>
      </c>
      <c r="AM1098" s="27">
        <v>1</v>
      </c>
      <c r="AW1098" s="7" t="s">
        <v>497</v>
      </c>
      <c r="AX1098" s="27">
        <v>80</v>
      </c>
      <c r="BC1098" s="7" t="s">
        <v>466</v>
      </c>
      <c r="BD1098" s="27">
        <v>328</v>
      </c>
      <c r="BJ1098" s="7" t="s">
        <v>436</v>
      </c>
      <c r="BK1098" s="40">
        <v>110</v>
      </c>
      <c r="BL1098" s="40">
        <v>30</v>
      </c>
      <c r="BN1098" t="str">
        <f t="shared" si="95"/>
        <v>Catalant</v>
      </c>
      <c r="BO1098">
        <f t="shared" si="96"/>
        <v>422</v>
      </c>
      <c r="BP1098">
        <f t="shared" si="97"/>
        <v>512</v>
      </c>
      <c r="BQ1098">
        <f t="shared" si="98"/>
        <v>934</v>
      </c>
    </row>
    <row r="1099" spans="26:69" hidden="1" x14ac:dyDescent="0.25">
      <c r="Z1099" s="7" t="s">
        <v>424</v>
      </c>
      <c r="AA1099" s="1">
        <v>0.1</v>
      </c>
      <c r="AI1099" s="7" t="s">
        <v>433</v>
      </c>
      <c r="AJ1099" s="40">
        <v>1</v>
      </c>
      <c r="AL1099" s="7" t="s">
        <v>434</v>
      </c>
      <c r="AM1099" s="27">
        <v>1</v>
      </c>
      <c r="AW1099" s="7" t="s">
        <v>498</v>
      </c>
      <c r="AX1099" s="27">
        <v>10</v>
      </c>
      <c r="BC1099" s="7" t="s">
        <v>467</v>
      </c>
      <c r="BD1099" s="27">
        <v>549</v>
      </c>
      <c r="BJ1099" s="7" t="s">
        <v>437</v>
      </c>
      <c r="BK1099" s="40">
        <v>80</v>
      </c>
      <c r="BL1099" s="40">
        <v>100</v>
      </c>
      <c r="BN1099" t="str">
        <f t="shared" si="95"/>
        <v>Catch.com.au</v>
      </c>
      <c r="BO1099">
        <f t="shared" si="96"/>
        <v>474</v>
      </c>
      <c r="BP1099">
        <f t="shared" si="97"/>
        <v>254</v>
      </c>
      <c r="BQ1099">
        <f t="shared" si="98"/>
        <v>728</v>
      </c>
    </row>
    <row r="1100" spans="26:69" hidden="1" x14ac:dyDescent="0.25">
      <c r="Z1100" s="7" t="s">
        <v>427</v>
      </c>
      <c r="AA1100" s="1">
        <v>0.16</v>
      </c>
      <c r="AI1100" s="7" t="s">
        <v>434</v>
      </c>
      <c r="AJ1100" s="40">
        <v>1</v>
      </c>
      <c r="AL1100" s="7" t="s">
        <v>435</v>
      </c>
      <c r="AM1100" s="27">
        <v>1</v>
      </c>
      <c r="AW1100" s="7" t="s">
        <v>499</v>
      </c>
      <c r="AX1100" s="27">
        <v>30</v>
      </c>
      <c r="BC1100" s="7" t="s">
        <v>469</v>
      </c>
      <c r="BD1100" s="27">
        <v>140</v>
      </c>
      <c r="BJ1100" s="7" t="s">
        <v>438</v>
      </c>
      <c r="BK1100" s="40">
        <v>2000</v>
      </c>
      <c r="BL1100" s="40">
        <v>750</v>
      </c>
      <c r="BN1100" t="str">
        <f t="shared" si="95"/>
        <v>Cazoo</v>
      </c>
      <c r="BO1100">
        <f t="shared" si="96"/>
        <v>39</v>
      </c>
      <c r="BP1100">
        <f t="shared" si="97"/>
        <v>44</v>
      </c>
      <c r="BQ1100">
        <f t="shared" si="98"/>
        <v>83</v>
      </c>
    </row>
    <row r="1101" spans="26:69" hidden="1" x14ac:dyDescent="0.25">
      <c r="Z1101" s="7" t="s">
        <v>428</v>
      </c>
      <c r="AA1101" s="1">
        <v>0.12</v>
      </c>
      <c r="AI1101" s="7" t="s">
        <v>435</v>
      </c>
      <c r="AJ1101" s="40">
        <v>1</v>
      </c>
      <c r="AL1101" s="7" t="s">
        <v>436</v>
      </c>
      <c r="AM1101" s="27">
        <v>1</v>
      </c>
      <c r="AW1101" s="7" t="s">
        <v>500</v>
      </c>
      <c r="AX1101" s="27">
        <v>19</v>
      </c>
      <c r="BC1101" s="7" t="s">
        <v>472</v>
      </c>
      <c r="BD1101" s="27">
        <v>119</v>
      </c>
      <c r="BJ1101" s="7" t="s">
        <v>439</v>
      </c>
      <c r="BK1101" s="40">
        <v>351</v>
      </c>
      <c r="BL1101" s="40">
        <v>0</v>
      </c>
      <c r="BN1101" t="str">
        <f t="shared" si="95"/>
        <v>Cedar</v>
      </c>
      <c r="BO1101">
        <f t="shared" si="96"/>
        <v>217</v>
      </c>
      <c r="BP1101">
        <f t="shared" si="97"/>
        <v>683</v>
      </c>
      <c r="BQ1101">
        <f t="shared" si="98"/>
        <v>900</v>
      </c>
    </row>
    <row r="1102" spans="26:69" hidden="1" x14ac:dyDescent="0.25">
      <c r="Z1102" s="7" t="s">
        <v>429</v>
      </c>
      <c r="AA1102" s="1">
        <v>0.2</v>
      </c>
      <c r="AI1102" s="7" t="s">
        <v>436</v>
      </c>
      <c r="AJ1102" s="40">
        <v>1</v>
      </c>
      <c r="AL1102" s="7" t="s">
        <v>437</v>
      </c>
      <c r="AM1102" s="27">
        <v>1</v>
      </c>
      <c r="AW1102" s="7" t="s">
        <v>501</v>
      </c>
      <c r="AX1102" s="27">
        <v>54</v>
      </c>
      <c r="BC1102" s="7" t="s">
        <v>473</v>
      </c>
      <c r="BD1102" s="27">
        <v>2060</v>
      </c>
      <c r="BJ1102" s="7" t="s">
        <v>440</v>
      </c>
      <c r="BK1102" s="40">
        <v>864</v>
      </c>
      <c r="BL1102" s="40">
        <v>150</v>
      </c>
      <c r="BN1102" t="str">
        <f t="shared" si="95"/>
        <v>Celsius</v>
      </c>
      <c r="BO1102">
        <f t="shared" si="96"/>
        <v>101</v>
      </c>
      <c r="BP1102">
        <f t="shared" si="97"/>
        <v>193</v>
      </c>
      <c r="BQ1102">
        <f t="shared" si="98"/>
        <v>294</v>
      </c>
    </row>
    <row r="1103" spans="26:69" hidden="1" x14ac:dyDescent="0.25">
      <c r="Z1103" s="7" t="s">
        <v>430</v>
      </c>
      <c r="AA1103" s="1">
        <v>0.3</v>
      </c>
      <c r="AI1103" s="7" t="s">
        <v>437</v>
      </c>
      <c r="AJ1103" s="40">
        <v>1</v>
      </c>
      <c r="AL1103" s="7" t="s">
        <v>438</v>
      </c>
      <c r="AM1103" s="27">
        <v>1</v>
      </c>
      <c r="AW1103" s="7" t="s">
        <v>502</v>
      </c>
      <c r="AX1103" s="27">
        <v>300</v>
      </c>
      <c r="BC1103" s="7" t="s">
        <v>476</v>
      </c>
      <c r="BD1103" s="27">
        <v>76</v>
      </c>
      <c r="BJ1103" s="7" t="s">
        <v>441</v>
      </c>
      <c r="BK1103" s="40">
        <v>924</v>
      </c>
      <c r="BL1103" s="40">
        <v>685</v>
      </c>
      <c r="BN1103" t="str">
        <f t="shared" si="95"/>
        <v>Cerebral</v>
      </c>
      <c r="BO1103">
        <f t="shared" si="96"/>
        <v>95</v>
      </c>
      <c r="BP1103">
        <f t="shared" si="97"/>
        <v>48</v>
      </c>
      <c r="BQ1103">
        <f t="shared" si="98"/>
        <v>143</v>
      </c>
    </row>
    <row r="1104" spans="26:69" hidden="1" x14ac:dyDescent="0.25">
      <c r="Z1104" s="7" t="s">
        <v>433</v>
      </c>
      <c r="AA1104" s="1">
        <v>0</v>
      </c>
      <c r="AI1104" s="7" t="s">
        <v>438</v>
      </c>
      <c r="AJ1104" s="40">
        <v>1</v>
      </c>
      <c r="AL1104" s="7" t="s">
        <v>439</v>
      </c>
      <c r="AM1104" s="27">
        <v>1</v>
      </c>
      <c r="AW1104" s="7" t="s">
        <v>503</v>
      </c>
      <c r="AX1104" s="27">
        <v>97</v>
      </c>
      <c r="BC1104" s="7" t="s">
        <v>477</v>
      </c>
      <c r="BD1104" s="27">
        <v>537</v>
      </c>
      <c r="BJ1104" s="7" t="s">
        <v>442</v>
      </c>
      <c r="BK1104" s="40">
        <v>536</v>
      </c>
      <c r="BL1104" s="40">
        <v>44</v>
      </c>
      <c r="BN1104" t="str">
        <f t="shared" si="95"/>
        <v>Chainalysis</v>
      </c>
      <c r="BO1104">
        <f t="shared" si="96"/>
        <v>160</v>
      </c>
      <c r="BP1104">
        <f t="shared" si="97"/>
        <v>446</v>
      </c>
      <c r="BQ1104">
        <f t="shared" si="98"/>
        <v>606</v>
      </c>
    </row>
    <row r="1105" spans="26:69" hidden="1" x14ac:dyDescent="0.25">
      <c r="Z1105" s="7" t="s">
        <v>434</v>
      </c>
      <c r="AA1105" s="1">
        <v>0.21</v>
      </c>
      <c r="AI1105" s="7" t="s">
        <v>439</v>
      </c>
      <c r="AJ1105" s="40">
        <v>1</v>
      </c>
      <c r="AL1105" s="7" t="s">
        <v>440</v>
      </c>
      <c r="AM1105" s="27">
        <v>1</v>
      </c>
      <c r="AW1105" s="7" t="s">
        <v>504</v>
      </c>
      <c r="AX1105" s="27">
        <v>371</v>
      </c>
      <c r="BC1105" s="7" t="s">
        <v>478</v>
      </c>
      <c r="BD1105" s="27">
        <v>59</v>
      </c>
      <c r="BJ1105" s="7" t="s">
        <v>443</v>
      </c>
      <c r="BK1105" s="40">
        <v>22</v>
      </c>
      <c r="BL1105" s="40">
        <v>0</v>
      </c>
      <c r="BN1105" t="str">
        <f t="shared" si="95"/>
        <v>Change Invest</v>
      </c>
      <c r="BO1105">
        <f t="shared" si="96"/>
        <v>632</v>
      </c>
      <c r="BP1105">
        <f t="shared" si="97"/>
        <v>683</v>
      </c>
      <c r="BQ1105">
        <f t="shared" si="98"/>
        <v>1315</v>
      </c>
    </row>
    <row r="1106" spans="26:69" hidden="1" x14ac:dyDescent="0.25">
      <c r="Z1106" s="7" t="s">
        <v>435</v>
      </c>
      <c r="AA1106" s="1">
        <v>0.13</v>
      </c>
      <c r="AI1106" s="7" t="s">
        <v>440</v>
      </c>
      <c r="AJ1106" s="40">
        <v>1</v>
      </c>
      <c r="AL1106" s="7" t="s">
        <v>441</v>
      </c>
      <c r="AM1106" s="27">
        <v>2</v>
      </c>
      <c r="AW1106" s="7" t="s">
        <v>506</v>
      </c>
      <c r="AX1106" s="27">
        <v>22</v>
      </c>
      <c r="BC1106" s="7" t="s">
        <v>480</v>
      </c>
      <c r="BD1106" s="27">
        <v>78</v>
      </c>
      <c r="BJ1106" s="7" t="s">
        <v>444</v>
      </c>
      <c r="BK1106" s="40">
        <v>72</v>
      </c>
      <c r="BL1106" s="40">
        <v>0</v>
      </c>
      <c r="BN1106" t="str">
        <f t="shared" si="95"/>
        <v>Change.org</v>
      </c>
      <c r="BO1106">
        <f t="shared" si="96"/>
        <v>491</v>
      </c>
      <c r="BP1106">
        <f t="shared" si="97"/>
        <v>683</v>
      </c>
      <c r="BQ1106">
        <f t="shared" si="98"/>
        <v>1174</v>
      </c>
    </row>
    <row r="1107" spans="26:69" hidden="1" x14ac:dyDescent="0.25">
      <c r="Z1107" s="7" t="s">
        <v>436</v>
      </c>
      <c r="AA1107" s="1">
        <v>0</v>
      </c>
      <c r="AI1107" s="7" t="s">
        <v>441</v>
      </c>
      <c r="AJ1107" s="40">
        <v>2</v>
      </c>
      <c r="AL1107" s="7" t="s">
        <v>442</v>
      </c>
      <c r="AM1107" s="27">
        <v>1</v>
      </c>
      <c r="AW1107" s="7" t="s">
        <v>507</v>
      </c>
      <c r="AX1107" s="27">
        <v>40</v>
      </c>
      <c r="BC1107" s="7" t="s">
        <v>483</v>
      </c>
      <c r="BD1107" s="27">
        <v>100</v>
      </c>
      <c r="BJ1107" s="7" t="s">
        <v>445</v>
      </c>
      <c r="BK1107" s="40">
        <v>468</v>
      </c>
      <c r="BL1107" s="40">
        <v>142</v>
      </c>
      <c r="BN1107" t="str">
        <f t="shared" si="95"/>
        <v>Chargebee</v>
      </c>
      <c r="BO1107">
        <f t="shared" si="96"/>
        <v>177</v>
      </c>
      <c r="BP1107">
        <f t="shared" si="97"/>
        <v>210</v>
      </c>
      <c r="BQ1107">
        <f t="shared" si="98"/>
        <v>387</v>
      </c>
    </row>
    <row r="1108" spans="26:69" hidden="1" x14ac:dyDescent="0.25">
      <c r="Z1108" s="7" t="s">
        <v>437</v>
      </c>
      <c r="AA1108" s="1">
        <v>0</v>
      </c>
      <c r="AI1108" s="7" t="s">
        <v>442</v>
      </c>
      <c r="AJ1108" s="40">
        <v>1</v>
      </c>
      <c r="AL1108" s="7" t="s">
        <v>443</v>
      </c>
      <c r="AM1108" s="27">
        <v>1</v>
      </c>
      <c r="AW1108" s="7" t="s">
        <v>508</v>
      </c>
      <c r="AX1108" s="27">
        <v>1096</v>
      </c>
      <c r="BC1108" s="7" t="s">
        <v>484</v>
      </c>
      <c r="BD1108" s="27">
        <v>47</v>
      </c>
      <c r="BJ1108" s="7" t="s">
        <v>446</v>
      </c>
      <c r="BK1108" s="40">
        <v>92</v>
      </c>
      <c r="BL1108" s="40">
        <v>100</v>
      </c>
      <c r="BN1108" t="str">
        <f t="shared" ref="BN1108:BN1171" si="99">VLOOKUP(BJ1108,BJ1108:BL1919,1,0)</f>
        <v>Checkmarx</v>
      </c>
      <c r="BO1108">
        <f t="shared" si="96"/>
        <v>453</v>
      </c>
      <c r="BP1108">
        <f t="shared" si="97"/>
        <v>254</v>
      </c>
      <c r="BQ1108">
        <f t="shared" si="98"/>
        <v>707</v>
      </c>
    </row>
    <row r="1109" spans="26:69" hidden="1" x14ac:dyDescent="0.25">
      <c r="Z1109" s="7" t="s">
        <v>438</v>
      </c>
      <c r="AA1109" s="1">
        <v>0.15</v>
      </c>
      <c r="AI1109" s="7" t="s">
        <v>443</v>
      </c>
      <c r="AJ1109" s="40">
        <v>1</v>
      </c>
      <c r="AL1109" s="7" t="s">
        <v>444</v>
      </c>
      <c r="AM1109" s="27">
        <v>1</v>
      </c>
      <c r="AW1109" s="7" t="s">
        <v>509</v>
      </c>
      <c r="AX1109" s="27">
        <v>11</v>
      </c>
      <c r="BC1109" s="7" t="s">
        <v>485</v>
      </c>
      <c r="BD1109" s="27">
        <v>406</v>
      </c>
      <c r="BJ1109" s="7" t="s">
        <v>447</v>
      </c>
      <c r="BK1109" s="40">
        <v>1800</v>
      </c>
      <c r="BL1109" s="40">
        <v>100</v>
      </c>
      <c r="BN1109" t="str">
        <f t="shared" si="99"/>
        <v>Checkout.com</v>
      </c>
      <c r="BO1109">
        <f t="shared" si="96"/>
        <v>47</v>
      </c>
      <c r="BP1109">
        <f t="shared" si="97"/>
        <v>254</v>
      </c>
      <c r="BQ1109">
        <f t="shared" si="98"/>
        <v>301</v>
      </c>
    </row>
    <row r="1110" spans="26:69" hidden="1" x14ac:dyDescent="0.25">
      <c r="Z1110" s="7" t="s">
        <v>439</v>
      </c>
      <c r="AA1110" s="1">
        <v>0.24</v>
      </c>
      <c r="AI1110" s="7" t="s">
        <v>444</v>
      </c>
      <c r="AJ1110" s="40">
        <v>1</v>
      </c>
      <c r="AL1110" s="7" t="s">
        <v>445</v>
      </c>
      <c r="AM1110" s="27">
        <v>1</v>
      </c>
      <c r="AW1110" s="7" t="s">
        <v>510</v>
      </c>
      <c r="AX1110" s="27">
        <v>221</v>
      </c>
      <c r="BC1110" s="7" t="s">
        <v>486</v>
      </c>
      <c r="BD1110" s="27">
        <v>296</v>
      </c>
      <c r="BJ1110" s="7" t="s">
        <v>448</v>
      </c>
      <c r="BK1110" s="40">
        <v>309</v>
      </c>
      <c r="BL1110" s="40">
        <v>64</v>
      </c>
      <c r="BN1110" t="str">
        <f t="shared" si="99"/>
        <v>Checkr</v>
      </c>
      <c r="BO1110">
        <f t="shared" si="96"/>
        <v>241</v>
      </c>
      <c r="BP1110">
        <f t="shared" si="97"/>
        <v>373</v>
      </c>
      <c r="BQ1110">
        <f t="shared" si="98"/>
        <v>614</v>
      </c>
    </row>
    <row r="1111" spans="26:69" hidden="1" x14ac:dyDescent="0.25">
      <c r="Z1111" s="7" t="s">
        <v>440</v>
      </c>
      <c r="AA1111" s="1">
        <v>0.25</v>
      </c>
      <c r="AI1111" s="7" t="s">
        <v>445</v>
      </c>
      <c r="AJ1111" s="40">
        <v>1</v>
      </c>
      <c r="AL1111" s="7" t="s">
        <v>446</v>
      </c>
      <c r="AM1111" s="27">
        <v>1</v>
      </c>
      <c r="AW1111" s="7" t="s">
        <v>512</v>
      </c>
      <c r="AX1111" s="27">
        <v>17</v>
      </c>
      <c r="BC1111" s="7" t="s">
        <v>487</v>
      </c>
      <c r="BD1111" s="27">
        <v>58</v>
      </c>
      <c r="BJ1111" s="7" t="s">
        <v>449</v>
      </c>
      <c r="BK1111" s="40">
        <v>0</v>
      </c>
      <c r="BL1111" s="40">
        <v>29</v>
      </c>
      <c r="BN1111" t="str">
        <f t="shared" si="99"/>
        <v>Chessable</v>
      </c>
      <c r="BO1111">
        <f t="shared" si="96"/>
        <v>742</v>
      </c>
      <c r="BP1111">
        <f t="shared" si="97"/>
        <v>541</v>
      </c>
      <c r="BQ1111">
        <f t="shared" si="98"/>
        <v>1283</v>
      </c>
    </row>
    <row r="1112" spans="26:69" hidden="1" x14ac:dyDescent="0.25">
      <c r="Z1112" s="7" t="s">
        <v>441</v>
      </c>
      <c r="AA1112" s="1">
        <v>0.2</v>
      </c>
      <c r="AI1112" s="7" t="s">
        <v>446</v>
      </c>
      <c r="AJ1112" s="40">
        <v>1</v>
      </c>
      <c r="AL1112" s="7" t="s">
        <v>447</v>
      </c>
      <c r="AM1112" s="27">
        <v>1</v>
      </c>
      <c r="AW1112" s="7" t="s">
        <v>513</v>
      </c>
      <c r="AX1112" s="27">
        <v>191</v>
      </c>
      <c r="BC1112" s="7" t="s">
        <v>488</v>
      </c>
      <c r="BD1112" s="27">
        <v>20</v>
      </c>
      <c r="BJ1112" s="7" t="s">
        <v>450</v>
      </c>
      <c r="BK1112" s="40">
        <v>54</v>
      </c>
      <c r="BL1112" s="40">
        <v>58</v>
      </c>
      <c r="BN1112" t="str">
        <f t="shared" si="99"/>
        <v>Chili Piper</v>
      </c>
      <c r="BO1112">
        <f t="shared" si="96"/>
        <v>535</v>
      </c>
      <c r="BP1112">
        <f t="shared" si="97"/>
        <v>396</v>
      </c>
      <c r="BQ1112">
        <f t="shared" si="98"/>
        <v>931</v>
      </c>
    </row>
    <row r="1113" spans="26:69" hidden="1" x14ac:dyDescent="0.25">
      <c r="Z1113" s="7" t="s">
        <v>442</v>
      </c>
      <c r="AA1113" s="1">
        <v>0.05</v>
      </c>
      <c r="AI1113" s="7" t="s">
        <v>447</v>
      </c>
      <c r="AJ1113" s="40">
        <v>1</v>
      </c>
      <c r="AL1113" s="7" t="s">
        <v>448</v>
      </c>
      <c r="AM1113" s="27">
        <v>1</v>
      </c>
      <c r="AW1113" s="7" t="s">
        <v>514</v>
      </c>
      <c r="AX1113" s="27">
        <v>13</v>
      </c>
      <c r="BC1113" s="7" t="s">
        <v>489</v>
      </c>
      <c r="BD1113" s="27">
        <v>332</v>
      </c>
      <c r="BJ1113" s="7" t="s">
        <v>451</v>
      </c>
      <c r="BK1113" s="40">
        <v>2300</v>
      </c>
      <c r="BL1113" s="40">
        <v>156</v>
      </c>
      <c r="BN1113" t="str">
        <f t="shared" si="99"/>
        <v>Chime</v>
      </c>
      <c r="BO1113">
        <f t="shared" si="96"/>
        <v>33</v>
      </c>
      <c r="BP1113">
        <f t="shared" si="97"/>
        <v>189</v>
      </c>
      <c r="BQ1113">
        <f t="shared" si="98"/>
        <v>222</v>
      </c>
    </row>
    <row r="1114" spans="26:69" hidden="1" x14ac:dyDescent="0.25">
      <c r="Z1114" s="7" t="s">
        <v>443</v>
      </c>
      <c r="AA1114" s="1">
        <v>0.24</v>
      </c>
      <c r="AI1114" s="7" t="s">
        <v>448</v>
      </c>
      <c r="AJ1114" s="40">
        <v>1</v>
      </c>
      <c r="AL1114" s="7" t="s">
        <v>449</v>
      </c>
      <c r="AM1114" s="27">
        <v>1</v>
      </c>
      <c r="AW1114" s="7" t="s">
        <v>515</v>
      </c>
      <c r="AX1114" s="27">
        <v>140</v>
      </c>
      <c r="BC1114" s="7" t="s">
        <v>490</v>
      </c>
      <c r="BD1114" s="27">
        <v>275</v>
      </c>
      <c r="BJ1114" s="7" t="s">
        <v>452</v>
      </c>
      <c r="BK1114" s="40">
        <v>604</v>
      </c>
      <c r="BL1114" s="40">
        <v>150</v>
      </c>
      <c r="BN1114" t="str">
        <f t="shared" si="99"/>
        <v>Chipper Cash</v>
      </c>
      <c r="BO1114">
        <f t="shared" si="96"/>
        <v>139</v>
      </c>
      <c r="BP1114">
        <f t="shared" si="97"/>
        <v>193</v>
      </c>
      <c r="BQ1114">
        <f t="shared" si="98"/>
        <v>332</v>
      </c>
    </row>
    <row r="1115" spans="26:69" hidden="1" x14ac:dyDescent="0.25">
      <c r="Z1115" s="7" t="s">
        <v>444</v>
      </c>
      <c r="AA1115" s="1">
        <v>0.19</v>
      </c>
      <c r="AI1115" s="7" t="s">
        <v>449</v>
      </c>
      <c r="AJ1115" s="40">
        <v>1</v>
      </c>
      <c r="AL1115" s="7" t="s">
        <v>450</v>
      </c>
      <c r="AM1115" s="27">
        <v>1</v>
      </c>
      <c r="AW1115" s="7" t="s">
        <v>517</v>
      </c>
      <c r="AX1115" s="27">
        <v>16</v>
      </c>
      <c r="BC1115" s="7" t="s">
        <v>491</v>
      </c>
      <c r="BD1115" s="27">
        <v>8</v>
      </c>
      <c r="BJ1115" s="7" t="s">
        <v>453</v>
      </c>
      <c r="BK1115" s="40">
        <v>50</v>
      </c>
      <c r="BL1115" s="40">
        <v>65</v>
      </c>
      <c r="BN1115" t="str">
        <f t="shared" si="99"/>
        <v>Chope</v>
      </c>
      <c r="BO1115">
        <f t="shared" si="96"/>
        <v>542</v>
      </c>
      <c r="BP1115">
        <f t="shared" si="97"/>
        <v>366</v>
      </c>
      <c r="BQ1115">
        <f t="shared" si="98"/>
        <v>908</v>
      </c>
    </row>
    <row r="1116" spans="26:69" hidden="1" x14ac:dyDescent="0.25">
      <c r="Z1116" s="7" t="s">
        <v>445</v>
      </c>
      <c r="AA1116" s="1">
        <v>0.1</v>
      </c>
      <c r="AI1116" s="7" t="s">
        <v>450</v>
      </c>
      <c r="AJ1116" s="40">
        <v>1</v>
      </c>
      <c r="AL1116" s="7" t="s">
        <v>451</v>
      </c>
      <c r="AM1116" s="27">
        <v>1</v>
      </c>
      <c r="AW1116" s="7" t="s">
        <v>518</v>
      </c>
      <c r="AX1116" s="27">
        <v>150</v>
      </c>
      <c r="BC1116" s="7" t="s">
        <v>492</v>
      </c>
      <c r="BD1116" s="27">
        <v>162</v>
      </c>
      <c r="BJ1116" s="7" t="s">
        <v>454</v>
      </c>
      <c r="BK1116" s="40">
        <v>128</v>
      </c>
      <c r="BL1116" s="40">
        <v>140</v>
      </c>
      <c r="BN1116" t="str">
        <f t="shared" si="99"/>
        <v>ChowNow</v>
      </c>
      <c r="BO1116">
        <f t="shared" si="96"/>
        <v>398</v>
      </c>
      <c r="BP1116">
        <f t="shared" si="97"/>
        <v>212</v>
      </c>
      <c r="BQ1116">
        <f t="shared" si="98"/>
        <v>610</v>
      </c>
    </row>
    <row r="1117" spans="26:69" hidden="1" x14ac:dyDescent="0.25">
      <c r="Z1117" s="7" t="s">
        <v>446</v>
      </c>
      <c r="AA1117" s="1">
        <v>0.1</v>
      </c>
      <c r="AI1117" s="7" t="s">
        <v>451</v>
      </c>
      <c r="AJ1117" s="40">
        <v>1</v>
      </c>
      <c r="AL1117" s="7" t="s">
        <v>452</v>
      </c>
      <c r="AM1117" s="27">
        <v>2</v>
      </c>
      <c r="AW1117" s="7" t="s">
        <v>519</v>
      </c>
      <c r="AX1117" s="27">
        <v>90</v>
      </c>
      <c r="BC1117" s="7" t="s">
        <v>493</v>
      </c>
      <c r="BD1117" s="27">
        <v>2</v>
      </c>
      <c r="BJ1117" s="7" t="s">
        <v>455</v>
      </c>
      <c r="BK1117" s="40">
        <v>410</v>
      </c>
      <c r="BL1117" s="40">
        <v>145</v>
      </c>
      <c r="BN1117" t="str">
        <f t="shared" si="99"/>
        <v>Chrono24</v>
      </c>
      <c r="BO1117">
        <f t="shared" si="96"/>
        <v>192</v>
      </c>
      <c r="BP1117">
        <f t="shared" si="97"/>
        <v>208</v>
      </c>
      <c r="BQ1117">
        <f t="shared" si="98"/>
        <v>400</v>
      </c>
    </row>
    <row r="1118" spans="26:69" hidden="1" x14ac:dyDescent="0.25">
      <c r="Z1118" s="7" t="s">
        <v>447</v>
      </c>
      <c r="AA1118" s="1">
        <v>0.05</v>
      </c>
      <c r="AI1118" s="7" t="s">
        <v>452</v>
      </c>
      <c r="AJ1118" s="40">
        <v>2</v>
      </c>
      <c r="AL1118" s="7" t="s">
        <v>453</v>
      </c>
      <c r="AM1118" s="27">
        <v>1</v>
      </c>
      <c r="AW1118" s="7" t="s">
        <v>520</v>
      </c>
      <c r="AX1118" s="27">
        <v>35</v>
      </c>
      <c r="BC1118" s="7" t="s">
        <v>494</v>
      </c>
      <c r="BD1118" s="27">
        <v>92</v>
      </c>
      <c r="BJ1118" s="7" t="s">
        <v>457</v>
      </c>
      <c r="BK1118" s="40">
        <v>55</v>
      </c>
      <c r="BL1118" s="40">
        <v>100</v>
      </c>
      <c r="BN1118" t="str">
        <f t="shared" si="99"/>
        <v>Circ</v>
      </c>
      <c r="BO1118">
        <f t="shared" si="96"/>
        <v>534</v>
      </c>
      <c r="BP1118">
        <f t="shared" si="97"/>
        <v>254</v>
      </c>
      <c r="BQ1118">
        <f t="shared" si="98"/>
        <v>788</v>
      </c>
    </row>
    <row r="1119" spans="26:69" hidden="1" x14ac:dyDescent="0.25">
      <c r="Z1119" s="7" t="s">
        <v>448</v>
      </c>
      <c r="AA1119" s="1">
        <v>0.12</v>
      </c>
      <c r="AI1119" s="7" t="s">
        <v>453</v>
      </c>
      <c r="AJ1119" s="40">
        <v>1</v>
      </c>
      <c r="AL1119" s="7" t="s">
        <v>454</v>
      </c>
      <c r="AM1119" s="27">
        <v>2</v>
      </c>
      <c r="AW1119" s="7" t="s">
        <v>523</v>
      </c>
      <c r="AX1119" s="27">
        <v>30</v>
      </c>
      <c r="BC1119" s="7" t="s">
        <v>496</v>
      </c>
      <c r="BD1119" s="27">
        <v>1647</v>
      </c>
      <c r="BJ1119" s="7" t="s">
        <v>458</v>
      </c>
      <c r="BK1119" s="40">
        <v>315</v>
      </c>
      <c r="BL1119" s="40">
        <v>0</v>
      </c>
      <c r="BN1119" t="str">
        <f t="shared" si="99"/>
        <v>CircleCI</v>
      </c>
      <c r="BO1119">
        <f t="shared" si="96"/>
        <v>237</v>
      </c>
      <c r="BP1119">
        <f t="shared" si="97"/>
        <v>683</v>
      </c>
      <c r="BQ1119">
        <f t="shared" si="98"/>
        <v>920</v>
      </c>
    </row>
    <row r="1120" spans="26:69" hidden="1" x14ac:dyDescent="0.25">
      <c r="Z1120" s="7" t="s">
        <v>449</v>
      </c>
      <c r="AA1120" s="1">
        <v>0</v>
      </c>
      <c r="AI1120" s="7" t="s">
        <v>454</v>
      </c>
      <c r="AJ1120" s="40">
        <v>2</v>
      </c>
      <c r="AL1120" s="7" t="s">
        <v>455</v>
      </c>
      <c r="AM1120" s="27">
        <v>2</v>
      </c>
      <c r="AW1120" s="7" t="s">
        <v>524</v>
      </c>
      <c r="AX1120" s="27">
        <v>20</v>
      </c>
      <c r="BC1120" s="7" t="s">
        <v>497</v>
      </c>
      <c r="BD1120" s="27">
        <v>244</v>
      </c>
      <c r="BJ1120" s="7" t="s">
        <v>459</v>
      </c>
      <c r="BK1120" s="40">
        <v>50</v>
      </c>
      <c r="BL1120" s="40">
        <v>0</v>
      </c>
      <c r="BN1120" t="str">
        <f t="shared" si="99"/>
        <v>Circulo Health</v>
      </c>
      <c r="BO1120">
        <f t="shared" si="96"/>
        <v>542</v>
      </c>
      <c r="BP1120">
        <f t="shared" si="97"/>
        <v>683</v>
      </c>
      <c r="BQ1120">
        <f t="shared" si="98"/>
        <v>1225</v>
      </c>
    </row>
    <row r="1121" spans="26:69" hidden="1" x14ac:dyDescent="0.25">
      <c r="Z1121" s="7" t="s">
        <v>450</v>
      </c>
      <c r="AA1121" s="1">
        <v>0</v>
      </c>
      <c r="AI1121" s="7" t="s">
        <v>455</v>
      </c>
      <c r="AJ1121" s="40">
        <v>2</v>
      </c>
      <c r="AL1121" s="7" t="s">
        <v>457</v>
      </c>
      <c r="AM1121" s="27">
        <v>1</v>
      </c>
      <c r="AW1121" s="7" t="s">
        <v>525</v>
      </c>
      <c r="AX1121" s="27">
        <v>22</v>
      </c>
      <c r="BC1121" s="7" t="s">
        <v>498</v>
      </c>
      <c r="BD1121" s="27">
        <v>1</v>
      </c>
      <c r="BJ1121" s="7" t="s">
        <v>460</v>
      </c>
      <c r="BK1121" s="40">
        <v>2</v>
      </c>
      <c r="BL1121" s="40">
        <v>4100</v>
      </c>
      <c r="BN1121" t="str">
        <f t="shared" si="99"/>
        <v>Cisco</v>
      </c>
      <c r="BO1121">
        <f t="shared" si="96"/>
        <v>725</v>
      </c>
      <c r="BP1121">
        <f t="shared" si="97"/>
        <v>6</v>
      </c>
      <c r="BQ1121">
        <f t="shared" si="98"/>
        <v>731</v>
      </c>
    </row>
    <row r="1122" spans="26:69" hidden="1" x14ac:dyDescent="0.25">
      <c r="Z1122" s="7" t="s">
        <v>451</v>
      </c>
      <c r="AA1122" s="1">
        <v>0.12</v>
      </c>
      <c r="AI1122" s="7" t="s">
        <v>457</v>
      </c>
      <c r="AJ1122" s="40">
        <v>1</v>
      </c>
      <c r="AL1122" s="7" t="s">
        <v>458</v>
      </c>
      <c r="AM1122" s="27">
        <v>1</v>
      </c>
      <c r="AW1122" s="7" t="s">
        <v>527</v>
      </c>
      <c r="AX1122" s="27">
        <v>170</v>
      </c>
      <c r="BC1122" s="7" t="s">
        <v>499</v>
      </c>
      <c r="BD1122" s="27">
        <v>98</v>
      </c>
      <c r="BJ1122" s="7" t="s">
        <v>461</v>
      </c>
      <c r="BK1122" s="40">
        <v>133</v>
      </c>
      <c r="BL1122" s="40">
        <v>33</v>
      </c>
      <c r="BN1122" t="str">
        <f t="shared" si="99"/>
        <v>Citizen</v>
      </c>
      <c r="BO1122">
        <f t="shared" si="96"/>
        <v>391</v>
      </c>
      <c r="BP1122">
        <f t="shared" si="97"/>
        <v>503</v>
      </c>
      <c r="BQ1122">
        <f t="shared" si="98"/>
        <v>894</v>
      </c>
    </row>
    <row r="1123" spans="26:69" hidden="1" x14ac:dyDescent="0.25">
      <c r="Z1123" s="7" t="s">
        <v>452</v>
      </c>
      <c r="AA1123" s="1">
        <v>0.33</v>
      </c>
      <c r="AI1123" s="7" t="s">
        <v>458</v>
      </c>
      <c r="AJ1123" s="40">
        <v>1</v>
      </c>
      <c r="AL1123" s="7" t="s">
        <v>459</v>
      </c>
      <c r="AM1123" s="27">
        <v>1</v>
      </c>
      <c r="AW1123" s="7" t="s">
        <v>528</v>
      </c>
      <c r="AX1123" s="27">
        <v>24</v>
      </c>
      <c r="BC1123" s="7" t="s">
        <v>500</v>
      </c>
      <c r="BD1123" s="27">
        <v>101</v>
      </c>
      <c r="BJ1123" s="7" t="s">
        <v>462</v>
      </c>
      <c r="BK1123" s="40">
        <v>64</v>
      </c>
      <c r="BL1123" s="40">
        <v>22</v>
      </c>
      <c r="BN1123" t="str">
        <f t="shared" si="99"/>
        <v>Citrine Informatics</v>
      </c>
      <c r="BO1123">
        <f t="shared" si="96"/>
        <v>504</v>
      </c>
      <c r="BP1123">
        <f t="shared" si="97"/>
        <v>581</v>
      </c>
      <c r="BQ1123">
        <f t="shared" si="98"/>
        <v>1085</v>
      </c>
    </row>
    <row r="1124" spans="26:69" hidden="1" x14ac:dyDescent="0.25">
      <c r="Z1124" s="7" t="s">
        <v>453</v>
      </c>
      <c r="AA1124" s="1">
        <v>0.24</v>
      </c>
      <c r="AI1124" s="7" t="s">
        <v>459</v>
      </c>
      <c r="AJ1124" s="40">
        <v>1</v>
      </c>
      <c r="AL1124" s="7" t="s">
        <v>460</v>
      </c>
      <c r="AM1124" s="27">
        <v>1</v>
      </c>
      <c r="AW1124" s="7" t="s">
        <v>529</v>
      </c>
      <c r="AX1124" s="27">
        <v>150</v>
      </c>
      <c r="BC1124" s="7" t="s">
        <v>501</v>
      </c>
      <c r="BD1124" s="27">
        <v>719</v>
      </c>
      <c r="BJ1124" s="7" t="s">
        <v>463</v>
      </c>
      <c r="BK1124" s="40">
        <v>20</v>
      </c>
      <c r="BL1124" s="40">
        <v>0</v>
      </c>
      <c r="BN1124" t="str">
        <f t="shared" si="99"/>
        <v>Citrix</v>
      </c>
      <c r="BO1124">
        <f t="shared" si="96"/>
        <v>640</v>
      </c>
      <c r="BP1124">
        <f t="shared" si="97"/>
        <v>683</v>
      </c>
      <c r="BQ1124">
        <f t="shared" si="98"/>
        <v>1323</v>
      </c>
    </row>
    <row r="1125" spans="26:69" hidden="1" x14ac:dyDescent="0.25">
      <c r="Z1125" s="7" t="s">
        <v>454</v>
      </c>
      <c r="AA1125" s="1">
        <v>0.2</v>
      </c>
      <c r="AI1125" s="7" t="s">
        <v>460</v>
      </c>
      <c r="AJ1125" s="40">
        <v>1</v>
      </c>
      <c r="AL1125" s="7" t="s">
        <v>461</v>
      </c>
      <c r="AM1125" s="27">
        <v>1</v>
      </c>
      <c r="AW1125" s="7" t="s">
        <v>530</v>
      </c>
      <c r="AX1125" s="27">
        <v>85</v>
      </c>
      <c r="BC1125" s="7" t="s">
        <v>502</v>
      </c>
      <c r="BD1125" s="27">
        <v>482</v>
      </c>
      <c r="BJ1125" s="7" t="s">
        <v>464</v>
      </c>
      <c r="BK1125" s="40">
        <v>112</v>
      </c>
      <c r="BL1125" s="40">
        <v>191</v>
      </c>
      <c r="BN1125" t="str">
        <f t="shared" si="99"/>
        <v>CityMall</v>
      </c>
      <c r="BO1125">
        <f t="shared" si="96"/>
        <v>420</v>
      </c>
      <c r="BP1125">
        <f t="shared" si="97"/>
        <v>163</v>
      </c>
      <c r="BQ1125">
        <f t="shared" si="98"/>
        <v>583</v>
      </c>
    </row>
    <row r="1126" spans="26:69" hidden="1" x14ac:dyDescent="0.25">
      <c r="Z1126" s="7" t="s">
        <v>455</v>
      </c>
      <c r="AA1126" s="1">
        <v>0.13</v>
      </c>
      <c r="AI1126" s="7" t="s">
        <v>461</v>
      </c>
      <c r="AJ1126" s="40">
        <v>1</v>
      </c>
      <c r="AL1126" s="7" t="s">
        <v>462</v>
      </c>
      <c r="AM1126" s="27">
        <v>1</v>
      </c>
      <c r="AW1126" s="7" t="s">
        <v>533</v>
      </c>
      <c r="AX1126" s="27">
        <v>2260</v>
      </c>
      <c r="BC1126" s="7" t="s">
        <v>503</v>
      </c>
      <c r="BD1126" s="27">
        <v>41</v>
      </c>
      <c r="BJ1126" s="7" t="s">
        <v>465</v>
      </c>
      <c r="BK1126" s="40">
        <v>992</v>
      </c>
      <c r="BL1126" s="40">
        <v>65</v>
      </c>
      <c r="BN1126" t="str">
        <f t="shared" si="99"/>
        <v>Clari</v>
      </c>
      <c r="BO1126">
        <f t="shared" si="96"/>
        <v>91</v>
      </c>
      <c r="BP1126">
        <f t="shared" si="97"/>
        <v>366</v>
      </c>
      <c r="BQ1126">
        <f t="shared" si="98"/>
        <v>457</v>
      </c>
    </row>
    <row r="1127" spans="26:69" hidden="1" x14ac:dyDescent="0.25">
      <c r="Z1127" s="7" t="s">
        <v>457</v>
      </c>
      <c r="AA1127" s="1">
        <v>0</v>
      </c>
      <c r="AI1127" s="7" t="s">
        <v>462</v>
      </c>
      <c r="AJ1127" s="40">
        <v>1</v>
      </c>
      <c r="AL1127" s="7" t="s">
        <v>463</v>
      </c>
      <c r="AM1127" s="27">
        <v>1</v>
      </c>
      <c r="AW1127" s="7" t="s">
        <v>534</v>
      </c>
      <c r="AX1127" s="27">
        <v>62</v>
      </c>
      <c r="BC1127" s="7" t="s">
        <v>506</v>
      </c>
      <c r="BD1127" s="27">
        <v>255</v>
      </c>
      <c r="BJ1127" s="7" t="s">
        <v>466</v>
      </c>
      <c r="BK1127" s="40">
        <v>328</v>
      </c>
      <c r="BL1127" s="40">
        <v>15</v>
      </c>
      <c r="BN1127" t="str">
        <f t="shared" si="99"/>
        <v>Clarify Health</v>
      </c>
      <c r="BO1127">
        <f t="shared" si="96"/>
        <v>229</v>
      </c>
      <c r="BP1127">
        <f t="shared" si="97"/>
        <v>622</v>
      </c>
      <c r="BQ1127">
        <f t="shared" si="98"/>
        <v>851</v>
      </c>
    </row>
    <row r="1128" spans="26:69" hidden="1" x14ac:dyDescent="0.25">
      <c r="Z1128" s="7" t="s">
        <v>458</v>
      </c>
      <c r="AA1128" s="1">
        <v>0.17</v>
      </c>
      <c r="AI1128" s="7" t="s">
        <v>463</v>
      </c>
      <c r="AJ1128" s="40">
        <v>1</v>
      </c>
      <c r="AL1128" s="7" t="s">
        <v>464</v>
      </c>
      <c r="AM1128" s="27">
        <v>1</v>
      </c>
      <c r="AW1128" s="7" t="s">
        <v>536</v>
      </c>
      <c r="AX1128" s="27">
        <v>30</v>
      </c>
      <c r="BC1128" s="7" t="s">
        <v>507</v>
      </c>
      <c r="BD1128" s="27">
        <v>40</v>
      </c>
      <c r="BJ1128" s="7" t="s">
        <v>467</v>
      </c>
      <c r="BK1128" s="40">
        <v>549</v>
      </c>
      <c r="BL1128" s="40">
        <v>154</v>
      </c>
      <c r="BN1128" t="str">
        <f t="shared" si="99"/>
        <v>ClassPass</v>
      </c>
      <c r="BO1128">
        <f t="shared" si="96"/>
        <v>154</v>
      </c>
      <c r="BP1128">
        <f t="shared" si="97"/>
        <v>191</v>
      </c>
      <c r="BQ1128">
        <f t="shared" si="98"/>
        <v>345</v>
      </c>
    </row>
    <row r="1129" spans="26:69" hidden="1" x14ac:dyDescent="0.25">
      <c r="Z1129" s="7" t="s">
        <v>459</v>
      </c>
      <c r="AA1129" s="1">
        <v>0.5</v>
      </c>
      <c r="AI1129" s="7" t="s">
        <v>464</v>
      </c>
      <c r="AJ1129" s="40">
        <v>1</v>
      </c>
      <c r="AL1129" s="7" t="s">
        <v>465</v>
      </c>
      <c r="AM1129" s="27">
        <v>2</v>
      </c>
      <c r="AW1129" s="7" t="s">
        <v>537</v>
      </c>
      <c r="AX1129" s="27">
        <v>558</v>
      </c>
      <c r="BC1129" s="7" t="s">
        <v>508</v>
      </c>
      <c r="BD1129" s="27">
        <v>4800</v>
      </c>
      <c r="BJ1129" s="7" t="s">
        <v>469</v>
      </c>
      <c r="BK1129" s="40">
        <v>140</v>
      </c>
      <c r="BL1129" s="40">
        <v>190</v>
      </c>
      <c r="BN1129" t="str">
        <f t="shared" si="99"/>
        <v>Clear</v>
      </c>
      <c r="BO1129">
        <f t="shared" si="96"/>
        <v>385</v>
      </c>
      <c r="BP1129">
        <f t="shared" si="97"/>
        <v>165</v>
      </c>
      <c r="BQ1129">
        <f t="shared" si="98"/>
        <v>550</v>
      </c>
    </row>
    <row r="1130" spans="26:69" hidden="1" x14ac:dyDescent="0.25">
      <c r="Z1130" s="7" t="s">
        <v>460</v>
      </c>
      <c r="AA1130" s="1">
        <v>0.05</v>
      </c>
      <c r="AI1130" s="7" t="s">
        <v>465</v>
      </c>
      <c r="AJ1130" s="40">
        <v>2</v>
      </c>
      <c r="AL1130" s="7" t="s">
        <v>466</v>
      </c>
      <c r="AM1130" s="27">
        <v>1</v>
      </c>
      <c r="AW1130" s="7" t="s">
        <v>538</v>
      </c>
      <c r="AX1130" s="27">
        <v>36</v>
      </c>
      <c r="BC1130" s="7" t="s">
        <v>509</v>
      </c>
      <c r="BD1130" s="27">
        <v>17</v>
      </c>
      <c r="BJ1130" s="7" t="s">
        <v>470</v>
      </c>
      <c r="BK1130" s="40">
        <v>0</v>
      </c>
      <c r="BL1130" s="40">
        <v>628</v>
      </c>
      <c r="BN1130" t="str">
        <f t="shared" si="99"/>
        <v>Clear Capital</v>
      </c>
      <c r="BO1130">
        <f t="shared" si="96"/>
        <v>742</v>
      </c>
      <c r="BP1130">
        <f t="shared" si="97"/>
        <v>53</v>
      </c>
      <c r="BQ1130">
        <f t="shared" si="98"/>
        <v>795</v>
      </c>
    </row>
    <row r="1131" spans="26:69" hidden="1" x14ac:dyDescent="0.25">
      <c r="Z1131" s="7" t="s">
        <v>461</v>
      </c>
      <c r="AA1131" s="1">
        <v>0</v>
      </c>
      <c r="AI1131" s="7" t="s">
        <v>466</v>
      </c>
      <c r="AJ1131" s="40">
        <v>1</v>
      </c>
      <c r="AL1131" s="7" t="s">
        <v>467</v>
      </c>
      <c r="AM1131" s="27">
        <v>1</v>
      </c>
      <c r="AW1131" s="7" t="s">
        <v>539</v>
      </c>
      <c r="AX1131" s="27">
        <v>95</v>
      </c>
      <c r="BC1131" s="7" t="s">
        <v>510</v>
      </c>
      <c r="BD1131" s="27">
        <v>455</v>
      </c>
      <c r="BJ1131" s="7" t="s">
        <v>472</v>
      </c>
      <c r="BK1131" s="40">
        <v>119</v>
      </c>
      <c r="BL1131" s="40">
        <v>17</v>
      </c>
      <c r="BN1131" t="str">
        <f t="shared" si="99"/>
        <v>Clearbanc</v>
      </c>
      <c r="BO1131">
        <f t="shared" si="96"/>
        <v>411</v>
      </c>
      <c r="BP1131">
        <f t="shared" si="97"/>
        <v>612</v>
      </c>
      <c r="BQ1131">
        <f t="shared" si="98"/>
        <v>1023</v>
      </c>
    </row>
    <row r="1132" spans="26:69" hidden="1" x14ac:dyDescent="0.25">
      <c r="Z1132" s="7" t="s">
        <v>462</v>
      </c>
      <c r="AA1132" s="1">
        <v>0.27</v>
      </c>
      <c r="AI1132" s="7" t="s">
        <v>467</v>
      </c>
      <c r="AJ1132" s="40">
        <v>1</v>
      </c>
      <c r="AL1132" s="7" t="s">
        <v>469</v>
      </c>
      <c r="AM1132" s="27">
        <v>1</v>
      </c>
      <c r="AW1132" s="7" t="s">
        <v>540</v>
      </c>
      <c r="AX1132" s="27">
        <v>109</v>
      </c>
      <c r="BC1132" s="7" t="s">
        <v>511</v>
      </c>
      <c r="BD1132" s="27">
        <v>117</v>
      </c>
      <c r="BJ1132" s="7" t="s">
        <v>473</v>
      </c>
      <c r="BK1132" s="40">
        <v>2060</v>
      </c>
      <c r="BL1132" s="40">
        <v>235</v>
      </c>
      <c r="BN1132" t="str">
        <f t="shared" si="99"/>
        <v>Clearco</v>
      </c>
      <c r="BO1132">
        <f t="shared" si="96"/>
        <v>37</v>
      </c>
      <c r="BP1132">
        <f t="shared" si="97"/>
        <v>131</v>
      </c>
      <c r="BQ1132">
        <f t="shared" si="98"/>
        <v>168</v>
      </c>
    </row>
    <row r="1133" spans="26:69" hidden="1" x14ac:dyDescent="0.25">
      <c r="Z1133" s="7" t="s">
        <v>463</v>
      </c>
      <c r="AA1133" s="1">
        <v>0.15</v>
      </c>
      <c r="AI1133" s="7" t="s">
        <v>469</v>
      </c>
      <c r="AJ1133" s="40">
        <v>1</v>
      </c>
      <c r="AL1133" s="7" t="s">
        <v>470</v>
      </c>
      <c r="AM1133" s="27">
        <v>2</v>
      </c>
      <c r="AW1133" s="7" t="s">
        <v>541</v>
      </c>
      <c r="AX1133" s="27">
        <v>920</v>
      </c>
      <c r="BC1133" s="7" t="s">
        <v>513</v>
      </c>
      <c r="BD1133" s="27">
        <v>736</v>
      </c>
      <c r="BJ1133" s="7" t="s">
        <v>476</v>
      </c>
      <c r="BK1133" s="40">
        <v>76</v>
      </c>
      <c r="BL1133" s="40">
        <v>60</v>
      </c>
      <c r="BN1133" t="str">
        <f t="shared" si="99"/>
        <v>CleverTap</v>
      </c>
      <c r="BO1133">
        <f t="shared" si="96"/>
        <v>482</v>
      </c>
      <c r="BP1133">
        <f t="shared" si="97"/>
        <v>378</v>
      </c>
      <c r="BQ1133">
        <f t="shared" si="98"/>
        <v>860</v>
      </c>
    </row>
    <row r="1134" spans="26:69" hidden="1" x14ac:dyDescent="0.25">
      <c r="Z1134" s="7" t="s">
        <v>464</v>
      </c>
      <c r="AA1134" s="1">
        <v>0.3</v>
      </c>
      <c r="AI1134" s="7" t="s">
        <v>470</v>
      </c>
      <c r="AJ1134" s="40">
        <v>2</v>
      </c>
      <c r="AL1134" s="7" t="s">
        <v>472</v>
      </c>
      <c r="AM1134" s="27">
        <v>1</v>
      </c>
      <c r="AW1134" s="7" t="s">
        <v>543</v>
      </c>
      <c r="AX1134" s="27">
        <v>150</v>
      </c>
      <c r="BC1134" s="7" t="s">
        <v>514</v>
      </c>
      <c r="BD1134" s="27">
        <v>5</v>
      </c>
      <c r="BJ1134" s="7" t="s">
        <v>477</v>
      </c>
      <c r="BK1134" s="40">
        <v>537</v>
      </c>
      <c r="BL1134" s="40">
        <v>60</v>
      </c>
      <c r="BN1134" t="str">
        <f t="shared" si="99"/>
        <v>ClickUp</v>
      </c>
      <c r="BO1134">
        <f t="shared" si="96"/>
        <v>157</v>
      </c>
      <c r="BP1134">
        <f t="shared" si="97"/>
        <v>378</v>
      </c>
      <c r="BQ1134">
        <f t="shared" si="98"/>
        <v>535</v>
      </c>
    </row>
    <row r="1135" spans="26:69" hidden="1" x14ac:dyDescent="0.25">
      <c r="Z1135" s="7" t="s">
        <v>465</v>
      </c>
      <c r="AA1135" s="1">
        <v>0</v>
      </c>
      <c r="AI1135" s="7" t="s">
        <v>472</v>
      </c>
      <c r="AJ1135" s="40">
        <v>1</v>
      </c>
      <c r="AL1135" s="7" t="s">
        <v>473</v>
      </c>
      <c r="AM1135" s="27">
        <v>3</v>
      </c>
      <c r="AW1135" s="7" t="s">
        <v>544</v>
      </c>
      <c r="AX1135" s="27">
        <v>65</v>
      </c>
      <c r="BC1135" s="7" t="s">
        <v>515</v>
      </c>
      <c r="BD1135" s="27">
        <v>37</v>
      </c>
      <c r="BJ1135" s="7" t="s">
        <v>478</v>
      </c>
      <c r="BK1135" s="40">
        <v>59</v>
      </c>
      <c r="BL1135" s="40">
        <v>40</v>
      </c>
      <c r="BN1135" t="str">
        <f t="shared" si="99"/>
        <v>Clinc</v>
      </c>
      <c r="BO1135">
        <f t="shared" si="96"/>
        <v>518</v>
      </c>
      <c r="BP1135">
        <f t="shared" si="97"/>
        <v>454</v>
      </c>
      <c r="BQ1135">
        <f t="shared" si="98"/>
        <v>972</v>
      </c>
    </row>
    <row r="1136" spans="26:69" hidden="1" x14ac:dyDescent="0.25">
      <c r="Z1136" s="7" t="s">
        <v>466</v>
      </c>
      <c r="AA1136" s="1">
        <v>0.05</v>
      </c>
      <c r="AI1136" s="7" t="s">
        <v>473</v>
      </c>
      <c r="AJ1136" s="40">
        <v>3</v>
      </c>
      <c r="AL1136" s="7" t="s">
        <v>476</v>
      </c>
      <c r="AM1136" s="27">
        <v>1</v>
      </c>
      <c r="AW1136" s="7" t="s">
        <v>545</v>
      </c>
      <c r="AX1136" s="27">
        <v>400</v>
      </c>
      <c r="BC1136" s="7" t="s">
        <v>517</v>
      </c>
      <c r="BD1136" s="27">
        <v>380</v>
      </c>
      <c r="BJ1136" s="7" t="s">
        <v>480</v>
      </c>
      <c r="BK1136" s="40">
        <v>78</v>
      </c>
      <c r="BL1136" s="40">
        <v>0</v>
      </c>
      <c r="BN1136" t="str">
        <f t="shared" si="99"/>
        <v>CloudFactory</v>
      </c>
      <c r="BO1136">
        <f t="shared" si="96"/>
        <v>477</v>
      </c>
      <c r="BP1136">
        <f t="shared" si="97"/>
        <v>683</v>
      </c>
      <c r="BQ1136">
        <f t="shared" si="98"/>
        <v>1160</v>
      </c>
    </row>
    <row r="1137" spans="26:69" hidden="1" x14ac:dyDescent="0.25">
      <c r="Z1137" s="7" t="s">
        <v>467</v>
      </c>
      <c r="AA1137" s="1">
        <v>0.22</v>
      </c>
      <c r="AI1137" s="7" t="s">
        <v>476</v>
      </c>
      <c r="AJ1137" s="40">
        <v>1</v>
      </c>
      <c r="AL1137" s="7" t="s">
        <v>477</v>
      </c>
      <c r="AM1137" s="27">
        <v>1</v>
      </c>
      <c r="AW1137" s="7" t="s">
        <v>546</v>
      </c>
      <c r="AX1137" s="27">
        <v>300</v>
      </c>
      <c r="BC1137" s="7" t="s">
        <v>518</v>
      </c>
      <c r="BD1137" s="27">
        <v>280</v>
      </c>
      <c r="BJ1137" s="7" t="s">
        <v>483</v>
      </c>
      <c r="BK1137" s="40">
        <v>100</v>
      </c>
      <c r="BL1137" s="40">
        <v>40</v>
      </c>
      <c r="BN1137" t="str">
        <f t="shared" si="99"/>
        <v>Cloudinary</v>
      </c>
      <c r="BO1137">
        <f t="shared" si="96"/>
        <v>439</v>
      </c>
      <c r="BP1137">
        <f t="shared" si="97"/>
        <v>454</v>
      </c>
      <c r="BQ1137">
        <f t="shared" si="98"/>
        <v>893</v>
      </c>
    </row>
    <row r="1138" spans="26:69" hidden="1" x14ac:dyDescent="0.25">
      <c r="Z1138" s="7" t="s">
        <v>469</v>
      </c>
      <c r="AA1138" s="1">
        <v>0.2</v>
      </c>
      <c r="AI1138" s="7" t="s">
        <v>477</v>
      </c>
      <c r="AJ1138" s="40">
        <v>1</v>
      </c>
      <c r="AL1138" s="7" t="s">
        <v>478</v>
      </c>
      <c r="AM1138" s="27">
        <v>1</v>
      </c>
      <c r="AW1138" s="7" t="s">
        <v>547</v>
      </c>
      <c r="AX1138" s="27">
        <v>30</v>
      </c>
      <c r="BC1138" s="7" t="s">
        <v>519</v>
      </c>
      <c r="BD1138" s="27">
        <v>1765</v>
      </c>
      <c r="BJ1138" s="7" t="s">
        <v>484</v>
      </c>
      <c r="BK1138" s="40">
        <v>47</v>
      </c>
      <c r="BL1138" s="40">
        <v>31</v>
      </c>
      <c r="BN1138" t="str">
        <f t="shared" si="99"/>
        <v>Clue</v>
      </c>
      <c r="BO1138">
        <f t="shared" si="96"/>
        <v>552</v>
      </c>
      <c r="BP1138">
        <f t="shared" si="97"/>
        <v>508</v>
      </c>
      <c r="BQ1138">
        <f t="shared" si="98"/>
        <v>1060</v>
      </c>
    </row>
    <row r="1139" spans="26:69" hidden="1" x14ac:dyDescent="0.25">
      <c r="Z1139" s="7" t="s">
        <v>470</v>
      </c>
      <c r="AA1139" s="1">
        <v>0.27</v>
      </c>
      <c r="AI1139" s="7" t="s">
        <v>478</v>
      </c>
      <c r="AJ1139" s="40">
        <v>1</v>
      </c>
      <c r="AL1139" s="7" t="s">
        <v>480</v>
      </c>
      <c r="AM1139" s="27">
        <v>1</v>
      </c>
      <c r="AW1139" s="7" t="s">
        <v>548</v>
      </c>
      <c r="AX1139" s="27">
        <v>121</v>
      </c>
      <c r="BC1139" s="7" t="s">
        <v>520</v>
      </c>
      <c r="BD1139" s="27">
        <v>102</v>
      </c>
      <c r="BJ1139" s="7" t="s">
        <v>485</v>
      </c>
      <c r="BK1139" s="40">
        <v>406</v>
      </c>
      <c r="BL1139" s="40">
        <v>226</v>
      </c>
      <c r="BN1139" t="str">
        <f t="shared" si="99"/>
        <v>Clutch</v>
      </c>
      <c r="BO1139">
        <f t="shared" si="96"/>
        <v>194</v>
      </c>
      <c r="BP1139">
        <f t="shared" si="97"/>
        <v>134</v>
      </c>
      <c r="BQ1139">
        <f t="shared" si="98"/>
        <v>328</v>
      </c>
    </row>
    <row r="1140" spans="26:69" hidden="1" x14ac:dyDescent="0.25">
      <c r="Z1140" s="7" t="s">
        <v>472</v>
      </c>
      <c r="AA1140" s="1">
        <v>0.08</v>
      </c>
      <c r="AI1140" s="7" t="s">
        <v>480</v>
      </c>
      <c r="AJ1140" s="40">
        <v>1</v>
      </c>
      <c r="AL1140" s="7" t="s">
        <v>483</v>
      </c>
      <c r="AM1140" s="27">
        <v>1</v>
      </c>
      <c r="AW1140" s="7" t="s">
        <v>550</v>
      </c>
      <c r="AX1140" s="27">
        <v>34</v>
      </c>
      <c r="BC1140" s="7" t="s">
        <v>521</v>
      </c>
      <c r="BD1140" s="27">
        <v>169</v>
      </c>
      <c r="BJ1140" s="7" t="s">
        <v>486</v>
      </c>
      <c r="BK1140" s="40">
        <v>296</v>
      </c>
      <c r="BL1140" s="40">
        <v>0</v>
      </c>
      <c r="BN1140" t="str">
        <f t="shared" si="99"/>
        <v>Clutter</v>
      </c>
      <c r="BO1140">
        <f t="shared" si="96"/>
        <v>247</v>
      </c>
      <c r="BP1140">
        <f t="shared" si="97"/>
        <v>683</v>
      </c>
      <c r="BQ1140">
        <f t="shared" si="98"/>
        <v>930</v>
      </c>
    </row>
    <row r="1141" spans="26:69" hidden="1" x14ac:dyDescent="0.25">
      <c r="Z1141" s="7" t="s">
        <v>473</v>
      </c>
      <c r="AA1141" s="1">
        <v>0.3</v>
      </c>
      <c r="AI1141" s="7" t="s">
        <v>483</v>
      </c>
      <c r="AJ1141" s="40">
        <v>1</v>
      </c>
      <c r="AL1141" s="7" t="s">
        <v>484</v>
      </c>
      <c r="AM1141" s="27">
        <v>1</v>
      </c>
      <c r="AW1141" s="7" t="s">
        <v>552</v>
      </c>
      <c r="AX1141" s="27">
        <v>60</v>
      </c>
      <c r="BC1141" s="7" t="s">
        <v>522</v>
      </c>
      <c r="BD1141" s="27">
        <v>160</v>
      </c>
      <c r="BJ1141" s="7" t="s">
        <v>487</v>
      </c>
      <c r="BK1141" s="40">
        <v>58</v>
      </c>
      <c r="BL1141" s="40">
        <v>22</v>
      </c>
      <c r="BN1141" t="str">
        <f t="shared" si="99"/>
        <v>Clyde</v>
      </c>
      <c r="BO1141">
        <f t="shared" si="96"/>
        <v>521</v>
      </c>
      <c r="BP1141">
        <f t="shared" si="97"/>
        <v>581</v>
      </c>
      <c r="BQ1141">
        <f t="shared" si="98"/>
        <v>1102</v>
      </c>
    </row>
    <row r="1142" spans="26:69" hidden="1" x14ac:dyDescent="0.25">
      <c r="Z1142" s="7" t="s">
        <v>476</v>
      </c>
      <c r="AA1142" s="1">
        <v>0.2</v>
      </c>
      <c r="AI1142" s="7" t="s">
        <v>484</v>
      </c>
      <c r="AJ1142" s="40">
        <v>1</v>
      </c>
      <c r="AL1142" s="7" t="s">
        <v>485</v>
      </c>
      <c r="AM1142" s="27">
        <v>2</v>
      </c>
      <c r="AW1142" s="7" t="s">
        <v>554</v>
      </c>
      <c r="AX1142" s="27">
        <v>40</v>
      </c>
      <c r="BC1142" s="7" t="s">
        <v>523</v>
      </c>
      <c r="BD1142" s="27">
        <v>70</v>
      </c>
      <c r="BJ1142" s="7" t="s">
        <v>488</v>
      </c>
      <c r="BK1142" s="40">
        <v>20</v>
      </c>
      <c r="BL1142" s="40">
        <v>12</v>
      </c>
      <c r="BN1142" t="str">
        <f t="shared" si="99"/>
        <v>CNET</v>
      </c>
      <c r="BO1142">
        <f t="shared" si="96"/>
        <v>640</v>
      </c>
      <c r="BP1142">
        <f t="shared" si="97"/>
        <v>640</v>
      </c>
      <c r="BQ1142">
        <f t="shared" si="98"/>
        <v>1280</v>
      </c>
    </row>
    <row r="1143" spans="26:69" hidden="1" x14ac:dyDescent="0.25">
      <c r="Z1143" s="7" t="s">
        <v>477</v>
      </c>
      <c r="AA1143" s="1">
        <v>7.0000000000000007E-2</v>
      </c>
      <c r="AI1143" s="7" t="s">
        <v>485</v>
      </c>
      <c r="AJ1143" s="40">
        <v>2</v>
      </c>
      <c r="AL1143" s="7" t="s">
        <v>486</v>
      </c>
      <c r="AM1143" s="27">
        <v>1</v>
      </c>
      <c r="AW1143" s="7" t="s">
        <v>556</v>
      </c>
      <c r="AX1143" s="27">
        <v>200</v>
      </c>
      <c r="BC1143" s="7" t="s">
        <v>524</v>
      </c>
      <c r="BD1143" s="27">
        <v>16</v>
      </c>
      <c r="BJ1143" s="7" t="s">
        <v>489</v>
      </c>
      <c r="BK1143" s="40">
        <v>332</v>
      </c>
      <c r="BL1143" s="40">
        <v>0</v>
      </c>
      <c r="BN1143" t="str">
        <f t="shared" si="99"/>
        <v>CoachHub</v>
      </c>
      <c r="BO1143">
        <f t="shared" si="96"/>
        <v>226</v>
      </c>
      <c r="BP1143">
        <f t="shared" si="97"/>
        <v>683</v>
      </c>
      <c r="BQ1143">
        <f t="shared" si="98"/>
        <v>909</v>
      </c>
    </row>
    <row r="1144" spans="26:69" hidden="1" x14ac:dyDescent="0.25">
      <c r="Z1144" s="7" t="s">
        <v>478</v>
      </c>
      <c r="AA1144" s="1">
        <v>0.32</v>
      </c>
      <c r="AI1144" s="7" t="s">
        <v>486</v>
      </c>
      <c r="AJ1144" s="40">
        <v>1</v>
      </c>
      <c r="AL1144" s="7" t="s">
        <v>487</v>
      </c>
      <c r="AM1144" s="27">
        <v>1</v>
      </c>
      <c r="AW1144" s="7" t="s">
        <v>557</v>
      </c>
      <c r="AX1144" s="27">
        <v>134</v>
      </c>
      <c r="BC1144" s="7" t="s">
        <v>525</v>
      </c>
      <c r="BD1144" s="27">
        <v>120</v>
      </c>
      <c r="BJ1144" s="7" t="s">
        <v>490</v>
      </c>
      <c r="BK1144" s="40">
        <v>275</v>
      </c>
      <c r="BL1144" s="40">
        <v>25</v>
      </c>
      <c r="BN1144" t="str">
        <f t="shared" si="99"/>
        <v>Code42</v>
      </c>
      <c r="BO1144">
        <f t="shared" si="96"/>
        <v>260</v>
      </c>
      <c r="BP1144">
        <f t="shared" si="97"/>
        <v>554</v>
      </c>
      <c r="BQ1144">
        <f t="shared" si="98"/>
        <v>814</v>
      </c>
    </row>
    <row r="1145" spans="26:69" hidden="1" x14ac:dyDescent="0.25">
      <c r="Z1145" s="7" t="s">
        <v>480</v>
      </c>
      <c r="AA1145" s="1">
        <v>0.12</v>
      </c>
      <c r="AI1145" s="7" t="s">
        <v>487</v>
      </c>
      <c r="AJ1145" s="40">
        <v>1</v>
      </c>
      <c r="AL1145" s="7" t="s">
        <v>488</v>
      </c>
      <c r="AM1145" s="27">
        <v>1</v>
      </c>
      <c r="AW1145" s="7" t="s">
        <v>559</v>
      </c>
      <c r="AX1145" s="27">
        <v>6</v>
      </c>
      <c r="BC1145" s="7" t="s">
        <v>526</v>
      </c>
      <c r="BD1145" s="27">
        <v>314</v>
      </c>
      <c r="BJ1145" s="7" t="s">
        <v>491</v>
      </c>
      <c r="BK1145" s="40">
        <v>8</v>
      </c>
      <c r="BL1145" s="40">
        <v>8</v>
      </c>
      <c r="BN1145" t="str">
        <f t="shared" si="99"/>
        <v>CodeCombat</v>
      </c>
      <c r="BO1145">
        <f t="shared" si="96"/>
        <v>697</v>
      </c>
      <c r="BP1145">
        <f t="shared" si="97"/>
        <v>666</v>
      </c>
      <c r="BQ1145">
        <f t="shared" si="98"/>
        <v>1363</v>
      </c>
    </row>
    <row r="1146" spans="26:69" hidden="1" x14ac:dyDescent="0.25">
      <c r="Z1146" s="7" t="s">
        <v>483</v>
      </c>
      <c r="AA1146" s="1">
        <v>0.08</v>
      </c>
      <c r="AI1146" s="7" t="s">
        <v>488</v>
      </c>
      <c r="AJ1146" s="40">
        <v>1</v>
      </c>
      <c r="AL1146" s="7" t="s">
        <v>489</v>
      </c>
      <c r="AM1146" s="27">
        <v>1</v>
      </c>
      <c r="AW1146" s="7" t="s">
        <v>560</v>
      </c>
      <c r="AX1146" s="27">
        <v>30</v>
      </c>
      <c r="BC1146" s="7" t="s">
        <v>527</v>
      </c>
      <c r="BD1146" s="27">
        <v>3</v>
      </c>
      <c r="BJ1146" s="7" t="s">
        <v>492</v>
      </c>
      <c r="BK1146" s="40">
        <v>162</v>
      </c>
      <c r="BL1146" s="40">
        <v>0</v>
      </c>
      <c r="BN1146" t="str">
        <f t="shared" si="99"/>
        <v>Codexis</v>
      </c>
      <c r="BO1146">
        <f t="shared" si="96"/>
        <v>360</v>
      </c>
      <c r="BP1146">
        <f t="shared" si="97"/>
        <v>683</v>
      </c>
      <c r="BQ1146">
        <f t="shared" si="98"/>
        <v>1043</v>
      </c>
    </row>
    <row r="1147" spans="26:69" hidden="1" x14ac:dyDescent="0.25">
      <c r="Z1147" s="7" t="s">
        <v>484</v>
      </c>
      <c r="AA1147" s="1">
        <v>0.31</v>
      </c>
      <c r="AI1147" s="7" t="s">
        <v>489</v>
      </c>
      <c r="AJ1147" s="40">
        <v>1</v>
      </c>
      <c r="AL1147" s="7" t="s">
        <v>490</v>
      </c>
      <c r="AM1147" s="27">
        <v>2</v>
      </c>
      <c r="AW1147" s="7" t="s">
        <v>561</v>
      </c>
      <c r="AX1147" s="27">
        <v>270</v>
      </c>
      <c r="BC1147" s="7" t="s">
        <v>528</v>
      </c>
      <c r="BD1147" s="27">
        <v>24</v>
      </c>
      <c r="BJ1147" s="7" t="s">
        <v>493</v>
      </c>
      <c r="BK1147" s="40">
        <v>2</v>
      </c>
      <c r="BL1147" s="40">
        <v>7</v>
      </c>
      <c r="BN1147" t="str">
        <f t="shared" si="99"/>
        <v>Coding Dojo</v>
      </c>
      <c r="BO1147">
        <f t="shared" si="96"/>
        <v>725</v>
      </c>
      <c r="BP1147">
        <f t="shared" si="97"/>
        <v>670</v>
      </c>
      <c r="BQ1147">
        <f t="shared" si="98"/>
        <v>1395</v>
      </c>
    </row>
    <row r="1148" spans="26:69" hidden="1" x14ac:dyDescent="0.25">
      <c r="Z1148" s="7" t="s">
        <v>485</v>
      </c>
      <c r="AA1148" s="1">
        <v>0.22</v>
      </c>
      <c r="AI1148" s="7" t="s">
        <v>490</v>
      </c>
      <c r="AJ1148" s="40">
        <v>2</v>
      </c>
      <c r="AL1148" s="7" t="s">
        <v>491</v>
      </c>
      <c r="AM1148" s="27">
        <v>1</v>
      </c>
      <c r="AW1148" s="7" t="s">
        <v>562</v>
      </c>
      <c r="AX1148" s="27">
        <v>15</v>
      </c>
      <c r="BC1148" s="7" t="s">
        <v>529</v>
      </c>
      <c r="BD1148" s="27">
        <v>5300</v>
      </c>
      <c r="BJ1148" s="7" t="s">
        <v>494</v>
      </c>
      <c r="BK1148" s="40">
        <v>92</v>
      </c>
      <c r="BL1148" s="40">
        <v>24</v>
      </c>
      <c r="BN1148" t="str">
        <f t="shared" si="99"/>
        <v>Cogito</v>
      </c>
      <c r="BO1148">
        <f t="shared" si="96"/>
        <v>453</v>
      </c>
      <c r="BP1148">
        <f t="shared" si="97"/>
        <v>564</v>
      </c>
      <c r="BQ1148">
        <f t="shared" si="98"/>
        <v>1017</v>
      </c>
    </row>
    <row r="1149" spans="26:69" hidden="1" x14ac:dyDescent="0.25">
      <c r="Z1149" s="7" t="s">
        <v>486</v>
      </c>
      <c r="AA1149" s="1">
        <v>0.3</v>
      </c>
      <c r="AI1149" s="7" t="s">
        <v>491</v>
      </c>
      <c r="AJ1149" s="40">
        <v>1</v>
      </c>
      <c r="AL1149" s="7" t="s">
        <v>492</v>
      </c>
      <c r="AM1149" s="27">
        <v>1</v>
      </c>
      <c r="AW1149" s="7" t="s">
        <v>564</v>
      </c>
      <c r="AX1149" s="27">
        <v>50</v>
      </c>
      <c r="BC1149" s="7" t="s">
        <v>530</v>
      </c>
      <c r="BD1149" s="27">
        <v>26</v>
      </c>
      <c r="BJ1149" s="7" t="s">
        <v>495</v>
      </c>
      <c r="BK1149" s="40">
        <v>0</v>
      </c>
      <c r="BL1149" s="40">
        <v>100</v>
      </c>
      <c r="BN1149" t="str">
        <f t="shared" si="99"/>
        <v>Cognyte</v>
      </c>
      <c r="BO1149">
        <f t="shared" si="96"/>
        <v>742</v>
      </c>
      <c r="BP1149">
        <f t="shared" si="97"/>
        <v>254</v>
      </c>
      <c r="BQ1149">
        <f t="shared" si="98"/>
        <v>996</v>
      </c>
    </row>
    <row r="1150" spans="26:69" hidden="1" x14ac:dyDescent="0.25">
      <c r="Z1150" s="7" t="s">
        <v>487</v>
      </c>
      <c r="AA1150" s="1">
        <v>0</v>
      </c>
      <c r="AI1150" s="7" t="s">
        <v>492</v>
      </c>
      <c r="AJ1150" s="40">
        <v>1</v>
      </c>
      <c r="AL1150" s="7" t="s">
        <v>493</v>
      </c>
      <c r="AM1150" s="27">
        <v>1</v>
      </c>
      <c r="AW1150" s="7" t="s">
        <v>565</v>
      </c>
      <c r="AX1150" s="27">
        <v>100</v>
      </c>
      <c r="BC1150" s="7" t="s">
        <v>533</v>
      </c>
      <c r="BD1150" s="27">
        <v>312</v>
      </c>
      <c r="BJ1150" s="7" t="s">
        <v>496</v>
      </c>
      <c r="BK1150" s="40">
        <v>1647</v>
      </c>
      <c r="BL1150" s="40">
        <v>2110</v>
      </c>
      <c r="BN1150" t="str">
        <f t="shared" si="99"/>
        <v>Coinbase</v>
      </c>
      <c r="BO1150">
        <f t="shared" si="96"/>
        <v>52</v>
      </c>
      <c r="BP1150">
        <f t="shared" si="97"/>
        <v>16</v>
      </c>
      <c r="BQ1150">
        <f t="shared" si="98"/>
        <v>68</v>
      </c>
    </row>
    <row r="1151" spans="26:69" hidden="1" x14ac:dyDescent="0.25">
      <c r="Z1151" s="7" t="s">
        <v>488</v>
      </c>
      <c r="AA1151" s="1">
        <v>0.1</v>
      </c>
      <c r="AI1151" s="7" t="s">
        <v>493</v>
      </c>
      <c r="AJ1151" s="40">
        <v>1</v>
      </c>
      <c r="AL1151" s="7" t="s">
        <v>494</v>
      </c>
      <c r="AM1151" s="27">
        <v>1</v>
      </c>
      <c r="AW1151" s="7" t="s">
        <v>567</v>
      </c>
      <c r="AX1151" s="27">
        <v>55</v>
      </c>
      <c r="BC1151" s="7" t="s">
        <v>534</v>
      </c>
      <c r="BD1151" s="27">
        <v>233</v>
      </c>
      <c r="BJ1151" s="7" t="s">
        <v>497</v>
      </c>
      <c r="BK1151" s="40">
        <v>244</v>
      </c>
      <c r="BL1151" s="40">
        <v>80</v>
      </c>
      <c r="BN1151" t="str">
        <f t="shared" si="99"/>
        <v>CoinDCX</v>
      </c>
      <c r="BO1151">
        <f t="shared" si="96"/>
        <v>281</v>
      </c>
      <c r="BP1151">
        <f t="shared" si="97"/>
        <v>322</v>
      </c>
      <c r="BQ1151">
        <f t="shared" si="98"/>
        <v>603</v>
      </c>
    </row>
    <row r="1152" spans="26:69" hidden="1" x14ac:dyDescent="0.25">
      <c r="Z1152" s="7" t="s">
        <v>489</v>
      </c>
      <c r="AA1152" s="1">
        <v>0.1</v>
      </c>
      <c r="AI1152" s="7" t="s">
        <v>494</v>
      </c>
      <c r="AJ1152" s="40">
        <v>1</v>
      </c>
      <c r="AL1152" s="7" t="s">
        <v>495</v>
      </c>
      <c r="AM1152" s="27">
        <v>1</v>
      </c>
      <c r="AW1152" s="7" t="s">
        <v>571</v>
      </c>
      <c r="AX1152" s="27">
        <v>669</v>
      </c>
      <c r="BC1152" s="7" t="s">
        <v>536</v>
      </c>
      <c r="BD1152" s="27">
        <v>7</v>
      </c>
      <c r="BJ1152" s="7" t="s">
        <v>498</v>
      </c>
      <c r="BK1152" s="40">
        <v>1</v>
      </c>
      <c r="BL1152" s="40">
        <v>10</v>
      </c>
      <c r="BN1152" t="str">
        <f t="shared" si="99"/>
        <v>CoinJar</v>
      </c>
      <c r="BO1152">
        <f t="shared" si="96"/>
        <v>735</v>
      </c>
      <c r="BP1152">
        <f t="shared" si="97"/>
        <v>653</v>
      </c>
      <c r="BQ1152">
        <f t="shared" si="98"/>
        <v>1388</v>
      </c>
    </row>
    <row r="1153" spans="26:69" hidden="1" x14ac:dyDescent="0.25">
      <c r="Z1153" s="7" t="s">
        <v>490</v>
      </c>
      <c r="AA1153" s="1">
        <v>0.15</v>
      </c>
      <c r="AI1153" s="7" t="s">
        <v>495</v>
      </c>
      <c r="AJ1153" s="40">
        <v>1</v>
      </c>
      <c r="AL1153" s="7" t="s">
        <v>496</v>
      </c>
      <c r="AM1153" s="27">
        <v>3</v>
      </c>
      <c r="AW1153" s="7" t="s">
        <v>572</v>
      </c>
      <c r="AX1153" s="27">
        <v>717</v>
      </c>
      <c r="BC1153" s="7" t="s">
        <v>537</v>
      </c>
      <c r="BD1153" s="27">
        <v>1998</v>
      </c>
      <c r="BJ1153" s="7" t="s">
        <v>499</v>
      </c>
      <c r="BK1153" s="40">
        <v>98</v>
      </c>
      <c r="BL1153" s="40">
        <v>30</v>
      </c>
      <c r="BN1153" t="str">
        <f t="shared" si="99"/>
        <v>Coinsquare</v>
      </c>
      <c r="BO1153">
        <f t="shared" si="96"/>
        <v>445</v>
      </c>
      <c r="BP1153">
        <f t="shared" si="97"/>
        <v>512</v>
      </c>
      <c r="BQ1153">
        <f t="shared" si="98"/>
        <v>957</v>
      </c>
    </row>
    <row r="1154" spans="26:69" hidden="1" x14ac:dyDescent="0.25">
      <c r="Z1154" s="7" t="s">
        <v>491</v>
      </c>
      <c r="AA1154" s="1">
        <v>0</v>
      </c>
      <c r="AI1154" s="7" t="s">
        <v>496</v>
      </c>
      <c r="AJ1154" s="40">
        <v>3</v>
      </c>
      <c r="AL1154" s="7" t="s">
        <v>497</v>
      </c>
      <c r="AM1154" s="27">
        <v>1</v>
      </c>
      <c r="AW1154" s="7" t="s">
        <v>573</v>
      </c>
      <c r="AX1154" s="27">
        <v>120</v>
      </c>
      <c r="BC1154" s="7" t="s">
        <v>538</v>
      </c>
      <c r="BD1154" s="27">
        <v>157</v>
      </c>
      <c r="BJ1154" s="7" t="s">
        <v>500</v>
      </c>
      <c r="BK1154" s="40">
        <v>101</v>
      </c>
      <c r="BL1154" s="40">
        <v>19</v>
      </c>
      <c r="BN1154" t="str">
        <f t="shared" si="99"/>
        <v>CoinTracker</v>
      </c>
      <c r="BO1154">
        <f t="shared" si="96"/>
        <v>437</v>
      </c>
      <c r="BP1154">
        <f t="shared" si="97"/>
        <v>603</v>
      </c>
      <c r="BQ1154">
        <f t="shared" si="98"/>
        <v>1040</v>
      </c>
    </row>
    <row r="1155" spans="26:69" hidden="1" x14ac:dyDescent="0.25">
      <c r="Z1155" s="7" t="s">
        <v>492</v>
      </c>
      <c r="AA1155" s="1">
        <v>0.18</v>
      </c>
      <c r="AI1155" s="7" t="s">
        <v>497</v>
      </c>
      <c r="AJ1155" s="40">
        <v>1</v>
      </c>
      <c r="AL1155" s="7" t="s">
        <v>498</v>
      </c>
      <c r="AM1155" s="27">
        <v>1</v>
      </c>
      <c r="AW1155" s="7" t="s">
        <v>574</v>
      </c>
      <c r="AX1155" s="27">
        <v>556</v>
      </c>
      <c r="BC1155" s="7" t="s">
        <v>539</v>
      </c>
      <c r="BD1155" s="27">
        <v>102</v>
      </c>
      <c r="BJ1155" s="7" t="s">
        <v>501</v>
      </c>
      <c r="BK1155" s="40">
        <v>719</v>
      </c>
      <c r="BL1155" s="40">
        <v>54</v>
      </c>
      <c r="BN1155" t="str">
        <f t="shared" si="99"/>
        <v>Collective Health</v>
      </c>
      <c r="BO1155">
        <f t="shared" si="96"/>
        <v>120</v>
      </c>
      <c r="BP1155">
        <f t="shared" si="97"/>
        <v>404</v>
      </c>
      <c r="BQ1155">
        <f t="shared" si="98"/>
        <v>524</v>
      </c>
    </row>
    <row r="1156" spans="26:69" hidden="1" x14ac:dyDescent="0.25">
      <c r="Z1156" s="7" t="s">
        <v>493</v>
      </c>
      <c r="AA1156" s="1">
        <v>7.0000000000000007E-2</v>
      </c>
      <c r="AI1156" s="7" t="s">
        <v>498</v>
      </c>
      <c r="AJ1156" s="40">
        <v>1</v>
      </c>
      <c r="AL1156" s="7" t="s">
        <v>499</v>
      </c>
      <c r="AM1156" s="27">
        <v>1</v>
      </c>
      <c r="AW1156" s="7" t="s">
        <v>575</v>
      </c>
      <c r="AX1156" s="27">
        <v>6650</v>
      </c>
      <c r="BC1156" s="7" t="s">
        <v>540</v>
      </c>
      <c r="BD1156" s="27">
        <v>8</v>
      </c>
      <c r="BJ1156" s="7" t="s">
        <v>502</v>
      </c>
      <c r="BK1156" s="40">
        <v>482</v>
      </c>
      <c r="BL1156" s="40">
        <v>300</v>
      </c>
      <c r="BN1156" t="str">
        <f t="shared" si="99"/>
        <v>Color Health</v>
      </c>
      <c r="BO1156">
        <f t="shared" si="96"/>
        <v>171</v>
      </c>
      <c r="BP1156">
        <f t="shared" si="97"/>
        <v>103</v>
      </c>
      <c r="BQ1156">
        <f t="shared" si="98"/>
        <v>274</v>
      </c>
    </row>
    <row r="1157" spans="26:69" hidden="1" x14ac:dyDescent="0.25">
      <c r="Z1157" s="7" t="s">
        <v>494</v>
      </c>
      <c r="AA1157" s="1">
        <v>0.14000000000000001</v>
      </c>
      <c r="AI1157" s="7" t="s">
        <v>499</v>
      </c>
      <c r="AJ1157" s="40">
        <v>1</v>
      </c>
      <c r="AL1157" s="7" t="s">
        <v>500</v>
      </c>
      <c r="AM1157" s="27">
        <v>1</v>
      </c>
      <c r="AW1157" s="7" t="s">
        <v>576</v>
      </c>
      <c r="AX1157" s="27">
        <v>27</v>
      </c>
      <c r="BC1157" s="7" t="s">
        <v>541</v>
      </c>
      <c r="BD1157" s="27">
        <v>809</v>
      </c>
      <c r="BJ1157" s="7" t="s">
        <v>503</v>
      </c>
      <c r="BK1157" s="40">
        <v>41</v>
      </c>
      <c r="BL1157" s="40">
        <v>97</v>
      </c>
      <c r="BN1157" t="str">
        <f t="shared" si="99"/>
        <v>Colossus</v>
      </c>
      <c r="BO1157">
        <f t="shared" si="96"/>
        <v>568</v>
      </c>
      <c r="BP1157">
        <f t="shared" si="97"/>
        <v>290</v>
      </c>
      <c r="BQ1157">
        <f t="shared" si="98"/>
        <v>858</v>
      </c>
    </row>
    <row r="1158" spans="26:69" hidden="1" x14ac:dyDescent="0.25">
      <c r="Z1158" s="7" t="s">
        <v>495</v>
      </c>
      <c r="AA1158" s="1">
        <v>0.05</v>
      </c>
      <c r="AI1158" s="7" t="s">
        <v>500</v>
      </c>
      <c r="AJ1158" s="40">
        <v>1</v>
      </c>
      <c r="AL1158" s="7" t="s">
        <v>501</v>
      </c>
      <c r="AM1158" s="27">
        <v>1</v>
      </c>
      <c r="AW1158" s="7" t="s">
        <v>577</v>
      </c>
      <c r="AX1158" s="27">
        <v>60</v>
      </c>
      <c r="BC1158" s="7" t="s">
        <v>543</v>
      </c>
      <c r="BD1158" s="27">
        <v>19</v>
      </c>
      <c r="BJ1158" s="7" t="s">
        <v>504</v>
      </c>
      <c r="BK1158" s="40">
        <v>0</v>
      </c>
      <c r="BL1158" s="40">
        <v>371</v>
      </c>
      <c r="BN1158" t="str">
        <f t="shared" si="99"/>
        <v>CommerceHub</v>
      </c>
      <c r="BO1158">
        <f t="shared" si="96"/>
        <v>742</v>
      </c>
      <c r="BP1158">
        <f t="shared" si="97"/>
        <v>91</v>
      </c>
      <c r="BQ1158">
        <f t="shared" si="98"/>
        <v>833</v>
      </c>
    </row>
    <row r="1159" spans="26:69" hidden="1" x14ac:dyDescent="0.25">
      <c r="Z1159" s="7" t="s">
        <v>496</v>
      </c>
      <c r="AA1159" s="1">
        <v>0.2</v>
      </c>
      <c r="AI1159" s="7" t="s">
        <v>501</v>
      </c>
      <c r="AJ1159" s="40">
        <v>1</v>
      </c>
      <c r="AL1159" s="7" t="s">
        <v>502</v>
      </c>
      <c r="AM1159" s="27">
        <v>1</v>
      </c>
      <c r="AW1159" s="7" t="s">
        <v>578</v>
      </c>
      <c r="AX1159" s="27">
        <v>12</v>
      </c>
      <c r="BC1159" s="7" t="s">
        <v>544</v>
      </c>
      <c r="BD1159" s="27">
        <v>182</v>
      </c>
      <c r="BJ1159" s="7" t="s">
        <v>506</v>
      </c>
      <c r="BK1159" s="40">
        <v>255</v>
      </c>
      <c r="BL1159" s="40">
        <v>22</v>
      </c>
      <c r="BN1159" t="str">
        <f t="shared" si="99"/>
        <v>CommonBond</v>
      </c>
      <c r="BO1159">
        <f t="shared" si="96"/>
        <v>273</v>
      </c>
      <c r="BP1159">
        <f t="shared" si="97"/>
        <v>581</v>
      </c>
      <c r="BQ1159">
        <f t="shared" si="98"/>
        <v>854</v>
      </c>
    </row>
    <row r="1160" spans="26:69" hidden="1" x14ac:dyDescent="0.25">
      <c r="Z1160" s="7" t="s">
        <v>497</v>
      </c>
      <c r="AA1160" s="1">
        <v>0</v>
      </c>
      <c r="AI1160" s="7" t="s">
        <v>502</v>
      </c>
      <c r="AJ1160" s="40">
        <v>1</v>
      </c>
      <c r="AL1160" s="7" t="s">
        <v>503</v>
      </c>
      <c r="AM1160" s="27">
        <v>1</v>
      </c>
      <c r="AW1160" s="7" t="s">
        <v>582</v>
      </c>
      <c r="AX1160" s="27">
        <v>5</v>
      </c>
      <c r="BC1160" s="7" t="s">
        <v>545</v>
      </c>
      <c r="BD1160" s="27">
        <v>146</v>
      </c>
      <c r="BJ1160" s="7" t="s">
        <v>507</v>
      </c>
      <c r="BK1160" s="40">
        <v>40</v>
      </c>
      <c r="BL1160" s="40">
        <v>40</v>
      </c>
      <c r="BN1160" t="str">
        <f t="shared" si="99"/>
        <v>Community</v>
      </c>
      <c r="BO1160">
        <f t="shared" si="96"/>
        <v>575</v>
      </c>
      <c r="BP1160">
        <f t="shared" si="97"/>
        <v>454</v>
      </c>
      <c r="BQ1160">
        <f t="shared" si="98"/>
        <v>1029</v>
      </c>
    </row>
    <row r="1161" spans="26:69" x14ac:dyDescent="0.25">
      <c r="Z1161" s="7" t="s">
        <v>498</v>
      </c>
      <c r="AA1161" s="1">
        <v>0.2</v>
      </c>
      <c r="AI1161" s="7" t="s">
        <v>503</v>
      </c>
      <c r="AJ1161" s="40">
        <v>1</v>
      </c>
      <c r="AL1161" s="7" t="s">
        <v>504</v>
      </c>
      <c r="AM1161" s="27">
        <v>1</v>
      </c>
      <c r="AW1161" s="7" t="s">
        <v>584</v>
      </c>
      <c r="AX1161" s="27">
        <v>10</v>
      </c>
      <c r="BC1161" s="7" t="s">
        <v>546</v>
      </c>
      <c r="BD1161" s="27">
        <v>1500</v>
      </c>
      <c r="BJ1161" s="7" t="s">
        <v>508</v>
      </c>
      <c r="BK1161" s="40">
        <v>4800</v>
      </c>
      <c r="BL1161" s="40">
        <v>1096</v>
      </c>
      <c r="BN1161" t="str">
        <f t="shared" si="99"/>
        <v>Compass</v>
      </c>
      <c r="BO1161">
        <f t="shared" ref="BO1161:BO1224" si="100">RANK($BK$839:$BK$1662,$BK$839:$BK$1662,0)</f>
        <v>11</v>
      </c>
      <c r="BP1161">
        <f t="shared" ref="BP1161:BP1224" si="101">RANK($BL$840:$BL$1662,$BL$840:$BL$1662,0)</f>
        <v>28</v>
      </c>
      <c r="BQ1161">
        <f t="shared" ref="BQ1161:BQ1224" si="102">BO1161+BP1161</f>
        <v>39</v>
      </c>
    </row>
    <row r="1162" spans="26:69" hidden="1" x14ac:dyDescent="0.25">
      <c r="Z1162" s="7" t="s">
        <v>499</v>
      </c>
      <c r="AA1162" s="1">
        <v>0.24</v>
      </c>
      <c r="AI1162" s="7" t="s">
        <v>504</v>
      </c>
      <c r="AJ1162" s="40">
        <v>1</v>
      </c>
      <c r="AL1162" s="7" t="s">
        <v>506</v>
      </c>
      <c r="AM1162" s="27">
        <v>2</v>
      </c>
      <c r="AW1162" s="7" t="s">
        <v>587</v>
      </c>
      <c r="AX1162" s="27">
        <v>200</v>
      </c>
      <c r="BC1162" s="7" t="s">
        <v>547</v>
      </c>
      <c r="BD1162" s="27">
        <v>153</v>
      </c>
      <c r="BJ1162" s="7" t="s">
        <v>509</v>
      </c>
      <c r="BK1162" s="40">
        <v>17</v>
      </c>
      <c r="BL1162" s="40">
        <v>11</v>
      </c>
      <c r="BN1162" t="str">
        <f t="shared" si="99"/>
        <v>Compete</v>
      </c>
      <c r="BO1162">
        <f t="shared" si="100"/>
        <v>653</v>
      </c>
      <c r="BP1162">
        <f t="shared" si="101"/>
        <v>650</v>
      </c>
      <c r="BQ1162">
        <f t="shared" si="102"/>
        <v>1303</v>
      </c>
    </row>
    <row r="1163" spans="26:69" hidden="1" x14ac:dyDescent="0.25">
      <c r="Z1163" s="7" t="s">
        <v>500</v>
      </c>
      <c r="AA1163" s="1">
        <v>0</v>
      </c>
      <c r="AI1163" s="7" t="s">
        <v>506</v>
      </c>
      <c r="AJ1163" s="40">
        <v>2</v>
      </c>
      <c r="AL1163" s="7" t="s">
        <v>507</v>
      </c>
      <c r="AM1163" s="27">
        <v>1</v>
      </c>
      <c r="AW1163" s="7" t="s">
        <v>588</v>
      </c>
      <c r="AX1163" s="27">
        <v>75</v>
      </c>
      <c r="BC1163" s="7" t="s">
        <v>548</v>
      </c>
      <c r="BD1163" s="27">
        <v>161</v>
      </c>
      <c r="BJ1163" s="7" t="s">
        <v>510</v>
      </c>
      <c r="BK1163" s="40">
        <v>455</v>
      </c>
      <c r="BL1163" s="40">
        <v>221</v>
      </c>
      <c r="BN1163" t="str">
        <f t="shared" si="99"/>
        <v>Confluent</v>
      </c>
      <c r="BO1163">
        <f t="shared" si="100"/>
        <v>181</v>
      </c>
      <c r="BP1163">
        <f t="shared" si="101"/>
        <v>139</v>
      </c>
      <c r="BQ1163">
        <f t="shared" si="102"/>
        <v>320</v>
      </c>
    </row>
    <row r="1164" spans="26:69" hidden="1" x14ac:dyDescent="0.25">
      <c r="Z1164" s="7" t="s">
        <v>501</v>
      </c>
      <c r="AA1164" s="1">
        <v>0</v>
      </c>
      <c r="AI1164" s="7" t="s">
        <v>507</v>
      </c>
      <c r="AJ1164" s="40">
        <v>1</v>
      </c>
      <c r="AL1164" s="7" t="s">
        <v>508</v>
      </c>
      <c r="AM1164" s="27">
        <v>3</v>
      </c>
      <c r="AW1164" s="7" t="s">
        <v>590</v>
      </c>
      <c r="AX1164" s="27">
        <v>57</v>
      </c>
      <c r="BC1164" s="7" t="s">
        <v>549</v>
      </c>
      <c r="BD1164" s="27">
        <v>156</v>
      </c>
      <c r="BJ1164" s="7" t="s">
        <v>511</v>
      </c>
      <c r="BK1164" s="40">
        <v>117</v>
      </c>
      <c r="BL1164" s="40">
        <v>0</v>
      </c>
      <c r="BN1164" t="str">
        <f t="shared" si="99"/>
        <v>Conga</v>
      </c>
      <c r="BO1164">
        <f t="shared" si="100"/>
        <v>415</v>
      </c>
      <c r="BP1164">
        <f t="shared" si="101"/>
        <v>683</v>
      </c>
      <c r="BQ1164">
        <f t="shared" si="102"/>
        <v>1098</v>
      </c>
    </row>
    <row r="1165" spans="26:69" hidden="1" x14ac:dyDescent="0.25">
      <c r="Z1165" s="7" t="s">
        <v>502</v>
      </c>
      <c r="AA1165" s="1">
        <v>0</v>
      </c>
      <c r="AI1165" s="7" t="s">
        <v>508</v>
      </c>
      <c r="AJ1165" s="40">
        <v>3</v>
      </c>
      <c r="AL1165" s="7" t="s">
        <v>509</v>
      </c>
      <c r="AM1165" s="27">
        <v>1</v>
      </c>
      <c r="AW1165" s="7" t="s">
        <v>591</v>
      </c>
      <c r="AX1165" s="27">
        <v>40</v>
      </c>
      <c r="BC1165" s="7" t="s">
        <v>550</v>
      </c>
      <c r="BD1165" s="27">
        <v>247</v>
      </c>
      <c r="BJ1165" s="7" t="s">
        <v>512</v>
      </c>
      <c r="BK1165" s="40">
        <v>0</v>
      </c>
      <c r="BL1165" s="40">
        <v>17</v>
      </c>
      <c r="BN1165" t="str">
        <f t="shared" si="99"/>
        <v>Connected</v>
      </c>
      <c r="BO1165">
        <f t="shared" si="100"/>
        <v>742</v>
      </c>
      <c r="BP1165">
        <f t="shared" si="101"/>
        <v>612</v>
      </c>
      <c r="BQ1165">
        <f t="shared" si="102"/>
        <v>1354</v>
      </c>
    </row>
    <row r="1166" spans="26:69" hidden="1" x14ac:dyDescent="0.25">
      <c r="Z1166" s="7" t="s">
        <v>503</v>
      </c>
      <c r="AA1166" s="1">
        <v>0</v>
      </c>
      <c r="AI1166" s="7" t="s">
        <v>509</v>
      </c>
      <c r="AJ1166" s="40">
        <v>1</v>
      </c>
      <c r="AL1166" s="7" t="s">
        <v>510</v>
      </c>
      <c r="AM1166" s="27">
        <v>1</v>
      </c>
      <c r="AW1166" s="7" t="s">
        <v>592</v>
      </c>
      <c r="AX1166" s="27">
        <v>62</v>
      </c>
      <c r="BC1166" s="7" t="s">
        <v>551</v>
      </c>
      <c r="BD1166" s="27">
        <v>168</v>
      </c>
      <c r="BJ1166" s="7" t="s">
        <v>513</v>
      </c>
      <c r="BK1166" s="40">
        <v>736</v>
      </c>
      <c r="BL1166" s="40">
        <v>191</v>
      </c>
      <c r="BN1166" t="str">
        <f t="shared" si="99"/>
        <v>ConsenSys</v>
      </c>
      <c r="BO1166">
        <f t="shared" si="100"/>
        <v>118</v>
      </c>
      <c r="BP1166">
        <f t="shared" si="101"/>
        <v>163</v>
      </c>
      <c r="BQ1166">
        <f t="shared" si="102"/>
        <v>281</v>
      </c>
    </row>
    <row r="1167" spans="26:69" hidden="1" x14ac:dyDescent="0.25">
      <c r="Z1167" s="7" t="s">
        <v>504</v>
      </c>
      <c r="AA1167" s="1">
        <v>0.31</v>
      </c>
      <c r="AI1167" s="7" t="s">
        <v>510</v>
      </c>
      <c r="AJ1167" s="40">
        <v>1</v>
      </c>
      <c r="AL1167" s="7" t="s">
        <v>511</v>
      </c>
      <c r="AM1167" s="27">
        <v>1</v>
      </c>
      <c r="AW1167" s="7" t="s">
        <v>594</v>
      </c>
      <c r="AX1167" s="27">
        <v>190</v>
      </c>
      <c r="BC1167" s="7" t="s">
        <v>552</v>
      </c>
      <c r="BD1167" s="27">
        <v>240</v>
      </c>
      <c r="BJ1167" s="7" t="s">
        <v>514</v>
      </c>
      <c r="BK1167" s="40">
        <v>5</v>
      </c>
      <c r="BL1167" s="40">
        <v>13</v>
      </c>
      <c r="BN1167" t="str">
        <f t="shared" si="99"/>
        <v>Consider.co</v>
      </c>
      <c r="BO1167">
        <f t="shared" si="100"/>
        <v>711</v>
      </c>
      <c r="BP1167">
        <f t="shared" si="101"/>
        <v>634</v>
      </c>
      <c r="BQ1167">
        <f t="shared" si="102"/>
        <v>1345</v>
      </c>
    </row>
    <row r="1168" spans="26:69" hidden="1" x14ac:dyDescent="0.25">
      <c r="Z1168" s="7" t="s">
        <v>506</v>
      </c>
      <c r="AA1168" s="1">
        <v>1</v>
      </c>
      <c r="AI1168" s="7" t="s">
        <v>511</v>
      </c>
      <c r="AJ1168" s="40">
        <v>1</v>
      </c>
      <c r="AL1168" s="7" t="s">
        <v>512</v>
      </c>
      <c r="AM1168" s="27">
        <v>1</v>
      </c>
      <c r="AW1168" s="7" t="s">
        <v>595</v>
      </c>
      <c r="AX1168" s="27">
        <v>8</v>
      </c>
      <c r="BC1168" s="7" t="s">
        <v>553</v>
      </c>
      <c r="BD1168" s="27">
        <v>814</v>
      </c>
      <c r="BJ1168" s="7" t="s">
        <v>515</v>
      </c>
      <c r="BK1168" s="40">
        <v>37</v>
      </c>
      <c r="BL1168" s="40">
        <v>140</v>
      </c>
      <c r="BN1168" t="str">
        <f t="shared" si="99"/>
        <v>ContaAzul</v>
      </c>
      <c r="BO1168">
        <f t="shared" si="100"/>
        <v>584</v>
      </c>
      <c r="BP1168">
        <f t="shared" si="101"/>
        <v>212</v>
      </c>
      <c r="BQ1168">
        <f t="shared" si="102"/>
        <v>796</v>
      </c>
    </row>
    <row r="1169" spans="26:69" hidden="1" x14ac:dyDescent="0.25">
      <c r="Z1169" s="7" t="s">
        <v>507</v>
      </c>
      <c r="AA1169" s="1">
        <v>0.3</v>
      </c>
      <c r="AI1169" s="7" t="s">
        <v>512</v>
      </c>
      <c r="AJ1169" s="40">
        <v>1</v>
      </c>
      <c r="AL1169" s="7" t="s">
        <v>513</v>
      </c>
      <c r="AM1169" s="27">
        <v>2</v>
      </c>
      <c r="AW1169" s="7" t="s">
        <v>596</v>
      </c>
      <c r="AX1169" s="27">
        <v>1351</v>
      </c>
      <c r="BC1169" s="7" t="s">
        <v>554</v>
      </c>
      <c r="BD1169" s="27">
        <v>23</v>
      </c>
      <c r="BJ1169" s="7" t="s">
        <v>517</v>
      </c>
      <c r="BK1169" s="40">
        <v>380</v>
      </c>
      <c r="BL1169" s="40">
        <v>16</v>
      </c>
      <c r="BN1169" t="str">
        <f t="shared" si="99"/>
        <v>ContraFect</v>
      </c>
      <c r="BO1169">
        <f t="shared" si="100"/>
        <v>202</v>
      </c>
      <c r="BP1169">
        <f t="shared" si="101"/>
        <v>617</v>
      </c>
      <c r="BQ1169">
        <f t="shared" si="102"/>
        <v>819</v>
      </c>
    </row>
    <row r="1170" spans="26:69" hidden="1" x14ac:dyDescent="0.25">
      <c r="Z1170" s="7" t="s">
        <v>508</v>
      </c>
      <c r="AA1170" s="1">
        <v>0.15</v>
      </c>
      <c r="AI1170" s="7" t="s">
        <v>513</v>
      </c>
      <c r="AJ1170" s="40">
        <v>2</v>
      </c>
      <c r="AL1170" s="7" t="s">
        <v>514</v>
      </c>
      <c r="AM1170" s="27">
        <v>1</v>
      </c>
      <c r="AW1170" s="7" t="s">
        <v>597</v>
      </c>
      <c r="AX1170" s="27">
        <v>1075</v>
      </c>
      <c r="BC1170" s="7" t="s">
        <v>555</v>
      </c>
      <c r="BD1170" s="27">
        <v>63</v>
      </c>
      <c r="BJ1170" s="7" t="s">
        <v>518</v>
      </c>
      <c r="BK1170" s="40">
        <v>280</v>
      </c>
      <c r="BL1170" s="40">
        <v>150</v>
      </c>
      <c r="BN1170" t="str">
        <f t="shared" si="99"/>
        <v>Convene</v>
      </c>
      <c r="BO1170">
        <f t="shared" si="100"/>
        <v>257</v>
      </c>
      <c r="BP1170">
        <f t="shared" si="101"/>
        <v>193</v>
      </c>
      <c r="BQ1170">
        <f t="shared" si="102"/>
        <v>450</v>
      </c>
    </row>
    <row r="1171" spans="26:69" hidden="1" x14ac:dyDescent="0.25">
      <c r="Z1171" s="7" t="s">
        <v>509</v>
      </c>
      <c r="AA1171" s="1">
        <v>0.28000000000000003</v>
      </c>
      <c r="AI1171" s="7" t="s">
        <v>514</v>
      </c>
      <c r="AJ1171" s="40">
        <v>1</v>
      </c>
      <c r="AL1171" s="7" t="s">
        <v>515</v>
      </c>
      <c r="AM1171" s="27">
        <v>1</v>
      </c>
      <c r="AW1171" s="7" t="s">
        <v>598</v>
      </c>
      <c r="AX1171" s="27">
        <v>150</v>
      </c>
      <c r="BC1171" s="7" t="s">
        <v>557</v>
      </c>
      <c r="BD1171" s="27">
        <v>1214</v>
      </c>
      <c r="BJ1171" s="7" t="s">
        <v>519</v>
      </c>
      <c r="BK1171" s="40">
        <v>1765</v>
      </c>
      <c r="BL1171" s="40">
        <v>90</v>
      </c>
      <c r="BN1171" t="str">
        <f t="shared" si="99"/>
        <v>Convoy</v>
      </c>
      <c r="BO1171">
        <f t="shared" si="100"/>
        <v>48</v>
      </c>
      <c r="BP1171">
        <f t="shared" si="101"/>
        <v>298</v>
      </c>
      <c r="BQ1171">
        <f t="shared" si="102"/>
        <v>346</v>
      </c>
    </row>
    <row r="1172" spans="26:69" hidden="1" x14ac:dyDescent="0.25">
      <c r="Z1172" s="7" t="s">
        <v>510</v>
      </c>
      <c r="AA1172" s="1">
        <v>0.08</v>
      </c>
      <c r="AI1172" s="7" t="s">
        <v>515</v>
      </c>
      <c r="AJ1172" s="40">
        <v>1</v>
      </c>
      <c r="AL1172" s="7" t="s">
        <v>517</v>
      </c>
      <c r="AM1172" s="27">
        <v>1</v>
      </c>
      <c r="AW1172" s="7" t="s">
        <v>601</v>
      </c>
      <c r="AX1172" s="27">
        <v>90</v>
      </c>
      <c r="BC1172" s="7" t="s">
        <v>559</v>
      </c>
      <c r="BD1172" s="27">
        <v>3</v>
      </c>
      <c r="BJ1172" s="7" t="s">
        <v>520</v>
      </c>
      <c r="BK1172" s="40">
        <v>102</v>
      </c>
      <c r="BL1172" s="40">
        <v>35</v>
      </c>
      <c r="BN1172" t="str">
        <f t="shared" ref="BN1172:BN1235" si="103">VLOOKUP(BJ1172,BJ1172:BL1983,1,0)</f>
        <v>Copper</v>
      </c>
      <c r="BO1172">
        <f t="shared" si="100"/>
        <v>432</v>
      </c>
      <c r="BP1172">
        <f t="shared" si="101"/>
        <v>494</v>
      </c>
      <c r="BQ1172">
        <f t="shared" si="102"/>
        <v>926</v>
      </c>
    </row>
    <row r="1173" spans="26:69" hidden="1" x14ac:dyDescent="0.25">
      <c r="Z1173" s="7" t="s">
        <v>511</v>
      </c>
      <c r="AA1173" s="1">
        <v>0.11</v>
      </c>
      <c r="AI1173" s="7" t="s">
        <v>517</v>
      </c>
      <c r="AJ1173" s="40">
        <v>1</v>
      </c>
      <c r="AL1173" s="7" t="s">
        <v>518</v>
      </c>
      <c r="AM1173" s="27">
        <v>1</v>
      </c>
      <c r="AW1173" s="7" t="s">
        <v>602</v>
      </c>
      <c r="AX1173" s="27">
        <v>12</v>
      </c>
      <c r="BC1173" s="7" t="s">
        <v>560</v>
      </c>
      <c r="BD1173" s="27">
        <v>103</v>
      </c>
      <c r="BJ1173" s="7" t="s">
        <v>521</v>
      </c>
      <c r="BK1173" s="40">
        <v>169</v>
      </c>
      <c r="BL1173" s="40">
        <v>0</v>
      </c>
      <c r="BN1173" t="str">
        <f t="shared" si="103"/>
        <v>Core Scientific</v>
      </c>
      <c r="BO1173">
        <f t="shared" si="100"/>
        <v>352</v>
      </c>
      <c r="BP1173">
        <f t="shared" si="101"/>
        <v>683</v>
      </c>
      <c r="BQ1173">
        <f t="shared" si="102"/>
        <v>1035</v>
      </c>
    </row>
    <row r="1174" spans="26:69" hidden="1" x14ac:dyDescent="0.25">
      <c r="Z1174" s="7" t="s">
        <v>512</v>
      </c>
      <c r="AA1174" s="1">
        <v>0.1</v>
      </c>
      <c r="AI1174" s="7" t="s">
        <v>518</v>
      </c>
      <c r="AJ1174" s="40">
        <v>1</v>
      </c>
      <c r="AL1174" s="7" t="s">
        <v>519</v>
      </c>
      <c r="AM1174" s="27">
        <v>2</v>
      </c>
      <c r="AW1174" s="7" t="s">
        <v>603</v>
      </c>
      <c r="AX1174" s="27">
        <v>1250</v>
      </c>
      <c r="BC1174" s="7" t="s">
        <v>561</v>
      </c>
      <c r="BD1174" s="27">
        <v>2430</v>
      </c>
      <c r="BJ1174" s="7" t="s">
        <v>522</v>
      </c>
      <c r="BK1174" s="40">
        <v>160</v>
      </c>
      <c r="BL1174" s="40">
        <v>0</v>
      </c>
      <c r="BN1174" t="str">
        <f t="shared" si="103"/>
        <v>Corvus Insurance</v>
      </c>
      <c r="BO1174">
        <f t="shared" si="100"/>
        <v>363</v>
      </c>
      <c r="BP1174">
        <f t="shared" si="101"/>
        <v>683</v>
      </c>
      <c r="BQ1174">
        <f t="shared" si="102"/>
        <v>1046</v>
      </c>
    </row>
    <row r="1175" spans="26:69" hidden="1" x14ac:dyDescent="0.25">
      <c r="Z1175" s="7" t="s">
        <v>513</v>
      </c>
      <c r="AA1175" s="1">
        <v>0.14000000000000001</v>
      </c>
      <c r="AI1175" s="7" t="s">
        <v>519</v>
      </c>
      <c r="AJ1175" s="40">
        <v>2</v>
      </c>
      <c r="AL1175" s="7" t="s">
        <v>520</v>
      </c>
      <c r="AM1175" s="27">
        <v>1</v>
      </c>
      <c r="AW1175" s="7" t="s">
        <v>604</v>
      </c>
      <c r="AX1175" s="27">
        <v>10</v>
      </c>
      <c r="BC1175" s="7" t="s">
        <v>562</v>
      </c>
      <c r="BD1175" s="27">
        <v>190</v>
      </c>
      <c r="BJ1175" s="7" t="s">
        <v>523</v>
      </c>
      <c r="BK1175" s="40">
        <v>70</v>
      </c>
      <c r="BL1175" s="40">
        <v>30</v>
      </c>
      <c r="BN1175" t="str">
        <f t="shared" si="103"/>
        <v>Coterie Insurance</v>
      </c>
      <c r="BO1175">
        <f t="shared" si="100"/>
        <v>494</v>
      </c>
      <c r="BP1175">
        <f t="shared" si="101"/>
        <v>512</v>
      </c>
      <c r="BQ1175">
        <f t="shared" si="102"/>
        <v>1006</v>
      </c>
    </row>
    <row r="1176" spans="26:69" hidden="1" x14ac:dyDescent="0.25">
      <c r="Z1176" s="7" t="s">
        <v>514</v>
      </c>
      <c r="AA1176" s="1">
        <v>1</v>
      </c>
      <c r="AI1176" s="7" t="s">
        <v>520</v>
      </c>
      <c r="AJ1176" s="40">
        <v>1</v>
      </c>
      <c r="AL1176" s="7" t="s">
        <v>521</v>
      </c>
      <c r="AM1176" s="27">
        <v>1</v>
      </c>
      <c r="AW1176" s="7" t="s">
        <v>605</v>
      </c>
      <c r="AX1176" s="27">
        <v>23</v>
      </c>
      <c r="BC1176" s="7" t="s">
        <v>563</v>
      </c>
      <c r="BD1176" s="27">
        <v>63</v>
      </c>
      <c r="BJ1176" s="7" t="s">
        <v>524</v>
      </c>
      <c r="BK1176" s="40">
        <v>16</v>
      </c>
      <c r="BL1176" s="40">
        <v>20</v>
      </c>
      <c r="BN1176" t="str">
        <f t="shared" si="103"/>
        <v>Crayon</v>
      </c>
      <c r="BO1176">
        <f t="shared" si="100"/>
        <v>659</v>
      </c>
      <c r="BP1176">
        <f t="shared" si="101"/>
        <v>588</v>
      </c>
      <c r="BQ1176">
        <f t="shared" si="102"/>
        <v>1247</v>
      </c>
    </row>
    <row r="1177" spans="26:69" hidden="1" x14ac:dyDescent="0.25">
      <c r="Z1177" s="7" t="s">
        <v>515</v>
      </c>
      <c r="AA1177" s="1">
        <v>0.35</v>
      </c>
      <c r="AI1177" s="7" t="s">
        <v>521</v>
      </c>
      <c r="AJ1177" s="40">
        <v>1</v>
      </c>
      <c r="AL1177" s="7" t="s">
        <v>522</v>
      </c>
      <c r="AM1177" s="27">
        <v>1</v>
      </c>
      <c r="AW1177" s="7" t="s">
        <v>606</v>
      </c>
      <c r="AX1177" s="27">
        <v>140</v>
      </c>
      <c r="BC1177" s="7" t="s">
        <v>565</v>
      </c>
      <c r="BD1177" s="27">
        <v>390</v>
      </c>
      <c r="BJ1177" s="7" t="s">
        <v>525</v>
      </c>
      <c r="BK1177" s="40">
        <v>120</v>
      </c>
      <c r="BL1177" s="40">
        <v>22</v>
      </c>
      <c r="BN1177" t="str">
        <f t="shared" si="103"/>
        <v>Credit Sesame</v>
      </c>
      <c r="BO1177">
        <f t="shared" si="100"/>
        <v>407</v>
      </c>
      <c r="BP1177">
        <f t="shared" si="101"/>
        <v>581</v>
      </c>
      <c r="BQ1177">
        <f t="shared" si="102"/>
        <v>988</v>
      </c>
    </row>
    <row r="1178" spans="26:69" hidden="1" x14ac:dyDescent="0.25">
      <c r="Z1178" s="7" t="s">
        <v>517</v>
      </c>
      <c r="AA1178" s="1">
        <v>0.37</v>
      </c>
      <c r="AI1178" s="7" t="s">
        <v>522</v>
      </c>
      <c r="AJ1178" s="40">
        <v>1</v>
      </c>
      <c r="AL1178" s="7" t="s">
        <v>523</v>
      </c>
      <c r="AM1178" s="27">
        <v>1</v>
      </c>
      <c r="AW1178" s="7" t="s">
        <v>607</v>
      </c>
      <c r="AX1178" s="27">
        <v>59</v>
      </c>
      <c r="BC1178" s="7" t="s">
        <v>566</v>
      </c>
      <c r="BD1178" s="27">
        <v>259</v>
      </c>
      <c r="BJ1178" s="7" t="s">
        <v>526</v>
      </c>
      <c r="BK1178" s="40">
        <v>314</v>
      </c>
      <c r="BL1178" s="40">
        <v>0</v>
      </c>
      <c r="BN1178" t="str">
        <f t="shared" si="103"/>
        <v>Creditas</v>
      </c>
      <c r="BO1178">
        <f t="shared" si="100"/>
        <v>238</v>
      </c>
      <c r="BP1178">
        <f t="shared" si="101"/>
        <v>683</v>
      </c>
      <c r="BQ1178">
        <f t="shared" si="102"/>
        <v>921</v>
      </c>
    </row>
    <row r="1179" spans="26:69" hidden="1" x14ac:dyDescent="0.25">
      <c r="Z1179" s="7" t="s">
        <v>518</v>
      </c>
      <c r="AA1179" s="1">
        <v>0.18</v>
      </c>
      <c r="AI1179" s="7" t="s">
        <v>523</v>
      </c>
      <c r="AJ1179" s="40">
        <v>1</v>
      </c>
      <c r="AL1179" s="7" t="s">
        <v>524</v>
      </c>
      <c r="AM1179" s="27">
        <v>1</v>
      </c>
      <c r="AW1179" s="7" t="s">
        <v>608</v>
      </c>
      <c r="AX1179" s="27">
        <v>20</v>
      </c>
      <c r="BC1179" s="7" t="s">
        <v>568</v>
      </c>
      <c r="BD1179" s="27">
        <v>411</v>
      </c>
      <c r="BJ1179" s="7" t="s">
        <v>527</v>
      </c>
      <c r="BK1179" s="40">
        <v>3</v>
      </c>
      <c r="BL1179" s="40">
        <v>170</v>
      </c>
      <c r="BN1179" t="str">
        <f t="shared" si="103"/>
        <v>Crejo.Fun</v>
      </c>
      <c r="BO1179">
        <f t="shared" si="100"/>
        <v>719</v>
      </c>
      <c r="BP1179">
        <f t="shared" si="101"/>
        <v>176</v>
      </c>
      <c r="BQ1179">
        <f t="shared" si="102"/>
        <v>895</v>
      </c>
    </row>
    <row r="1180" spans="26:69" hidden="1" x14ac:dyDescent="0.25">
      <c r="Z1180" s="7" t="s">
        <v>519</v>
      </c>
      <c r="AA1180" s="1">
        <v>7.0000000000000007E-2</v>
      </c>
      <c r="AI1180" s="7" t="s">
        <v>524</v>
      </c>
      <c r="AJ1180" s="40">
        <v>1</v>
      </c>
      <c r="AL1180" s="7" t="s">
        <v>525</v>
      </c>
      <c r="AM1180" s="27">
        <v>1</v>
      </c>
      <c r="AW1180" s="7" t="s">
        <v>611</v>
      </c>
      <c r="AX1180" s="27">
        <v>24</v>
      </c>
      <c r="BC1180" s="7" t="s">
        <v>569</v>
      </c>
      <c r="BD1180" s="27">
        <v>254</v>
      </c>
      <c r="BJ1180" s="7" t="s">
        <v>528</v>
      </c>
      <c r="BK1180" s="40">
        <v>24</v>
      </c>
      <c r="BL1180" s="40">
        <v>24</v>
      </c>
      <c r="BN1180" t="str">
        <f t="shared" si="103"/>
        <v>CrowdStreet</v>
      </c>
      <c r="BO1180">
        <f t="shared" si="100"/>
        <v>621</v>
      </c>
      <c r="BP1180">
        <f t="shared" si="101"/>
        <v>564</v>
      </c>
      <c r="BQ1180">
        <f t="shared" si="102"/>
        <v>1185</v>
      </c>
    </row>
    <row r="1181" spans="26:69" hidden="1" x14ac:dyDescent="0.25">
      <c r="Z1181" s="7" t="s">
        <v>520</v>
      </c>
      <c r="AA1181" s="1">
        <v>0</v>
      </c>
      <c r="AI1181" s="7" t="s">
        <v>525</v>
      </c>
      <c r="AJ1181" s="40">
        <v>1</v>
      </c>
      <c r="AL1181" s="7" t="s">
        <v>526</v>
      </c>
      <c r="AM1181" s="27">
        <v>1</v>
      </c>
      <c r="AW1181" s="7" t="s">
        <v>612</v>
      </c>
      <c r="AX1181" s="27">
        <v>315</v>
      </c>
      <c r="BC1181" s="7" t="s">
        <v>571</v>
      </c>
      <c r="BD1181" s="27">
        <v>80</v>
      </c>
      <c r="BJ1181" s="7" t="s">
        <v>529</v>
      </c>
      <c r="BK1181" s="40">
        <v>5300</v>
      </c>
      <c r="BL1181" s="40">
        <v>150</v>
      </c>
      <c r="BN1181" t="str">
        <f t="shared" si="103"/>
        <v>Cruise</v>
      </c>
      <c r="BO1181">
        <f t="shared" si="100"/>
        <v>9</v>
      </c>
      <c r="BP1181">
        <f t="shared" si="101"/>
        <v>193</v>
      </c>
      <c r="BQ1181">
        <f t="shared" si="102"/>
        <v>202</v>
      </c>
    </row>
    <row r="1182" spans="26:69" hidden="1" x14ac:dyDescent="0.25">
      <c r="Z1182" s="7" t="s">
        <v>521</v>
      </c>
      <c r="AA1182" s="1">
        <v>0.1</v>
      </c>
      <c r="AI1182" s="7" t="s">
        <v>526</v>
      </c>
      <c r="AJ1182" s="40">
        <v>1</v>
      </c>
      <c r="AL1182" s="7" t="s">
        <v>527</v>
      </c>
      <c r="AM1182" s="27">
        <v>1</v>
      </c>
      <c r="AW1182" s="7" t="s">
        <v>613</v>
      </c>
      <c r="AX1182" s="27">
        <v>12</v>
      </c>
      <c r="BC1182" s="7" t="s">
        <v>572</v>
      </c>
      <c r="BD1182" s="27">
        <v>3200</v>
      </c>
      <c r="BJ1182" s="7" t="s">
        <v>530</v>
      </c>
      <c r="BK1182" s="40">
        <v>26</v>
      </c>
      <c r="BL1182" s="40">
        <v>85</v>
      </c>
      <c r="BN1182" t="str">
        <f t="shared" si="103"/>
        <v>Crunchyroll</v>
      </c>
      <c r="BO1182">
        <f t="shared" si="100"/>
        <v>612</v>
      </c>
      <c r="BP1182">
        <f t="shared" si="101"/>
        <v>314</v>
      </c>
      <c r="BQ1182">
        <f t="shared" si="102"/>
        <v>926</v>
      </c>
    </row>
    <row r="1183" spans="26:69" hidden="1" x14ac:dyDescent="0.25">
      <c r="Z1183" s="7" t="s">
        <v>522</v>
      </c>
      <c r="AA1183" s="1">
        <v>0.14000000000000001</v>
      </c>
      <c r="AI1183" s="7" t="s">
        <v>527</v>
      </c>
      <c r="AJ1183" s="40">
        <v>1</v>
      </c>
      <c r="AL1183" s="7" t="s">
        <v>528</v>
      </c>
      <c r="AM1183" s="27">
        <v>1</v>
      </c>
      <c r="AW1183" s="7" t="s">
        <v>616</v>
      </c>
      <c r="AX1183" s="27">
        <v>23</v>
      </c>
      <c r="BC1183" s="7" t="s">
        <v>573</v>
      </c>
      <c r="BD1183" s="27">
        <v>1700</v>
      </c>
      <c r="BJ1183" s="7" t="s">
        <v>533</v>
      </c>
      <c r="BK1183" s="40">
        <v>312</v>
      </c>
      <c r="BL1183" s="40">
        <v>2260</v>
      </c>
      <c r="BN1183" t="str">
        <f t="shared" si="103"/>
        <v>Crypto.com</v>
      </c>
      <c r="BO1183">
        <f t="shared" si="100"/>
        <v>239</v>
      </c>
      <c r="BP1183">
        <f t="shared" si="101"/>
        <v>15</v>
      </c>
      <c r="BQ1183">
        <f t="shared" si="102"/>
        <v>254</v>
      </c>
    </row>
    <row r="1184" spans="26:69" hidden="1" x14ac:dyDescent="0.25">
      <c r="Z1184" s="7" t="s">
        <v>523</v>
      </c>
      <c r="AA1184" s="1">
        <v>0.2</v>
      </c>
      <c r="AI1184" s="7" t="s">
        <v>528</v>
      </c>
      <c r="AJ1184" s="40">
        <v>1</v>
      </c>
      <c r="AL1184" s="7" t="s">
        <v>529</v>
      </c>
      <c r="AM1184" s="27">
        <v>1</v>
      </c>
      <c r="AW1184" s="7" t="s">
        <v>618</v>
      </c>
      <c r="AX1184" s="27">
        <v>50</v>
      </c>
      <c r="BC1184" s="7" t="s">
        <v>574</v>
      </c>
      <c r="BD1184" s="27">
        <v>26500</v>
      </c>
      <c r="BJ1184" s="7" t="s">
        <v>534</v>
      </c>
      <c r="BK1184" s="40">
        <v>233</v>
      </c>
      <c r="BL1184" s="40">
        <v>62</v>
      </c>
      <c r="BN1184" t="str">
        <f t="shared" si="103"/>
        <v>CS Disco</v>
      </c>
      <c r="BO1184">
        <f t="shared" si="100"/>
        <v>292</v>
      </c>
      <c r="BP1184">
        <f t="shared" si="101"/>
        <v>374</v>
      </c>
      <c r="BQ1184">
        <f t="shared" si="102"/>
        <v>666</v>
      </c>
    </row>
    <row r="1185" spans="26:69" hidden="1" x14ac:dyDescent="0.25">
      <c r="Z1185" s="7" t="s">
        <v>524</v>
      </c>
      <c r="AA1185" s="1">
        <v>0.2</v>
      </c>
      <c r="AI1185" s="7" t="s">
        <v>529</v>
      </c>
      <c r="AJ1185" s="40">
        <v>1</v>
      </c>
      <c r="AL1185" s="7" t="s">
        <v>530</v>
      </c>
      <c r="AM1185" s="27">
        <v>1</v>
      </c>
      <c r="AW1185" s="7" t="s">
        <v>621</v>
      </c>
      <c r="AX1185" s="27">
        <v>35</v>
      </c>
      <c r="BC1185" s="7" t="s">
        <v>576</v>
      </c>
      <c r="BD1185" s="27">
        <v>143</v>
      </c>
      <c r="BJ1185" s="7" t="s">
        <v>536</v>
      </c>
      <c r="BK1185" s="40">
        <v>7</v>
      </c>
      <c r="BL1185" s="40">
        <v>30</v>
      </c>
      <c r="BN1185" t="str">
        <f t="shared" si="103"/>
        <v>CTO.ai</v>
      </c>
      <c r="BO1185">
        <f t="shared" si="100"/>
        <v>701</v>
      </c>
      <c r="BP1185">
        <f t="shared" si="101"/>
        <v>512</v>
      </c>
      <c r="BQ1185">
        <f t="shared" si="102"/>
        <v>1213</v>
      </c>
    </row>
    <row r="1186" spans="26:69" hidden="1" x14ac:dyDescent="0.25">
      <c r="Z1186" s="7" t="s">
        <v>525</v>
      </c>
      <c r="AA1186" s="1">
        <v>0.14000000000000001</v>
      </c>
      <c r="AI1186" s="7" t="s">
        <v>530</v>
      </c>
      <c r="AJ1186" s="40">
        <v>1</v>
      </c>
      <c r="AL1186" s="7" t="s">
        <v>533</v>
      </c>
      <c r="AM1186" s="27">
        <v>3</v>
      </c>
      <c r="AW1186" s="7" t="s">
        <v>622</v>
      </c>
      <c r="AX1186" s="27">
        <v>50</v>
      </c>
      <c r="BC1186" s="7" t="s">
        <v>577</v>
      </c>
      <c r="BD1186" s="27">
        <v>106</v>
      </c>
      <c r="BJ1186" s="7" t="s">
        <v>537</v>
      </c>
      <c r="BK1186" s="40">
        <v>1998</v>
      </c>
      <c r="BL1186" s="40">
        <v>558</v>
      </c>
      <c r="BN1186" t="str">
        <f t="shared" si="103"/>
        <v>Cue</v>
      </c>
      <c r="BO1186">
        <f t="shared" si="100"/>
        <v>42</v>
      </c>
      <c r="BP1186">
        <f t="shared" si="101"/>
        <v>59</v>
      </c>
      <c r="BQ1186">
        <f t="shared" si="102"/>
        <v>101</v>
      </c>
    </row>
    <row r="1187" spans="26:69" hidden="1" x14ac:dyDescent="0.25">
      <c r="Z1187" s="7" t="s">
        <v>526</v>
      </c>
      <c r="AA1187" s="1">
        <v>0.06</v>
      </c>
      <c r="AI1187" s="7" t="s">
        <v>533</v>
      </c>
      <c r="AJ1187" s="40">
        <v>3</v>
      </c>
      <c r="AL1187" s="7" t="s">
        <v>534</v>
      </c>
      <c r="AM1187" s="27">
        <v>1</v>
      </c>
      <c r="AW1187" s="7" t="s">
        <v>624</v>
      </c>
      <c r="AX1187" s="27">
        <v>125</v>
      </c>
      <c r="BC1187" s="7" t="s">
        <v>578</v>
      </c>
      <c r="BD1187" s="27">
        <v>58</v>
      </c>
      <c r="BJ1187" s="7" t="s">
        <v>538</v>
      </c>
      <c r="BK1187" s="40">
        <v>157</v>
      </c>
      <c r="BL1187" s="40">
        <v>36</v>
      </c>
      <c r="BN1187" t="str">
        <f t="shared" si="103"/>
        <v>Culture Amp</v>
      </c>
      <c r="BO1187">
        <f t="shared" si="100"/>
        <v>366</v>
      </c>
      <c r="BP1187">
        <f t="shared" si="101"/>
        <v>490</v>
      </c>
      <c r="BQ1187">
        <f t="shared" si="102"/>
        <v>856</v>
      </c>
    </row>
    <row r="1188" spans="26:69" hidden="1" x14ac:dyDescent="0.25">
      <c r="Z1188" s="7" t="s">
        <v>527</v>
      </c>
      <c r="AA1188" s="1">
        <v>1</v>
      </c>
      <c r="AI1188" s="7" t="s">
        <v>534</v>
      </c>
      <c r="AJ1188" s="40">
        <v>1</v>
      </c>
      <c r="AL1188" s="7" t="s">
        <v>536</v>
      </c>
      <c r="AM1188" s="27">
        <v>1</v>
      </c>
      <c r="AW1188" s="7" t="s">
        <v>625</v>
      </c>
      <c r="AX1188" s="27">
        <v>40</v>
      </c>
      <c r="BC1188" s="7" t="s">
        <v>580</v>
      </c>
      <c r="BD1188" s="27">
        <v>811</v>
      </c>
      <c r="BJ1188" s="7" t="s">
        <v>539</v>
      </c>
      <c r="BK1188" s="40">
        <v>102</v>
      </c>
      <c r="BL1188" s="40">
        <v>95</v>
      </c>
      <c r="BN1188" t="str">
        <f t="shared" si="103"/>
        <v>Culture Trip</v>
      </c>
      <c r="BO1188">
        <f t="shared" si="100"/>
        <v>432</v>
      </c>
      <c r="BP1188">
        <f t="shared" si="101"/>
        <v>291</v>
      </c>
      <c r="BQ1188">
        <f t="shared" si="102"/>
        <v>723</v>
      </c>
    </row>
    <row r="1189" spans="26:69" hidden="1" x14ac:dyDescent="0.25">
      <c r="Z1189" s="7" t="s">
        <v>528</v>
      </c>
      <c r="AA1189" s="1">
        <v>0.22</v>
      </c>
      <c r="AI1189" s="7" t="s">
        <v>536</v>
      </c>
      <c r="AJ1189" s="40">
        <v>1</v>
      </c>
      <c r="AL1189" s="7" t="s">
        <v>537</v>
      </c>
      <c r="AM1189" s="27">
        <v>2</v>
      </c>
      <c r="AW1189" s="7" t="s">
        <v>626</v>
      </c>
      <c r="AX1189" s="27">
        <v>20</v>
      </c>
      <c r="BC1189" s="7" t="s">
        <v>581</v>
      </c>
      <c r="BD1189" s="27">
        <v>481</v>
      </c>
      <c r="BJ1189" s="7" t="s">
        <v>540</v>
      </c>
      <c r="BK1189" s="40">
        <v>8</v>
      </c>
      <c r="BL1189" s="40">
        <v>109</v>
      </c>
      <c r="BN1189" t="str">
        <f t="shared" si="103"/>
        <v>Curative</v>
      </c>
      <c r="BO1189">
        <f t="shared" si="100"/>
        <v>697</v>
      </c>
      <c r="BP1189">
        <f t="shared" si="101"/>
        <v>250</v>
      </c>
      <c r="BQ1189">
        <f t="shared" si="102"/>
        <v>947</v>
      </c>
    </row>
    <row r="1190" spans="26:69" hidden="1" x14ac:dyDescent="0.25">
      <c r="Z1190" s="7" t="s">
        <v>529</v>
      </c>
      <c r="AA1190" s="1">
        <v>0.08</v>
      </c>
      <c r="AI1190" s="7" t="s">
        <v>537</v>
      </c>
      <c r="AJ1190" s="40">
        <v>2</v>
      </c>
      <c r="AL1190" s="7" t="s">
        <v>538</v>
      </c>
      <c r="AM1190" s="27">
        <v>1</v>
      </c>
      <c r="AW1190" s="7" t="s">
        <v>627</v>
      </c>
      <c r="AX1190" s="27">
        <v>25</v>
      </c>
      <c r="BC1190" s="7" t="s">
        <v>582</v>
      </c>
      <c r="BD1190" s="27">
        <v>26</v>
      </c>
      <c r="BJ1190" s="7" t="s">
        <v>541</v>
      </c>
      <c r="BK1190" s="40">
        <v>809</v>
      </c>
      <c r="BL1190" s="40">
        <v>920</v>
      </c>
      <c r="BN1190" t="str">
        <f t="shared" si="103"/>
        <v>Curefit</v>
      </c>
      <c r="BO1190">
        <f t="shared" si="100"/>
        <v>108</v>
      </c>
      <c r="BP1190">
        <f t="shared" si="101"/>
        <v>34</v>
      </c>
      <c r="BQ1190">
        <f t="shared" si="102"/>
        <v>142</v>
      </c>
    </row>
    <row r="1191" spans="26:69" hidden="1" x14ac:dyDescent="0.25">
      <c r="Z1191" s="7" t="s">
        <v>530</v>
      </c>
      <c r="AA1191" s="1">
        <v>0</v>
      </c>
      <c r="AI1191" s="7" t="s">
        <v>538</v>
      </c>
      <c r="AJ1191" s="40">
        <v>1</v>
      </c>
      <c r="AL1191" s="7" t="s">
        <v>539</v>
      </c>
      <c r="AM1191" s="27">
        <v>1</v>
      </c>
      <c r="AW1191" s="7" t="s">
        <v>628</v>
      </c>
      <c r="AX1191" s="27">
        <v>402</v>
      </c>
      <c r="BC1191" s="7" t="s">
        <v>587</v>
      </c>
      <c r="BD1191" s="27">
        <v>491</v>
      </c>
      <c r="BJ1191" s="7" t="s">
        <v>543</v>
      </c>
      <c r="BK1191" s="40">
        <v>19</v>
      </c>
      <c r="BL1191" s="40">
        <v>150</v>
      </c>
      <c r="BN1191" t="str">
        <f t="shared" si="103"/>
        <v>Curology</v>
      </c>
      <c r="BO1191">
        <f t="shared" si="100"/>
        <v>647</v>
      </c>
      <c r="BP1191">
        <f t="shared" si="101"/>
        <v>193</v>
      </c>
      <c r="BQ1191">
        <f t="shared" si="102"/>
        <v>840</v>
      </c>
    </row>
    <row r="1192" spans="26:69" hidden="1" x14ac:dyDescent="0.25">
      <c r="Z1192" s="7" t="s">
        <v>533</v>
      </c>
      <c r="AA1192" s="1">
        <v>0.3</v>
      </c>
      <c r="AI1192" s="7" t="s">
        <v>539</v>
      </c>
      <c r="AJ1192" s="40">
        <v>1</v>
      </c>
      <c r="AL1192" s="7" t="s">
        <v>540</v>
      </c>
      <c r="AM1192" s="27">
        <v>1</v>
      </c>
      <c r="AW1192" s="7" t="s">
        <v>630</v>
      </c>
      <c r="AX1192" s="27">
        <v>500</v>
      </c>
      <c r="BC1192" s="7" t="s">
        <v>588</v>
      </c>
      <c r="BD1192" s="27">
        <v>133</v>
      </c>
      <c r="BJ1192" s="7" t="s">
        <v>544</v>
      </c>
      <c r="BK1192" s="40">
        <v>182</v>
      </c>
      <c r="BL1192" s="40">
        <v>65</v>
      </c>
      <c r="BN1192" t="str">
        <f t="shared" si="103"/>
        <v>Curve</v>
      </c>
      <c r="BO1192">
        <f t="shared" si="100"/>
        <v>341</v>
      </c>
      <c r="BP1192">
        <f t="shared" si="101"/>
        <v>366</v>
      </c>
      <c r="BQ1192">
        <f t="shared" si="102"/>
        <v>707</v>
      </c>
    </row>
    <row r="1193" spans="26:69" hidden="1" x14ac:dyDescent="0.25">
      <c r="Z1193" s="7" t="s">
        <v>534</v>
      </c>
      <c r="AA1193" s="1">
        <v>0.09</v>
      </c>
      <c r="AI1193" s="7" t="s">
        <v>540</v>
      </c>
      <c r="AJ1193" s="40">
        <v>1</v>
      </c>
      <c r="AL1193" s="7" t="s">
        <v>541</v>
      </c>
      <c r="AM1193" s="27">
        <v>2</v>
      </c>
      <c r="AW1193" s="7" t="s">
        <v>631</v>
      </c>
      <c r="AX1193" s="27">
        <v>47</v>
      </c>
      <c r="BC1193" s="7" t="s">
        <v>589</v>
      </c>
      <c r="BD1193" s="27">
        <v>18</v>
      </c>
      <c r="BJ1193" s="7" t="s">
        <v>545</v>
      </c>
      <c r="BK1193" s="40">
        <v>146</v>
      </c>
      <c r="BL1193" s="40">
        <v>400</v>
      </c>
      <c r="BN1193" t="str">
        <f t="shared" si="103"/>
        <v>Cvent</v>
      </c>
      <c r="BO1193">
        <f t="shared" si="100"/>
        <v>379</v>
      </c>
      <c r="BP1193">
        <f t="shared" si="101"/>
        <v>83</v>
      </c>
      <c r="BQ1193">
        <f t="shared" si="102"/>
        <v>462</v>
      </c>
    </row>
    <row r="1194" spans="26:69" hidden="1" x14ac:dyDescent="0.25">
      <c r="Z1194" s="7" t="s">
        <v>536</v>
      </c>
      <c r="AA1194" s="1">
        <v>0.5</v>
      </c>
      <c r="AI1194" s="7" t="s">
        <v>541</v>
      </c>
      <c r="AJ1194" s="40">
        <v>2</v>
      </c>
      <c r="AL1194" s="7" t="s">
        <v>543</v>
      </c>
      <c r="AM1194" s="27">
        <v>1</v>
      </c>
      <c r="AW1194" s="7" t="s">
        <v>632</v>
      </c>
      <c r="AX1194" s="27">
        <v>40</v>
      </c>
      <c r="BC1194" s="7" t="s">
        <v>590</v>
      </c>
      <c r="BD1194" s="27">
        <v>88</v>
      </c>
      <c r="BJ1194" s="7" t="s">
        <v>546</v>
      </c>
      <c r="BK1194" s="40">
        <v>1500</v>
      </c>
      <c r="BL1194" s="40">
        <v>300</v>
      </c>
      <c r="BN1194" t="str">
        <f t="shared" si="103"/>
        <v>Cybereason</v>
      </c>
      <c r="BO1194">
        <f t="shared" si="100"/>
        <v>56</v>
      </c>
      <c r="BP1194">
        <f t="shared" si="101"/>
        <v>103</v>
      </c>
      <c r="BQ1194">
        <f t="shared" si="102"/>
        <v>159</v>
      </c>
    </row>
    <row r="1195" spans="26:69" hidden="1" x14ac:dyDescent="0.25">
      <c r="Z1195" s="7" t="s">
        <v>537</v>
      </c>
      <c r="AA1195" s="1">
        <v>0</v>
      </c>
      <c r="AI1195" s="7" t="s">
        <v>543</v>
      </c>
      <c r="AJ1195" s="40">
        <v>1</v>
      </c>
      <c r="AL1195" s="7" t="s">
        <v>544</v>
      </c>
      <c r="AM1195" s="27">
        <v>1</v>
      </c>
      <c r="AW1195" s="7" t="s">
        <v>633</v>
      </c>
      <c r="AX1195" s="27">
        <v>95</v>
      </c>
      <c r="BC1195" s="7" t="s">
        <v>591</v>
      </c>
      <c r="BD1195" s="27">
        <v>360</v>
      </c>
      <c r="BJ1195" s="7" t="s">
        <v>547</v>
      </c>
      <c r="BK1195" s="40">
        <v>153</v>
      </c>
      <c r="BL1195" s="40">
        <v>30</v>
      </c>
      <c r="BN1195" t="str">
        <f t="shared" si="103"/>
        <v>CyCognito</v>
      </c>
      <c r="BO1195">
        <f t="shared" si="100"/>
        <v>374</v>
      </c>
      <c r="BP1195">
        <f t="shared" si="101"/>
        <v>512</v>
      </c>
      <c r="BQ1195">
        <f t="shared" si="102"/>
        <v>886</v>
      </c>
    </row>
    <row r="1196" spans="26:69" hidden="1" x14ac:dyDescent="0.25">
      <c r="Z1196" s="7" t="s">
        <v>538</v>
      </c>
      <c r="AA1196" s="1">
        <v>0.08</v>
      </c>
      <c r="AI1196" s="7" t="s">
        <v>544</v>
      </c>
      <c r="AJ1196" s="40">
        <v>1</v>
      </c>
      <c r="AL1196" s="7" t="s">
        <v>545</v>
      </c>
      <c r="AM1196" s="27">
        <v>1</v>
      </c>
      <c r="AW1196" s="7" t="s">
        <v>634</v>
      </c>
      <c r="AX1196" s="27">
        <v>30</v>
      </c>
      <c r="BC1196" s="7" t="s">
        <v>594</v>
      </c>
      <c r="BD1196" s="27">
        <v>280</v>
      </c>
      <c r="BJ1196" s="7" t="s">
        <v>548</v>
      </c>
      <c r="BK1196" s="40">
        <v>161</v>
      </c>
      <c r="BL1196" s="40">
        <v>121</v>
      </c>
      <c r="BN1196" t="str">
        <f t="shared" si="103"/>
        <v>Cyren</v>
      </c>
      <c r="BO1196">
        <f t="shared" si="100"/>
        <v>362</v>
      </c>
      <c r="BP1196">
        <f t="shared" si="101"/>
        <v>237</v>
      </c>
      <c r="BQ1196">
        <f t="shared" si="102"/>
        <v>599</v>
      </c>
    </row>
    <row r="1197" spans="26:69" hidden="1" x14ac:dyDescent="0.25">
      <c r="Z1197" s="7" t="s">
        <v>539</v>
      </c>
      <c r="AA1197" s="1">
        <v>0.32</v>
      </c>
      <c r="AI1197" s="7" t="s">
        <v>545</v>
      </c>
      <c r="AJ1197" s="40">
        <v>1</v>
      </c>
      <c r="AL1197" s="7" t="s">
        <v>546</v>
      </c>
      <c r="AM1197" s="27">
        <v>2</v>
      </c>
      <c r="AW1197" s="7" t="s">
        <v>637</v>
      </c>
      <c r="AX1197" s="27">
        <v>100</v>
      </c>
      <c r="BC1197" s="7" t="s">
        <v>595</v>
      </c>
      <c r="BD1197" s="27">
        <v>16</v>
      </c>
      <c r="BJ1197" s="7" t="s">
        <v>549</v>
      </c>
      <c r="BK1197" s="40">
        <v>156</v>
      </c>
      <c r="BL1197" s="40">
        <v>0</v>
      </c>
      <c r="BN1197" t="str">
        <f t="shared" si="103"/>
        <v>Cyteir Therapeutics</v>
      </c>
      <c r="BO1197">
        <f t="shared" si="100"/>
        <v>369</v>
      </c>
      <c r="BP1197">
        <f t="shared" si="101"/>
        <v>683</v>
      </c>
      <c r="BQ1197">
        <f t="shared" si="102"/>
        <v>1052</v>
      </c>
    </row>
    <row r="1198" spans="26:69" hidden="1" x14ac:dyDescent="0.25">
      <c r="Z1198" s="7" t="s">
        <v>540</v>
      </c>
      <c r="AA1198" s="1">
        <v>0</v>
      </c>
      <c r="AI1198" s="7" t="s">
        <v>546</v>
      </c>
      <c r="AJ1198" s="40">
        <v>2</v>
      </c>
      <c r="AL1198" s="7" t="s">
        <v>547</v>
      </c>
      <c r="AM1198" s="27">
        <v>1</v>
      </c>
      <c r="AW1198" s="7" t="s">
        <v>639</v>
      </c>
      <c r="AX1198" s="27">
        <v>84</v>
      </c>
      <c r="BC1198" s="7" t="s">
        <v>596</v>
      </c>
      <c r="BD1198" s="27">
        <v>1072</v>
      </c>
      <c r="BJ1198" s="7" t="s">
        <v>550</v>
      </c>
      <c r="BK1198" s="40">
        <v>247</v>
      </c>
      <c r="BL1198" s="40">
        <v>34</v>
      </c>
      <c r="BN1198" t="str">
        <f t="shared" si="103"/>
        <v>D2iQ</v>
      </c>
      <c r="BO1198">
        <f t="shared" si="100"/>
        <v>277</v>
      </c>
      <c r="BP1198">
        <f t="shared" si="101"/>
        <v>501</v>
      </c>
      <c r="BQ1198">
        <f t="shared" si="102"/>
        <v>778</v>
      </c>
    </row>
    <row r="1199" spans="26:69" hidden="1" x14ac:dyDescent="0.25">
      <c r="Z1199" s="7" t="s">
        <v>541</v>
      </c>
      <c r="AA1199" s="1">
        <v>0.16</v>
      </c>
      <c r="AI1199" s="7" t="s">
        <v>547</v>
      </c>
      <c r="AJ1199" s="40">
        <v>1</v>
      </c>
      <c r="AL1199" s="7" t="s">
        <v>548</v>
      </c>
      <c r="AM1199" s="27">
        <v>1</v>
      </c>
      <c r="AW1199" s="7" t="s">
        <v>641</v>
      </c>
      <c r="AX1199" s="27">
        <v>222</v>
      </c>
      <c r="BC1199" s="7" t="s">
        <v>597</v>
      </c>
      <c r="BD1199" s="27">
        <v>2037</v>
      </c>
      <c r="BJ1199" s="7" t="s">
        <v>551</v>
      </c>
      <c r="BK1199" s="40">
        <v>168</v>
      </c>
      <c r="BL1199" s="40">
        <v>0</v>
      </c>
      <c r="BN1199" t="str">
        <f t="shared" si="103"/>
        <v>D2L</v>
      </c>
      <c r="BO1199">
        <f t="shared" si="100"/>
        <v>355</v>
      </c>
      <c r="BP1199">
        <f t="shared" si="101"/>
        <v>683</v>
      </c>
      <c r="BQ1199">
        <f t="shared" si="102"/>
        <v>1038</v>
      </c>
    </row>
    <row r="1200" spans="26:69" hidden="1" x14ac:dyDescent="0.25">
      <c r="Z1200" s="7" t="s">
        <v>543</v>
      </c>
      <c r="AA1200" s="1">
        <v>0</v>
      </c>
      <c r="AI1200" s="7" t="s">
        <v>548</v>
      </c>
      <c r="AJ1200" s="40">
        <v>1</v>
      </c>
      <c r="AL1200" s="7" t="s">
        <v>549</v>
      </c>
      <c r="AM1200" s="27">
        <v>1</v>
      </c>
      <c r="AW1200" s="7" t="s">
        <v>642</v>
      </c>
      <c r="AX1200" s="27">
        <v>200</v>
      </c>
      <c r="BC1200" s="7" t="s">
        <v>598</v>
      </c>
      <c r="BD1200" s="27">
        <v>130</v>
      </c>
      <c r="BJ1200" s="7" t="s">
        <v>552</v>
      </c>
      <c r="BK1200" s="40">
        <v>240</v>
      </c>
      <c r="BL1200" s="40">
        <v>60</v>
      </c>
      <c r="BN1200" t="str">
        <f t="shared" si="103"/>
        <v>Daily Harvest</v>
      </c>
      <c r="BO1200">
        <f t="shared" si="100"/>
        <v>287</v>
      </c>
      <c r="BP1200">
        <f t="shared" si="101"/>
        <v>378</v>
      </c>
      <c r="BQ1200">
        <f t="shared" si="102"/>
        <v>665</v>
      </c>
    </row>
    <row r="1201" spans="26:69" hidden="1" x14ac:dyDescent="0.25">
      <c r="Z1201" s="7" t="s">
        <v>544</v>
      </c>
      <c r="AA1201" s="1">
        <v>0.1</v>
      </c>
      <c r="AI1201" s="7" t="s">
        <v>549</v>
      </c>
      <c r="AJ1201" s="40">
        <v>1</v>
      </c>
      <c r="AL1201" s="7" t="s">
        <v>550</v>
      </c>
      <c r="AM1201" s="27">
        <v>1</v>
      </c>
      <c r="AW1201" s="7" t="s">
        <v>645</v>
      </c>
      <c r="AX1201" s="27">
        <v>62</v>
      </c>
      <c r="BC1201" s="7" t="s">
        <v>599</v>
      </c>
      <c r="BD1201" s="27">
        <v>223</v>
      </c>
      <c r="BJ1201" s="7" t="s">
        <v>553</v>
      </c>
      <c r="BK1201" s="40">
        <v>814</v>
      </c>
      <c r="BL1201" s="40">
        <v>0</v>
      </c>
      <c r="BN1201" t="str">
        <f t="shared" si="103"/>
        <v>DailyPay</v>
      </c>
      <c r="BO1201">
        <f t="shared" si="100"/>
        <v>106</v>
      </c>
      <c r="BP1201">
        <f t="shared" si="101"/>
        <v>683</v>
      </c>
      <c r="BQ1201">
        <f t="shared" si="102"/>
        <v>789</v>
      </c>
    </row>
    <row r="1202" spans="26:69" hidden="1" x14ac:dyDescent="0.25">
      <c r="Z1202" s="7" t="s">
        <v>545</v>
      </c>
      <c r="AA1202" s="1">
        <v>0.1</v>
      </c>
      <c r="AI1202" s="7" t="s">
        <v>550</v>
      </c>
      <c r="AJ1202" s="40">
        <v>1</v>
      </c>
      <c r="AL1202" s="7" t="s">
        <v>551</v>
      </c>
      <c r="AM1202" s="27">
        <v>1</v>
      </c>
      <c r="AW1202" s="7" t="s">
        <v>646</v>
      </c>
      <c r="AX1202" s="27">
        <v>10</v>
      </c>
      <c r="BC1202" s="7" t="s">
        <v>600</v>
      </c>
      <c r="BD1202" s="27">
        <v>232</v>
      </c>
      <c r="BJ1202" s="7" t="s">
        <v>554</v>
      </c>
      <c r="BK1202" s="40">
        <v>23</v>
      </c>
      <c r="BL1202" s="40">
        <v>40</v>
      </c>
      <c r="BN1202" t="str">
        <f t="shared" si="103"/>
        <v>Daloopa</v>
      </c>
      <c r="BO1202">
        <f t="shared" si="100"/>
        <v>628</v>
      </c>
      <c r="BP1202">
        <f t="shared" si="101"/>
        <v>454</v>
      </c>
      <c r="BQ1202">
        <f t="shared" si="102"/>
        <v>1082</v>
      </c>
    </row>
    <row r="1203" spans="26:69" hidden="1" x14ac:dyDescent="0.25">
      <c r="Z1203" s="7" t="s">
        <v>546</v>
      </c>
      <c r="AA1203" s="1">
        <v>0.17</v>
      </c>
      <c r="AI1203" s="7" t="s">
        <v>551</v>
      </c>
      <c r="AJ1203" s="40">
        <v>1</v>
      </c>
      <c r="AL1203" s="7" t="s">
        <v>552</v>
      </c>
      <c r="AM1203" s="27">
        <v>2</v>
      </c>
      <c r="AW1203" s="7" t="s">
        <v>647</v>
      </c>
      <c r="AX1203" s="27">
        <v>60</v>
      </c>
      <c r="BC1203" s="7" t="s">
        <v>601</v>
      </c>
      <c r="BD1203" s="27">
        <v>689</v>
      </c>
      <c r="BJ1203" s="7" t="s">
        <v>555</v>
      </c>
      <c r="BK1203" s="40">
        <v>63</v>
      </c>
      <c r="BL1203" s="40">
        <v>0</v>
      </c>
      <c r="BN1203" t="str">
        <f t="shared" si="103"/>
        <v>Dance</v>
      </c>
      <c r="BO1203">
        <f t="shared" si="100"/>
        <v>507</v>
      </c>
      <c r="BP1203">
        <f t="shared" si="101"/>
        <v>683</v>
      </c>
      <c r="BQ1203">
        <f t="shared" si="102"/>
        <v>1190</v>
      </c>
    </row>
    <row r="1204" spans="26:69" hidden="1" x14ac:dyDescent="0.25">
      <c r="Z1204" s="7" t="s">
        <v>547</v>
      </c>
      <c r="AA1204" s="1">
        <v>0.15</v>
      </c>
      <c r="AI1204" s="7" t="s">
        <v>552</v>
      </c>
      <c r="AJ1204" s="40">
        <v>2</v>
      </c>
      <c r="AL1204" s="7" t="s">
        <v>553</v>
      </c>
      <c r="AM1204" s="27">
        <v>1</v>
      </c>
      <c r="AW1204" s="7" t="s">
        <v>648</v>
      </c>
      <c r="AX1204" s="27">
        <v>43</v>
      </c>
      <c r="BC1204" s="7" t="s">
        <v>602</v>
      </c>
      <c r="BD1204" s="27">
        <v>102</v>
      </c>
      <c r="BJ1204" s="7" t="s">
        <v>556</v>
      </c>
      <c r="BK1204" s="40">
        <v>0</v>
      </c>
      <c r="BL1204" s="40">
        <v>200</v>
      </c>
      <c r="BN1204" t="str">
        <f t="shared" si="103"/>
        <v>Daniel Wellington</v>
      </c>
      <c r="BO1204">
        <f t="shared" si="100"/>
        <v>742</v>
      </c>
      <c r="BP1204">
        <f t="shared" si="101"/>
        <v>147</v>
      </c>
      <c r="BQ1204">
        <f t="shared" si="102"/>
        <v>889</v>
      </c>
    </row>
    <row r="1205" spans="26:69" hidden="1" x14ac:dyDescent="0.25">
      <c r="Z1205" s="7" t="s">
        <v>548</v>
      </c>
      <c r="AA1205" s="1">
        <v>0</v>
      </c>
      <c r="AI1205" s="7" t="s">
        <v>553</v>
      </c>
      <c r="AJ1205" s="40">
        <v>1</v>
      </c>
      <c r="AL1205" s="7" t="s">
        <v>554</v>
      </c>
      <c r="AM1205" s="27">
        <v>1</v>
      </c>
      <c r="AW1205" s="7" t="s">
        <v>650</v>
      </c>
      <c r="AX1205" s="27">
        <v>41</v>
      </c>
      <c r="BC1205" s="7" t="s">
        <v>603</v>
      </c>
      <c r="BD1205" s="27">
        <v>2500</v>
      </c>
      <c r="BJ1205" s="7" t="s">
        <v>557</v>
      </c>
      <c r="BK1205" s="40">
        <v>1214</v>
      </c>
      <c r="BL1205" s="40">
        <v>134</v>
      </c>
      <c r="BN1205" t="str">
        <f t="shared" si="103"/>
        <v>Dapper Labs</v>
      </c>
      <c r="BO1205">
        <f t="shared" si="100"/>
        <v>70</v>
      </c>
      <c r="BP1205">
        <f t="shared" si="101"/>
        <v>225</v>
      </c>
      <c r="BQ1205">
        <f t="shared" si="102"/>
        <v>295</v>
      </c>
    </row>
    <row r="1206" spans="26:69" hidden="1" x14ac:dyDescent="0.25">
      <c r="Z1206" s="7" t="s">
        <v>549</v>
      </c>
      <c r="AA1206" s="1">
        <v>0.7</v>
      </c>
      <c r="AI1206" s="7" t="s">
        <v>554</v>
      </c>
      <c r="AJ1206" s="40">
        <v>1</v>
      </c>
      <c r="AL1206" s="7" t="s">
        <v>555</v>
      </c>
      <c r="AM1206" s="27">
        <v>1</v>
      </c>
      <c r="AW1206" s="7" t="s">
        <v>651</v>
      </c>
      <c r="AX1206" s="27">
        <v>230</v>
      </c>
      <c r="BC1206" s="7" t="s">
        <v>605</v>
      </c>
      <c r="BD1206" s="27">
        <v>22</v>
      </c>
      <c r="BJ1206" s="7" t="s">
        <v>558</v>
      </c>
      <c r="BK1206" s="40">
        <v>0</v>
      </c>
      <c r="BL1206" s="40">
        <v>0</v>
      </c>
      <c r="BN1206" t="str">
        <f t="shared" si="103"/>
        <v>Daraz</v>
      </c>
      <c r="BO1206">
        <f t="shared" si="100"/>
        <v>742</v>
      </c>
      <c r="BP1206">
        <f t="shared" si="101"/>
        <v>683</v>
      </c>
      <c r="BQ1206">
        <f t="shared" si="102"/>
        <v>1425</v>
      </c>
    </row>
    <row r="1207" spans="26:69" hidden="1" x14ac:dyDescent="0.25">
      <c r="Z1207" s="7" t="s">
        <v>550</v>
      </c>
      <c r="AA1207" s="1">
        <v>0.13</v>
      </c>
      <c r="AI1207" s="7" t="s">
        <v>555</v>
      </c>
      <c r="AJ1207" s="40">
        <v>1</v>
      </c>
      <c r="AL1207" s="7" t="s">
        <v>556</v>
      </c>
      <c r="AM1207" s="27">
        <v>1</v>
      </c>
      <c r="AW1207" s="7" t="s">
        <v>652</v>
      </c>
      <c r="AX1207" s="27">
        <v>30</v>
      </c>
      <c r="BC1207" s="7" t="s">
        <v>606</v>
      </c>
      <c r="BD1207" s="27">
        <v>719</v>
      </c>
      <c r="BJ1207" s="7" t="s">
        <v>559</v>
      </c>
      <c r="BK1207" s="40">
        <v>3</v>
      </c>
      <c r="BL1207" s="40">
        <v>6</v>
      </c>
      <c r="BN1207" t="str">
        <f t="shared" si="103"/>
        <v>Dark</v>
      </c>
      <c r="BO1207">
        <f t="shared" si="100"/>
        <v>719</v>
      </c>
      <c r="BP1207">
        <f t="shared" si="101"/>
        <v>672</v>
      </c>
      <c r="BQ1207">
        <f t="shared" si="102"/>
        <v>1391</v>
      </c>
    </row>
    <row r="1208" spans="26:69" hidden="1" x14ac:dyDescent="0.25">
      <c r="Z1208" s="7" t="s">
        <v>551</v>
      </c>
      <c r="AA1208" s="1">
        <v>0.05</v>
      </c>
      <c r="AI1208" s="7" t="s">
        <v>556</v>
      </c>
      <c r="AJ1208" s="40">
        <v>1</v>
      </c>
      <c r="AL1208" s="7" t="s">
        <v>557</v>
      </c>
      <c r="AM1208" s="27">
        <v>2</v>
      </c>
      <c r="AW1208" s="7" t="s">
        <v>653</v>
      </c>
      <c r="AX1208" s="27">
        <v>30</v>
      </c>
      <c r="BC1208" s="7" t="s">
        <v>607</v>
      </c>
      <c r="BD1208" s="27">
        <v>107</v>
      </c>
      <c r="BJ1208" s="7" t="s">
        <v>560</v>
      </c>
      <c r="BK1208" s="40">
        <v>103</v>
      </c>
      <c r="BL1208" s="40">
        <v>30</v>
      </c>
      <c r="BN1208" t="str">
        <f t="shared" si="103"/>
        <v>DataRails</v>
      </c>
      <c r="BO1208">
        <f t="shared" si="100"/>
        <v>430</v>
      </c>
      <c r="BP1208">
        <f t="shared" si="101"/>
        <v>512</v>
      </c>
      <c r="BQ1208">
        <f t="shared" si="102"/>
        <v>942</v>
      </c>
    </row>
    <row r="1209" spans="26:69" hidden="1" x14ac:dyDescent="0.25">
      <c r="Z1209" s="7" t="s">
        <v>552</v>
      </c>
      <c r="AA1209" s="1">
        <v>0.2</v>
      </c>
      <c r="AI1209" s="7" t="s">
        <v>557</v>
      </c>
      <c r="AJ1209" s="40">
        <v>2</v>
      </c>
      <c r="AL1209" s="7" t="s">
        <v>558</v>
      </c>
      <c r="AM1209" s="27">
        <v>1</v>
      </c>
      <c r="AW1209" s="7" t="s">
        <v>654</v>
      </c>
      <c r="AX1209" s="27">
        <v>100</v>
      </c>
      <c r="BC1209" s="7" t="s">
        <v>609</v>
      </c>
      <c r="BD1209" s="27">
        <v>550</v>
      </c>
      <c r="BJ1209" s="7" t="s">
        <v>561</v>
      </c>
      <c r="BK1209" s="40">
        <v>2430</v>
      </c>
      <c r="BL1209" s="40">
        <v>270</v>
      </c>
      <c r="BN1209" t="str">
        <f t="shared" si="103"/>
        <v>DataRobot</v>
      </c>
      <c r="BO1209">
        <f t="shared" si="100"/>
        <v>29</v>
      </c>
      <c r="BP1209">
        <f t="shared" si="101"/>
        <v>113</v>
      </c>
      <c r="BQ1209">
        <f t="shared" si="102"/>
        <v>142</v>
      </c>
    </row>
    <row r="1210" spans="26:69" hidden="1" x14ac:dyDescent="0.25">
      <c r="Z1210" s="7" t="s">
        <v>553</v>
      </c>
      <c r="AA1210" s="1">
        <v>0.15</v>
      </c>
      <c r="AI1210" s="7" t="s">
        <v>558</v>
      </c>
      <c r="AJ1210" s="40">
        <v>1</v>
      </c>
      <c r="AL1210" s="7" t="s">
        <v>559</v>
      </c>
      <c r="AM1210" s="27">
        <v>1</v>
      </c>
      <c r="AW1210" s="7" t="s">
        <v>657</v>
      </c>
      <c r="AX1210" s="27">
        <v>31</v>
      </c>
      <c r="BC1210" s="7" t="s">
        <v>611</v>
      </c>
      <c r="BD1210" s="27">
        <v>56</v>
      </c>
      <c r="BJ1210" s="7" t="s">
        <v>562</v>
      </c>
      <c r="BK1210" s="40">
        <v>190</v>
      </c>
      <c r="BL1210" s="40">
        <v>15</v>
      </c>
      <c r="BN1210" t="str">
        <f t="shared" si="103"/>
        <v>DataStax</v>
      </c>
      <c r="BO1210">
        <f t="shared" si="100"/>
        <v>330</v>
      </c>
      <c r="BP1210">
        <f t="shared" si="101"/>
        <v>622</v>
      </c>
      <c r="BQ1210">
        <f t="shared" si="102"/>
        <v>952</v>
      </c>
    </row>
    <row r="1211" spans="26:69" hidden="1" x14ac:dyDescent="0.25">
      <c r="Z1211" s="7" t="s">
        <v>554</v>
      </c>
      <c r="AA1211" s="1">
        <v>0</v>
      </c>
      <c r="AI1211" s="7" t="s">
        <v>559</v>
      </c>
      <c r="AJ1211" s="40">
        <v>1</v>
      </c>
      <c r="AL1211" s="7" t="s">
        <v>560</v>
      </c>
      <c r="AM1211" s="27">
        <v>1</v>
      </c>
      <c r="AW1211" s="7" t="s">
        <v>658</v>
      </c>
      <c r="AX1211" s="27">
        <v>400</v>
      </c>
      <c r="BC1211" s="7" t="s">
        <v>612</v>
      </c>
      <c r="BD1211" s="27">
        <v>1700</v>
      </c>
      <c r="BJ1211" s="7" t="s">
        <v>563</v>
      </c>
      <c r="BK1211" s="40">
        <v>63</v>
      </c>
      <c r="BL1211" s="40">
        <v>0</v>
      </c>
      <c r="BN1211" t="str">
        <f t="shared" si="103"/>
        <v>Datera</v>
      </c>
      <c r="BO1211">
        <f t="shared" si="100"/>
        <v>507</v>
      </c>
      <c r="BP1211">
        <f t="shared" si="101"/>
        <v>683</v>
      </c>
      <c r="BQ1211">
        <f t="shared" si="102"/>
        <v>1190</v>
      </c>
    </row>
    <row r="1212" spans="26:69" hidden="1" x14ac:dyDescent="0.25">
      <c r="Z1212" s="7" t="s">
        <v>555</v>
      </c>
      <c r="AA1212" s="1">
        <v>0.16</v>
      </c>
      <c r="AI1212" s="7" t="s">
        <v>560</v>
      </c>
      <c r="AJ1212" s="40">
        <v>1</v>
      </c>
      <c r="AL1212" s="7" t="s">
        <v>561</v>
      </c>
      <c r="AM1212" s="27">
        <v>3</v>
      </c>
      <c r="AW1212" s="7" t="s">
        <v>659</v>
      </c>
      <c r="AX1212" s="27">
        <v>100</v>
      </c>
      <c r="BC1212" s="7" t="s">
        <v>613</v>
      </c>
      <c r="BD1212" s="27">
        <v>4</v>
      </c>
      <c r="BJ1212" s="7" t="s">
        <v>564</v>
      </c>
      <c r="BK1212" s="40">
        <v>0</v>
      </c>
      <c r="BL1212" s="40">
        <v>50</v>
      </c>
      <c r="BN1212" t="str">
        <f t="shared" si="103"/>
        <v>Dazn</v>
      </c>
      <c r="BO1212">
        <f t="shared" si="100"/>
        <v>742</v>
      </c>
      <c r="BP1212">
        <f t="shared" si="101"/>
        <v>410</v>
      </c>
      <c r="BQ1212">
        <f t="shared" si="102"/>
        <v>1152</v>
      </c>
    </row>
    <row r="1213" spans="26:69" hidden="1" x14ac:dyDescent="0.25">
      <c r="Z1213" s="7" t="s">
        <v>556</v>
      </c>
      <c r="AA1213" s="1">
        <v>0.15</v>
      </c>
      <c r="AI1213" s="7" t="s">
        <v>561</v>
      </c>
      <c r="AJ1213" s="40">
        <v>3</v>
      </c>
      <c r="AL1213" s="7" t="s">
        <v>562</v>
      </c>
      <c r="AM1213" s="27">
        <v>1</v>
      </c>
      <c r="AW1213" s="7" t="s">
        <v>660</v>
      </c>
      <c r="AX1213" s="27">
        <v>58</v>
      </c>
      <c r="BC1213" s="7" t="s">
        <v>614</v>
      </c>
      <c r="BD1213" s="27">
        <v>100</v>
      </c>
      <c r="BJ1213" s="7" t="s">
        <v>565</v>
      </c>
      <c r="BK1213" s="40">
        <v>390</v>
      </c>
      <c r="BL1213" s="40">
        <v>100</v>
      </c>
      <c r="BN1213" t="str">
        <f t="shared" si="103"/>
        <v>DealShare</v>
      </c>
      <c r="BO1213">
        <f t="shared" si="100"/>
        <v>199</v>
      </c>
      <c r="BP1213">
        <f t="shared" si="101"/>
        <v>254</v>
      </c>
      <c r="BQ1213">
        <f t="shared" si="102"/>
        <v>453</v>
      </c>
    </row>
    <row r="1214" spans="26:69" hidden="1" x14ac:dyDescent="0.25">
      <c r="Z1214" s="7" t="s">
        <v>557</v>
      </c>
      <c r="AA1214" s="1">
        <v>0.22</v>
      </c>
      <c r="AI1214" s="7" t="s">
        <v>562</v>
      </c>
      <c r="AJ1214" s="40">
        <v>1</v>
      </c>
      <c r="AL1214" s="7" t="s">
        <v>563</v>
      </c>
      <c r="AM1214" s="27">
        <v>1</v>
      </c>
      <c r="AW1214" s="7" t="s">
        <v>661</v>
      </c>
      <c r="AX1214" s="27">
        <v>49</v>
      </c>
      <c r="BC1214" s="7" t="s">
        <v>616</v>
      </c>
      <c r="BD1214" s="27">
        <v>17</v>
      </c>
      <c r="BJ1214" s="7" t="s">
        <v>566</v>
      </c>
      <c r="BK1214" s="40">
        <v>259</v>
      </c>
      <c r="BL1214" s="40">
        <v>0</v>
      </c>
      <c r="BN1214" t="str">
        <f t="shared" si="103"/>
        <v>Deep Instinct</v>
      </c>
      <c r="BO1214">
        <f t="shared" si="100"/>
        <v>270</v>
      </c>
      <c r="BP1214">
        <f t="shared" si="101"/>
        <v>683</v>
      </c>
      <c r="BQ1214">
        <f t="shared" si="102"/>
        <v>953</v>
      </c>
    </row>
    <row r="1215" spans="26:69" hidden="1" x14ac:dyDescent="0.25">
      <c r="Z1215" s="7" t="s">
        <v>558</v>
      </c>
      <c r="AA1215" s="1">
        <v>0.11</v>
      </c>
      <c r="AI1215" s="7" t="s">
        <v>563</v>
      </c>
      <c r="AJ1215" s="40">
        <v>1</v>
      </c>
      <c r="AL1215" s="7" t="s">
        <v>564</v>
      </c>
      <c r="AM1215" s="27">
        <v>1</v>
      </c>
      <c r="AW1215" s="7" t="s">
        <v>662</v>
      </c>
      <c r="AX1215" s="27">
        <v>30</v>
      </c>
      <c r="BC1215" s="7" t="s">
        <v>617</v>
      </c>
      <c r="BD1215" s="27">
        <v>382</v>
      </c>
      <c r="BJ1215" s="7" t="s">
        <v>567</v>
      </c>
      <c r="BK1215" s="40">
        <v>0</v>
      </c>
      <c r="BL1215" s="40">
        <v>55</v>
      </c>
      <c r="BN1215" t="str">
        <f t="shared" si="103"/>
        <v>Definitive Healthcare</v>
      </c>
      <c r="BO1215">
        <f t="shared" si="100"/>
        <v>742</v>
      </c>
      <c r="BP1215">
        <f t="shared" si="101"/>
        <v>402</v>
      </c>
      <c r="BQ1215">
        <f t="shared" si="102"/>
        <v>1144</v>
      </c>
    </row>
    <row r="1216" spans="26:69" hidden="1" x14ac:dyDescent="0.25">
      <c r="Z1216" s="7" t="s">
        <v>559</v>
      </c>
      <c r="AA1216" s="1">
        <v>1</v>
      </c>
      <c r="AI1216" s="7" t="s">
        <v>564</v>
      </c>
      <c r="AJ1216" s="40">
        <v>1</v>
      </c>
      <c r="AL1216" s="7" t="s">
        <v>565</v>
      </c>
      <c r="AM1216" s="27">
        <v>1</v>
      </c>
      <c r="AW1216" s="7" t="s">
        <v>663</v>
      </c>
      <c r="AX1216" s="27">
        <v>8500</v>
      </c>
      <c r="BC1216" s="7" t="s">
        <v>618</v>
      </c>
      <c r="BD1216" s="27">
        <v>603</v>
      </c>
      <c r="BJ1216" s="7" t="s">
        <v>568</v>
      </c>
      <c r="BK1216" s="40">
        <v>411</v>
      </c>
      <c r="BL1216" s="40">
        <v>0</v>
      </c>
      <c r="BN1216" t="str">
        <f t="shared" si="103"/>
        <v>Degreed</v>
      </c>
      <c r="BO1216">
        <f t="shared" si="100"/>
        <v>191</v>
      </c>
      <c r="BP1216">
        <f t="shared" si="101"/>
        <v>683</v>
      </c>
      <c r="BQ1216">
        <f t="shared" si="102"/>
        <v>874</v>
      </c>
    </row>
    <row r="1217" spans="26:69" hidden="1" x14ac:dyDescent="0.25">
      <c r="Z1217" s="7" t="s">
        <v>560</v>
      </c>
      <c r="AA1217" s="1">
        <v>0.18</v>
      </c>
      <c r="AI1217" s="7" t="s">
        <v>565</v>
      </c>
      <c r="AJ1217" s="40">
        <v>1</v>
      </c>
      <c r="AL1217" s="7" t="s">
        <v>566</v>
      </c>
      <c r="AM1217" s="27">
        <v>1</v>
      </c>
      <c r="AW1217" s="7" t="s">
        <v>664</v>
      </c>
      <c r="AX1217" s="27">
        <v>30</v>
      </c>
      <c r="BC1217" s="7" t="s">
        <v>621</v>
      </c>
      <c r="BD1217" s="27">
        <v>114</v>
      </c>
      <c r="BJ1217" s="7" t="s">
        <v>569</v>
      </c>
      <c r="BK1217" s="40">
        <v>254</v>
      </c>
      <c r="BL1217" s="40">
        <v>0</v>
      </c>
      <c r="BN1217" t="str">
        <f t="shared" si="103"/>
        <v>DeHaat</v>
      </c>
      <c r="BO1217">
        <f t="shared" si="100"/>
        <v>274</v>
      </c>
      <c r="BP1217">
        <f t="shared" si="101"/>
        <v>683</v>
      </c>
      <c r="BQ1217">
        <f t="shared" si="102"/>
        <v>957</v>
      </c>
    </row>
    <row r="1218" spans="26:69" hidden="1" x14ac:dyDescent="0.25">
      <c r="Z1218" s="7" t="s">
        <v>561</v>
      </c>
      <c r="AA1218" s="1">
        <v>0.26</v>
      </c>
      <c r="AI1218" s="7" t="s">
        <v>566</v>
      </c>
      <c r="AJ1218" s="40">
        <v>1</v>
      </c>
      <c r="AL1218" s="7" t="s">
        <v>567</v>
      </c>
      <c r="AM1218" s="27">
        <v>1</v>
      </c>
      <c r="AW1218" s="7" t="s">
        <v>665</v>
      </c>
      <c r="AX1218" s="27">
        <v>40</v>
      </c>
      <c r="BC1218" s="7" t="s">
        <v>622</v>
      </c>
      <c r="BD1218" s="27">
        <v>190</v>
      </c>
      <c r="BJ1218" s="7" t="s">
        <v>571</v>
      </c>
      <c r="BK1218" s="40">
        <v>80</v>
      </c>
      <c r="BL1218" s="40">
        <v>669</v>
      </c>
      <c r="BN1218" t="str">
        <f t="shared" si="103"/>
        <v>Deliv</v>
      </c>
      <c r="BO1218">
        <f t="shared" si="100"/>
        <v>474</v>
      </c>
      <c r="BP1218">
        <f t="shared" si="101"/>
        <v>51</v>
      </c>
      <c r="BQ1218">
        <f t="shared" si="102"/>
        <v>525</v>
      </c>
    </row>
    <row r="1219" spans="26:69" hidden="1" x14ac:dyDescent="0.25">
      <c r="Z1219" s="7" t="s">
        <v>562</v>
      </c>
      <c r="AA1219" s="1">
        <v>0</v>
      </c>
      <c r="AI1219" s="7" t="s">
        <v>567</v>
      </c>
      <c r="AJ1219" s="40">
        <v>1</v>
      </c>
      <c r="AL1219" s="7" t="s">
        <v>568</v>
      </c>
      <c r="AM1219" s="27">
        <v>1</v>
      </c>
      <c r="AW1219" s="7" t="s">
        <v>667</v>
      </c>
      <c r="AX1219" s="27">
        <v>40</v>
      </c>
      <c r="BC1219" s="7" t="s">
        <v>623</v>
      </c>
      <c r="BD1219" s="27">
        <v>2</v>
      </c>
      <c r="BJ1219" s="7" t="s">
        <v>572</v>
      </c>
      <c r="BK1219" s="40">
        <v>3200</v>
      </c>
      <c r="BL1219" s="40">
        <v>717</v>
      </c>
      <c r="BN1219" t="str">
        <f t="shared" si="103"/>
        <v>Deliveroo</v>
      </c>
      <c r="BO1219">
        <f t="shared" si="100"/>
        <v>19</v>
      </c>
      <c r="BP1219">
        <f t="shared" si="101"/>
        <v>45</v>
      </c>
      <c r="BQ1219">
        <f t="shared" si="102"/>
        <v>64</v>
      </c>
    </row>
    <row r="1220" spans="26:69" hidden="1" x14ac:dyDescent="0.25">
      <c r="Z1220" s="7" t="s">
        <v>563</v>
      </c>
      <c r="AA1220" s="1">
        <v>0.1</v>
      </c>
      <c r="AI1220" s="7" t="s">
        <v>568</v>
      </c>
      <c r="AJ1220" s="40">
        <v>1</v>
      </c>
      <c r="AL1220" s="7" t="s">
        <v>569</v>
      </c>
      <c r="AM1220" s="27">
        <v>1</v>
      </c>
      <c r="AW1220" s="7" t="s">
        <v>668</v>
      </c>
      <c r="AX1220" s="27">
        <v>108</v>
      </c>
      <c r="BC1220" s="7" t="s">
        <v>624</v>
      </c>
      <c r="BD1220" s="27">
        <v>24</v>
      </c>
      <c r="BJ1220" s="7" t="s">
        <v>573</v>
      </c>
      <c r="BK1220" s="40">
        <v>1700</v>
      </c>
      <c r="BL1220" s="40">
        <v>120</v>
      </c>
      <c r="BN1220" t="str">
        <f t="shared" si="103"/>
        <v>Deliveroo Australia</v>
      </c>
      <c r="BO1220">
        <f t="shared" si="100"/>
        <v>49</v>
      </c>
      <c r="BP1220">
        <f t="shared" si="101"/>
        <v>238</v>
      </c>
      <c r="BQ1220">
        <f t="shared" si="102"/>
        <v>287</v>
      </c>
    </row>
    <row r="1221" spans="26:69" hidden="1" x14ac:dyDescent="0.25">
      <c r="Z1221" s="7" t="s">
        <v>564</v>
      </c>
      <c r="AA1221" s="1">
        <v>0.02</v>
      </c>
      <c r="AI1221" s="7" t="s">
        <v>569</v>
      </c>
      <c r="AJ1221" s="40">
        <v>1</v>
      </c>
      <c r="AL1221" s="7" t="s">
        <v>571</v>
      </c>
      <c r="AM1221" s="27">
        <v>1</v>
      </c>
      <c r="AW1221" s="7" t="s">
        <v>669</v>
      </c>
      <c r="AX1221" s="27">
        <v>100</v>
      </c>
      <c r="BC1221" s="7" t="s">
        <v>625</v>
      </c>
      <c r="BD1221" s="27">
        <v>465</v>
      </c>
      <c r="BJ1221" s="7" t="s">
        <v>574</v>
      </c>
      <c r="BK1221" s="40">
        <v>26500</v>
      </c>
      <c r="BL1221" s="40">
        <v>556</v>
      </c>
      <c r="BN1221" t="str">
        <f t="shared" si="103"/>
        <v>Delivery Hero</v>
      </c>
      <c r="BO1221">
        <f t="shared" si="100"/>
        <v>2</v>
      </c>
      <c r="BP1221">
        <f t="shared" si="101"/>
        <v>60</v>
      </c>
      <c r="BQ1221">
        <f t="shared" si="102"/>
        <v>62</v>
      </c>
    </row>
    <row r="1222" spans="26:69" hidden="1" x14ac:dyDescent="0.25">
      <c r="Z1222" s="7" t="s">
        <v>565</v>
      </c>
      <c r="AA1222" s="1">
        <v>0.06</v>
      </c>
      <c r="AI1222" s="7" t="s">
        <v>571</v>
      </c>
      <c r="AJ1222" s="40">
        <v>1</v>
      </c>
      <c r="AL1222" s="7" t="s">
        <v>572</v>
      </c>
      <c r="AM1222" s="27">
        <v>2</v>
      </c>
      <c r="AW1222" s="7" t="s">
        <v>670</v>
      </c>
      <c r="AX1222" s="27">
        <v>50</v>
      </c>
      <c r="BC1222" s="7" t="s">
        <v>626</v>
      </c>
      <c r="BD1222" s="27">
        <v>1</v>
      </c>
      <c r="BJ1222" s="7" t="s">
        <v>575</v>
      </c>
      <c r="BK1222" s="40">
        <v>0</v>
      </c>
      <c r="BL1222" s="40">
        <v>6650</v>
      </c>
      <c r="BN1222" t="str">
        <f t="shared" si="103"/>
        <v>Dell</v>
      </c>
      <c r="BO1222">
        <f t="shared" si="100"/>
        <v>742</v>
      </c>
      <c r="BP1222">
        <f t="shared" si="101"/>
        <v>4</v>
      </c>
      <c r="BQ1222">
        <f t="shared" si="102"/>
        <v>746</v>
      </c>
    </row>
    <row r="1223" spans="26:69" hidden="1" x14ac:dyDescent="0.25">
      <c r="Z1223" s="7" t="s">
        <v>566</v>
      </c>
      <c r="AA1223" s="1">
        <v>0.1</v>
      </c>
      <c r="AI1223" s="7" t="s">
        <v>572</v>
      </c>
      <c r="AJ1223" s="40">
        <v>2</v>
      </c>
      <c r="AL1223" s="7" t="s">
        <v>573</v>
      </c>
      <c r="AM1223" s="27">
        <v>1</v>
      </c>
      <c r="AW1223" s="7" t="s">
        <v>671</v>
      </c>
      <c r="AX1223" s="27">
        <v>580</v>
      </c>
      <c r="BC1223" s="7" t="s">
        <v>627</v>
      </c>
      <c r="BD1223" s="27">
        <v>202</v>
      </c>
      <c r="BJ1223" s="7" t="s">
        <v>576</v>
      </c>
      <c r="BK1223" s="40">
        <v>143</v>
      </c>
      <c r="BL1223" s="40">
        <v>27</v>
      </c>
      <c r="BN1223" t="str">
        <f t="shared" si="103"/>
        <v>Demandbase</v>
      </c>
      <c r="BO1223">
        <f t="shared" si="100"/>
        <v>382</v>
      </c>
      <c r="BP1223">
        <f t="shared" si="101"/>
        <v>546</v>
      </c>
      <c r="BQ1223">
        <f t="shared" si="102"/>
        <v>928</v>
      </c>
    </row>
    <row r="1224" spans="26:69" hidden="1" x14ac:dyDescent="0.25">
      <c r="Z1224" s="7" t="s">
        <v>567</v>
      </c>
      <c r="AA1224" s="1">
        <v>0.06</v>
      </c>
      <c r="AI1224" s="7" t="s">
        <v>573</v>
      </c>
      <c r="AJ1224" s="40">
        <v>1</v>
      </c>
      <c r="AL1224" s="7" t="s">
        <v>574</v>
      </c>
      <c r="AM1224" s="27">
        <v>3</v>
      </c>
      <c r="AW1224" s="7" t="s">
        <v>672</v>
      </c>
      <c r="AX1224" s="27">
        <v>200</v>
      </c>
      <c r="BC1224" s="7" t="s">
        <v>628</v>
      </c>
      <c r="BD1224" s="27">
        <v>490</v>
      </c>
      <c r="BJ1224" s="7" t="s">
        <v>577</v>
      </c>
      <c r="BK1224" s="40">
        <v>106</v>
      </c>
      <c r="BL1224" s="40">
        <v>60</v>
      </c>
      <c r="BN1224" t="str">
        <f t="shared" si="103"/>
        <v>Deputy</v>
      </c>
      <c r="BO1224">
        <f t="shared" si="100"/>
        <v>428</v>
      </c>
      <c r="BP1224">
        <f t="shared" si="101"/>
        <v>378</v>
      </c>
      <c r="BQ1224">
        <f t="shared" si="102"/>
        <v>806</v>
      </c>
    </row>
    <row r="1225" spans="26:69" hidden="1" x14ac:dyDescent="0.25">
      <c r="Z1225" s="7" t="s">
        <v>568</v>
      </c>
      <c r="AA1225" s="1">
        <v>0.15</v>
      </c>
      <c r="AI1225" s="7" t="s">
        <v>574</v>
      </c>
      <c r="AJ1225" s="40">
        <v>3</v>
      </c>
      <c r="AL1225" s="7" t="s">
        <v>575</v>
      </c>
      <c r="AM1225" s="27">
        <v>1</v>
      </c>
      <c r="AW1225" s="7" t="s">
        <v>673</v>
      </c>
      <c r="AX1225" s="27">
        <v>257</v>
      </c>
      <c r="BC1225" s="7" t="s">
        <v>630</v>
      </c>
      <c r="BD1225" s="27">
        <v>1200</v>
      </c>
      <c r="BJ1225" s="7" t="s">
        <v>578</v>
      </c>
      <c r="BK1225" s="40">
        <v>58</v>
      </c>
      <c r="BL1225" s="40">
        <v>12</v>
      </c>
      <c r="BN1225" t="str">
        <f t="shared" si="103"/>
        <v>Descartes Labs</v>
      </c>
      <c r="BO1225">
        <f t="shared" ref="BO1225:BO1288" si="104">RANK($BK$839:$BK$1662,$BK$839:$BK$1662,0)</f>
        <v>521</v>
      </c>
      <c r="BP1225">
        <f t="shared" ref="BP1225:BP1288" si="105">RANK($BL$840:$BL$1662,$BL$840:$BL$1662,0)</f>
        <v>640</v>
      </c>
      <c r="BQ1225">
        <f t="shared" ref="BQ1225:BQ1288" si="106">BO1225+BP1225</f>
        <v>1161</v>
      </c>
    </row>
    <row r="1226" spans="26:69" hidden="1" x14ac:dyDescent="0.25">
      <c r="Z1226" s="7" t="s">
        <v>569</v>
      </c>
      <c r="AA1226" s="1">
        <v>0.05</v>
      </c>
      <c r="AI1226" s="7" t="s">
        <v>575</v>
      </c>
      <c r="AJ1226" s="40">
        <v>1</v>
      </c>
      <c r="AL1226" s="7" t="s">
        <v>576</v>
      </c>
      <c r="AM1226" s="27">
        <v>1</v>
      </c>
      <c r="AW1226" s="7" t="s">
        <v>674</v>
      </c>
      <c r="AX1226" s="27">
        <v>129</v>
      </c>
      <c r="BC1226" s="7" t="s">
        <v>631</v>
      </c>
      <c r="BD1226" s="27">
        <v>149</v>
      </c>
      <c r="BJ1226" s="7" t="s">
        <v>580</v>
      </c>
      <c r="BK1226" s="40">
        <v>811</v>
      </c>
      <c r="BL1226" s="40">
        <v>0</v>
      </c>
      <c r="BN1226" t="str">
        <f t="shared" si="103"/>
        <v>Desktop Metal</v>
      </c>
      <c r="BO1226">
        <f t="shared" si="104"/>
        <v>107</v>
      </c>
      <c r="BP1226">
        <f t="shared" si="105"/>
        <v>683</v>
      </c>
      <c r="BQ1226">
        <f t="shared" si="106"/>
        <v>790</v>
      </c>
    </row>
    <row r="1227" spans="26:69" hidden="1" x14ac:dyDescent="0.25">
      <c r="Z1227" s="7" t="s">
        <v>571</v>
      </c>
      <c r="AA1227" s="1">
        <v>1</v>
      </c>
      <c r="AI1227" s="7" t="s">
        <v>576</v>
      </c>
      <c r="AJ1227" s="40">
        <v>1</v>
      </c>
      <c r="AL1227" s="7" t="s">
        <v>577</v>
      </c>
      <c r="AM1227" s="27">
        <v>1</v>
      </c>
      <c r="AW1227" s="7" t="s">
        <v>675</v>
      </c>
      <c r="AX1227" s="27">
        <v>40</v>
      </c>
      <c r="BC1227" s="7" t="s">
        <v>632</v>
      </c>
      <c r="BD1227" s="27">
        <v>40</v>
      </c>
      <c r="BJ1227" s="7" t="s">
        <v>581</v>
      </c>
      <c r="BK1227" s="40">
        <v>481</v>
      </c>
      <c r="BL1227" s="40">
        <v>0</v>
      </c>
      <c r="BN1227" t="str">
        <f t="shared" si="103"/>
        <v>Devo</v>
      </c>
      <c r="BO1227">
        <f t="shared" si="104"/>
        <v>172</v>
      </c>
      <c r="BP1227">
        <f t="shared" si="105"/>
        <v>683</v>
      </c>
      <c r="BQ1227">
        <f t="shared" si="106"/>
        <v>855</v>
      </c>
    </row>
    <row r="1228" spans="26:69" hidden="1" x14ac:dyDescent="0.25">
      <c r="Z1228" s="7" t="s">
        <v>572</v>
      </c>
      <c r="AA1228" s="1">
        <v>0.15</v>
      </c>
      <c r="AI1228" s="7" t="s">
        <v>577</v>
      </c>
      <c r="AJ1228" s="40">
        <v>1</v>
      </c>
      <c r="AL1228" s="7" t="s">
        <v>578</v>
      </c>
      <c r="AM1228" s="27">
        <v>1</v>
      </c>
      <c r="AW1228" s="7" t="s">
        <v>676</v>
      </c>
      <c r="AX1228" s="27">
        <v>59</v>
      </c>
      <c r="BC1228" s="7" t="s">
        <v>633</v>
      </c>
      <c r="BD1228" s="27">
        <v>462</v>
      </c>
      <c r="BJ1228" s="7" t="s">
        <v>582</v>
      </c>
      <c r="BK1228" s="40">
        <v>26</v>
      </c>
      <c r="BL1228" s="40">
        <v>5</v>
      </c>
      <c r="BN1228" t="str">
        <f t="shared" si="103"/>
        <v>DialSource</v>
      </c>
      <c r="BO1228">
        <f t="shared" si="104"/>
        <v>612</v>
      </c>
      <c r="BP1228">
        <f t="shared" si="105"/>
        <v>676</v>
      </c>
      <c r="BQ1228">
        <f t="shared" si="106"/>
        <v>1288</v>
      </c>
    </row>
    <row r="1229" spans="26:69" hidden="1" x14ac:dyDescent="0.25">
      <c r="Z1229" s="7" t="s">
        <v>573</v>
      </c>
      <c r="AA1229" s="1">
        <v>1</v>
      </c>
      <c r="AI1229" s="7" t="s">
        <v>578</v>
      </c>
      <c r="AJ1229" s="40">
        <v>1</v>
      </c>
      <c r="AL1229" s="7" t="s">
        <v>580</v>
      </c>
      <c r="AM1229" s="27">
        <v>1</v>
      </c>
      <c r="AW1229" s="7" t="s">
        <v>678</v>
      </c>
      <c r="AX1229" s="27">
        <v>142</v>
      </c>
      <c r="BC1229" s="7" t="s">
        <v>634</v>
      </c>
      <c r="BD1229" s="27">
        <v>1</v>
      </c>
      <c r="BJ1229" s="7" t="s">
        <v>584</v>
      </c>
      <c r="BK1229" s="40">
        <v>0</v>
      </c>
      <c r="BL1229" s="40">
        <v>10</v>
      </c>
      <c r="BN1229" t="str">
        <f t="shared" si="103"/>
        <v>Digital Currency Gruop</v>
      </c>
      <c r="BO1229">
        <f t="shared" si="104"/>
        <v>742</v>
      </c>
      <c r="BP1229">
        <f t="shared" si="105"/>
        <v>653</v>
      </c>
      <c r="BQ1229">
        <f t="shared" si="106"/>
        <v>1395</v>
      </c>
    </row>
    <row r="1230" spans="26:69" hidden="1" x14ac:dyDescent="0.25">
      <c r="Z1230" s="7" t="s">
        <v>574</v>
      </c>
      <c r="AA1230" s="1">
        <v>0.04</v>
      </c>
      <c r="AI1230" s="7" t="s">
        <v>580</v>
      </c>
      <c r="AJ1230" s="40">
        <v>1</v>
      </c>
      <c r="AL1230" s="7" t="s">
        <v>581</v>
      </c>
      <c r="AM1230" s="27">
        <v>1</v>
      </c>
      <c r="AW1230" s="7" t="s">
        <v>679</v>
      </c>
      <c r="AX1230" s="27">
        <v>7</v>
      </c>
      <c r="BC1230" s="7" t="s">
        <v>635</v>
      </c>
      <c r="BD1230" s="27">
        <v>656</v>
      </c>
      <c r="BJ1230" s="7" t="s">
        <v>586</v>
      </c>
      <c r="BK1230" s="40">
        <v>0</v>
      </c>
      <c r="BL1230" s="40">
        <v>0</v>
      </c>
      <c r="BN1230" t="str">
        <f t="shared" si="103"/>
        <v>Digital Surge</v>
      </c>
      <c r="BO1230">
        <f t="shared" si="104"/>
        <v>742</v>
      </c>
      <c r="BP1230">
        <f t="shared" si="105"/>
        <v>683</v>
      </c>
      <c r="BQ1230">
        <f t="shared" si="106"/>
        <v>1425</v>
      </c>
    </row>
    <row r="1231" spans="26:69" hidden="1" x14ac:dyDescent="0.25">
      <c r="Z1231" s="7" t="s">
        <v>575</v>
      </c>
      <c r="AA1231" s="1">
        <v>0.05</v>
      </c>
      <c r="AI1231" s="7" t="s">
        <v>581</v>
      </c>
      <c r="AJ1231" s="40">
        <v>1</v>
      </c>
      <c r="AL1231" s="7" t="s">
        <v>582</v>
      </c>
      <c r="AM1231" s="27">
        <v>1</v>
      </c>
      <c r="AW1231" s="7" t="s">
        <v>680</v>
      </c>
      <c r="AX1231" s="27">
        <v>24</v>
      </c>
      <c r="BC1231" s="7" t="s">
        <v>636</v>
      </c>
      <c r="BD1231" s="27">
        <v>77</v>
      </c>
      <c r="BJ1231" s="7" t="s">
        <v>587</v>
      </c>
      <c r="BK1231" s="40">
        <v>491</v>
      </c>
      <c r="BL1231" s="40">
        <v>200</v>
      </c>
      <c r="BN1231" t="str">
        <f t="shared" si="103"/>
        <v>DigitalOcean</v>
      </c>
      <c r="BO1231">
        <f t="shared" si="104"/>
        <v>166</v>
      </c>
      <c r="BP1231">
        <f t="shared" si="105"/>
        <v>147</v>
      </c>
      <c r="BQ1231">
        <f t="shared" si="106"/>
        <v>313</v>
      </c>
    </row>
    <row r="1232" spans="26:69" hidden="1" x14ac:dyDescent="0.25">
      <c r="Z1232" s="7" t="s">
        <v>576</v>
      </c>
      <c r="AA1232" s="1">
        <v>0.03</v>
      </c>
      <c r="AI1232" s="7" t="s">
        <v>582</v>
      </c>
      <c r="AJ1232" s="40">
        <v>1</v>
      </c>
      <c r="AL1232" s="7" t="s">
        <v>584</v>
      </c>
      <c r="AM1232" s="27">
        <v>1</v>
      </c>
      <c r="AW1232" s="7" t="s">
        <v>681</v>
      </c>
      <c r="AX1232" s="27">
        <v>400</v>
      </c>
      <c r="BC1232" s="7" t="s">
        <v>637</v>
      </c>
      <c r="BD1232" s="27">
        <v>109</v>
      </c>
      <c r="BJ1232" s="7" t="s">
        <v>588</v>
      </c>
      <c r="BK1232" s="40">
        <v>133</v>
      </c>
      <c r="BL1232" s="40">
        <v>75</v>
      </c>
      <c r="BN1232" t="str">
        <f t="shared" si="103"/>
        <v>DISCO</v>
      </c>
      <c r="BO1232">
        <f t="shared" si="104"/>
        <v>391</v>
      </c>
      <c r="BP1232">
        <f t="shared" si="105"/>
        <v>341</v>
      </c>
      <c r="BQ1232">
        <f t="shared" si="106"/>
        <v>732</v>
      </c>
    </row>
    <row r="1233" spans="26:69" hidden="1" x14ac:dyDescent="0.25">
      <c r="Z1233" s="7" t="s">
        <v>577</v>
      </c>
      <c r="AA1233" s="1">
        <v>0.3</v>
      </c>
      <c r="AI1233" s="7" t="s">
        <v>584</v>
      </c>
      <c r="AJ1233" s="40">
        <v>1</v>
      </c>
      <c r="AL1233" s="7" t="s">
        <v>586</v>
      </c>
      <c r="AM1233" s="27">
        <v>1</v>
      </c>
      <c r="AW1233" s="7" t="s">
        <v>682</v>
      </c>
      <c r="AX1233" s="27">
        <v>100</v>
      </c>
      <c r="BC1233" s="7" t="s">
        <v>638</v>
      </c>
      <c r="BD1233" s="27">
        <v>70</v>
      </c>
      <c r="BJ1233" s="7" t="s">
        <v>589</v>
      </c>
      <c r="BK1233" s="40">
        <v>18</v>
      </c>
      <c r="BL1233" s="40">
        <v>0</v>
      </c>
      <c r="BN1233" t="str">
        <f t="shared" si="103"/>
        <v>Dispatch</v>
      </c>
      <c r="BO1233">
        <f t="shared" si="104"/>
        <v>649</v>
      </c>
      <c r="BP1233">
        <f t="shared" si="105"/>
        <v>683</v>
      </c>
      <c r="BQ1233">
        <f t="shared" si="106"/>
        <v>1332</v>
      </c>
    </row>
    <row r="1234" spans="26:69" hidden="1" x14ac:dyDescent="0.25">
      <c r="Z1234" s="7" t="s">
        <v>578</v>
      </c>
      <c r="AA1234" s="1">
        <v>0.16</v>
      </c>
      <c r="AI1234" s="7" t="s">
        <v>586</v>
      </c>
      <c r="AJ1234" s="40">
        <v>1</v>
      </c>
      <c r="AL1234" s="7" t="s">
        <v>587</v>
      </c>
      <c r="AM1234" s="27">
        <v>1</v>
      </c>
      <c r="AW1234" s="7" t="s">
        <v>683</v>
      </c>
      <c r="AX1234" s="27">
        <v>80</v>
      </c>
      <c r="BC1234" s="7" t="s">
        <v>640</v>
      </c>
      <c r="BD1234" s="27">
        <v>162</v>
      </c>
      <c r="BJ1234" s="7" t="s">
        <v>590</v>
      </c>
      <c r="BK1234" s="40">
        <v>88</v>
      </c>
      <c r="BL1234" s="40">
        <v>57</v>
      </c>
      <c r="BN1234" t="str">
        <f t="shared" si="103"/>
        <v>Divergent 3D</v>
      </c>
      <c r="BO1234">
        <f t="shared" si="104"/>
        <v>461</v>
      </c>
      <c r="BP1234">
        <f t="shared" si="105"/>
        <v>400</v>
      </c>
      <c r="BQ1234">
        <f t="shared" si="106"/>
        <v>861</v>
      </c>
    </row>
    <row r="1235" spans="26:69" hidden="1" x14ac:dyDescent="0.25">
      <c r="Z1235" s="7" t="s">
        <v>580</v>
      </c>
      <c r="AA1235" s="1">
        <v>0.12</v>
      </c>
      <c r="AI1235" s="7" t="s">
        <v>587</v>
      </c>
      <c r="AJ1235" s="40">
        <v>1</v>
      </c>
      <c r="AL1235" s="7" t="s">
        <v>588</v>
      </c>
      <c r="AM1235" s="27">
        <v>1</v>
      </c>
      <c r="AW1235" s="7" t="s">
        <v>684</v>
      </c>
      <c r="AX1235" s="27">
        <v>120</v>
      </c>
      <c r="BC1235" s="7" t="s">
        <v>641</v>
      </c>
      <c r="BD1235" s="27">
        <v>424</v>
      </c>
      <c r="BJ1235" s="7" t="s">
        <v>591</v>
      </c>
      <c r="BK1235" s="40">
        <v>360</v>
      </c>
      <c r="BL1235" s="40">
        <v>40</v>
      </c>
      <c r="BN1235" t="str">
        <f t="shared" si="103"/>
        <v>Divvy Homes</v>
      </c>
      <c r="BO1235">
        <f t="shared" si="104"/>
        <v>210</v>
      </c>
      <c r="BP1235">
        <f t="shared" si="105"/>
        <v>454</v>
      </c>
      <c r="BQ1235">
        <f t="shared" si="106"/>
        <v>664</v>
      </c>
    </row>
    <row r="1236" spans="26:69" hidden="1" x14ac:dyDescent="0.25">
      <c r="Z1236" s="7" t="s">
        <v>581</v>
      </c>
      <c r="AA1236" s="1">
        <v>0.15</v>
      </c>
      <c r="AI1236" s="7" t="s">
        <v>588</v>
      </c>
      <c r="AJ1236" s="40">
        <v>1</v>
      </c>
      <c r="AL1236" s="7" t="s">
        <v>589</v>
      </c>
      <c r="AM1236" s="27">
        <v>1</v>
      </c>
      <c r="AW1236" s="7" t="s">
        <v>685</v>
      </c>
      <c r="AX1236" s="27">
        <v>260</v>
      </c>
      <c r="BC1236" s="7" t="s">
        <v>642</v>
      </c>
      <c r="BD1236" s="27">
        <v>2</v>
      </c>
      <c r="BJ1236" s="7" t="s">
        <v>592</v>
      </c>
      <c r="BK1236" s="40">
        <v>0</v>
      </c>
      <c r="BL1236" s="40">
        <v>62</v>
      </c>
      <c r="BN1236" t="str">
        <f t="shared" ref="BN1236:BN1299" si="107">VLOOKUP(BJ1236,BJ1236:BL2047,1,0)</f>
        <v>divvyDOSE</v>
      </c>
      <c r="BO1236">
        <f t="shared" si="104"/>
        <v>742</v>
      </c>
      <c r="BP1236">
        <f t="shared" si="105"/>
        <v>374</v>
      </c>
      <c r="BQ1236">
        <f t="shared" si="106"/>
        <v>1116</v>
      </c>
    </row>
    <row r="1237" spans="26:69" hidden="1" x14ac:dyDescent="0.25">
      <c r="Z1237" s="7" t="s">
        <v>582</v>
      </c>
      <c r="AA1237" s="1">
        <v>0.14000000000000001</v>
      </c>
      <c r="AI1237" s="7" t="s">
        <v>589</v>
      </c>
      <c r="AJ1237" s="40">
        <v>1</v>
      </c>
      <c r="AL1237" s="7" t="s">
        <v>590</v>
      </c>
      <c r="AM1237" s="27">
        <v>1</v>
      </c>
      <c r="AW1237" s="7" t="s">
        <v>686</v>
      </c>
      <c r="AX1237" s="27">
        <v>84</v>
      </c>
      <c r="BC1237" s="7" t="s">
        <v>644</v>
      </c>
      <c r="BD1237" s="27">
        <v>96</v>
      </c>
      <c r="BJ1237" s="7" t="s">
        <v>594</v>
      </c>
      <c r="BK1237" s="40">
        <v>280</v>
      </c>
      <c r="BL1237" s="40">
        <v>190</v>
      </c>
      <c r="BN1237" t="str">
        <f t="shared" si="107"/>
        <v>Dock</v>
      </c>
      <c r="BO1237">
        <f t="shared" si="104"/>
        <v>257</v>
      </c>
      <c r="BP1237">
        <f t="shared" si="105"/>
        <v>165</v>
      </c>
      <c r="BQ1237">
        <f t="shared" si="106"/>
        <v>422</v>
      </c>
    </row>
    <row r="1238" spans="26:69" hidden="1" x14ac:dyDescent="0.25">
      <c r="Z1238" s="7" t="s">
        <v>584</v>
      </c>
      <c r="AA1238" s="1">
        <v>0.13</v>
      </c>
      <c r="AI1238" s="7" t="s">
        <v>590</v>
      </c>
      <c r="AJ1238" s="40">
        <v>1</v>
      </c>
      <c r="AL1238" s="7" t="s">
        <v>591</v>
      </c>
      <c r="AM1238" s="27">
        <v>2</v>
      </c>
      <c r="AW1238" s="7" t="s">
        <v>688</v>
      </c>
      <c r="AX1238" s="27">
        <v>200</v>
      </c>
      <c r="BC1238" s="7" t="s">
        <v>645</v>
      </c>
      <c r="BD1238" s="27">
        <v>257</v>
      </c>
      <c r="BJ1238" s="7" t="s">
        <v>595</v>
      </c>
      <c r="BK1238" s="40">
        <v>16</v>
      </c>
      <c r="BL1238" s="40">
        <v>8</v>
      </c>
      <c r="BN1238" t="str">
        <f t="shared" si="107"/>
        <v>Docly</v>
      </c>
      <c r="BO1238">
        <f t="shared" si="104"/>
        <v>659</v>
      </c>
      <c r="BP1238">
        <f t="shared" si="105"/>
        <v>666</v>
      </c>
      <c r="BQ1238">
        <f t="shared" si="106"/>
        <v>1325</v>
      </c>
    </row>
    <row r="1239" spans="26:69" hidden="1" x14ac:dyDescent="0.25">
      <c r="Z1239" s="7" t="s">
        <v>586</v>
      </c>
      <c r="AA1239" s="1">
        <v>1</v>
      </c>
      <c r="AI1239" s="7" t="s">
        <v>591</v>
      </c>
      <c r="AJ1239" s="40">
        <v>2</v>
      </c>
      <c r="AL1239" s="7" t="s">
        <v>592</v>
      </c>
      <c r="AM1239" s="27">
        <v>1</v>
      </c>
      <c r="AW1239" s="7" t="s">
        <v>689</v>
      </c>
      <c r="AX1239" s="27">
        <v>340</v>
      </c>
      <c r="BC1239" s="7" t="s">
        <v>646</v>
      </c>
      <c r="BD1239" s="27">
        <v>22</v>
      </c>
      <c r="BJ1239" s="7" t="s">
        <v>596</v>
      </c>
      <c r="BK1239" s="40">
        <v>1072</v>
      </c>
      <c r="BL1239" s="40">
        <v>1351</v>
      </c>
      <c r="BN1239" t="str">
        <f t="shared" si="107"/>
        <v>DocuSign</v>
      </c>
      <c r="BO1239">
        <f t="shared" si="104"/>
        <v>83</v>
      </c>
      <c r="BP1239">
        <f t="shared" si="105"/>
        <v>20</v>
      </c>
      <c r="BQ1239">
        <f t="shared" si="106"/>
        <v>103</v>
      </c>
    </row>
    <row r="1240" spans="26:69" hidden="1" x14ac:dyDescent="0.25">
      <c r="Z1240" s="7" t="s">
        <v>587</v>
      </c>
      <c r="AA1240" s="1">
        <v>0.11</v>
      </c>
      <c r="AI1240" s="7" t="s">
        <v>592</v>
      </c>
      <c r="AJ1240" s="40">
        <v>1</v>
      </c>
      <c r="AL1240" s="7" t="s">
        <v>594</v>
      </c>
      <c r="AM1240" s="27">
        <v>1</v>
      </c>
      <c r="AW1240" s="7" t="s">
        <v>691</v>
      </c>
      <c r="AX1240" s="27">
        <v>315</v>
      </c>
      <c r="BC1240" s="7" t="s">
        <v>647</v>
      </c>
      <c r="BD1240" s="27">
        <v>65</v>
      </c>
      <c r="BJ1240" s="7" t="s">
        <v>597</v>
      </c>
      <c r="BK1240" s="40">
        <v>2037</v>
      </c>
      <c r="BL1240" s="40">
        <v>1075</v>
      </c>
      <c r="BN1240" t="str">
        <f t="shared" si="107"/>
        <v>Doma</v>
      </c>
      <c r="BO1240">
        <f t="shared" si="104"/>
        <v>38</v>
      </c>
      <c r="BP1240">
        <f t="shared" si="105"/>
        <v>29</v>
      </c>
      <c r="BQ1240">
        <f t="shared" si="106"/>
        <v>67</v>
      </c>
    </row>
    <row r="1241" spans="26:69" hidden="1" x14ac:dyDescent="0.25">
      <c r="Z1241" s="7" t="s">
        <v>588</v>
      </c>
      <c r="AA1241" s="1">
        <v>0</v>
      </c>
      <c r="AI1241" s="7" t="s">
        <v>594</v>
      </c>
      <c r="AJ1241" s="40">
        <v>1</v>
      </c>
      <c r="AL1241" s="7" t="s">
        <v>595</v>
      </c>
      <c r="AM1241" s="27">
        <v>1</v>
      </c>
      <c r="AW1241" s="7" t="s">
        <v>692</v>
      </c>
      <c r="AX1241" s="27">
        <v>170</v>
      </c>
      <c r="BC1241" s="7" t="s">
        <v>648</v>
      </c>
      <c r="BD1241" s="27">
        <v>30</v>
      </c>
      <c r="BJ1241" s="7" t="s">
        <v>598</v>
      </c>
      <c r="BK1241" s="40">
        <v>130</v>
      </c>
      <c r="BL1241" s="40">
        <v>150</v>
      </c>
      <c r="BN1241" t="str">
        <f t="shared" si="107"/>
        <v>Domestika</v>
      </c>
      <c r="BO1241">
        <f t="shared" si="104"/>
        <v>396</v>
      </c>
      <c r="BP1241">
        <f t="shared" si="105"/>
        <v>193</v>
      </c>
      <c r="BQ1241">
        <f t="shared" si="106"/>
        <v>589</v>
      </c>
    </row>
    <row r="1242" spans="26:69" hidden="1" x14ac:dyDescent="0.25">
      <c r="Z1242" s="7" t="s">
        <v>589</v>
      </c>
      <c r="AA1242" s="1">
        <v>0.38</v>
      </c>
      <c r="AI1242" s="7" t="s">
        <v>595</v>
      </c>
      <c r="AJ1242" s="40">
        <v>1</v>
      </c>
      <c r="AL1242" s="7" t="s">
        <v>596</v>
      </c>
      <c r="AM1242" s="27">
        <v>2</v>
      </c>
      <c r="AW1242" s="7" t="s">
        <v>694</v>
      </c>
      <c r="AX1242" s="27">
        <v>100</v>
      </c>
      <c r="BC1242" s="7" t="s">
        <v>649</v>
      </c>
      <c r="BD1242" s="27">
        <v>40</v>
      </c>
      <c r="BJ1242" s="7" t="s">
        <v>599</v>
      </c>
      <c r="BK1242" s="40">
        <v>223</v>
      </c>
      <c r="BL1242" s="40">
        <v>0</v>
      </c>
      <c r="BN1242" t="str">
        <f t="shared" si="107"/>
        <v>Domino Data Lab</v>
      </c>
      <c r="BO1242">
        <f t="shared" si="104"/>
        <v>302</v>
      </c>
      <c r="BP1242">
        <f t="shared" si="105"/>
        <v>683</v>
      </c>
      <c r="BQ1242">
        <f t="shared" si="106"/>
        <v>985</v>
      </c>
    </row>
    <row r="1243" spans="26:69" hidden="1" x14ac:dyDescent="0.25">
      <c r="Z1243" s="7" t="s">
        <v>590</v>
      </c>
      <c r="AA1243" s="1">
        <v>0.36</v>
      </c>
      <c r="AI1243" s="7" t="s">
        <v>596</v>
      </c>
      <c r="AJ1243" s="40">
        <v>2</v>
      </c>
      <c r="AL1243" s="7" t="s">
        <v>597</v>
      </c>
      <c r="AM1243" s="27">
        <v>3</v>
      </c>
      <c r="AW1243" s="7" t="s">
        <v>696</v>
      </c>
      <c r="AX1243" s="27">
        <v>16</v>
      </c>
      <c r="BC1243" s="7" t="s">
        <v>650</v>
      </c>
      <c r="BD1243" s="27">
        <v>94</v>
      </c>
      <c r="BJ1243" s="7" t="s">
        <v>600</v>
      </c>
      <c r="BK1243" s="40">
        <v>232</v>
      </c>
      <c r="BL1243" s="40">
        <v>0</v>
      </c>
      <c r="BN1243" t="str">
        <f t="shared" si="107"/>
        <v>Domio</v>
      </c>
      <c r="BO1243">
        <f t="shared" si="104"/>
        <v>294</v>
      </c>
      <c r="BP1243">
        <f t="shared" si="105"/>
        <v>683</v>
      </c>
      <c r="BQ1243">
        <f t="shared" si="106"/>
        <v>977</v>
      </c>
    </row>
    <row r="1244" spans="26:69" hidden="1" x14ac:dyDescent="0.25">
      <c r="Z1244" s="7" t="s">
        <v>591</v>
      </c>
      <c r="AA1244" s="1">
        <v>0.12</v>
      </c>
      <c r="AI1244" s="7" t="s">
        <v>597</v>
      </c>
      <c r="AJ1244" s="40">
        <v>3</v>
      </c>
      <c r="AL1244" s="7" t="s">
        <v>598</v>
      </c>
      <c r="AM1244" s="27">
        <v>1</v>
      </c>
      <c r="AW1244" s="7" t="s">
        <v>697</v>
      </c>
      <c r="AX1244" s="27">
        <v>14</v>
      </c>
      <c r="BC1244" s="7" t="s">
        <v>651</v>
      </c>
      <c r="BD1244" s="27">
        <v>317</v>
      </c>
      <c r="BJ1244" s="7" t="s">
        <v>601</v>
      </c>
      <c r="BK1244" s="40">
        <v>689</v>
      </c>
      <c r="BL1244" s="40">
        <v>90</v>
      </c>
      <c r="BN1244" t="str">
        <f t="shared" si="107"/>
        <v>Domo</v>
      </c>
      <c r="BO1244">
        <f t="shared" si="104"/>
        <v>129</v>
      </c>
      <c r="BP1244">
        <f t="shared" si="105"/>
        <v>298</v>
      </c>
      <c r="BQ1244">
        <f t="shared" si="106"/>
        <v>427</v>
      </c>
    </row>
    <row r="1245" spans="26:69" hidden="1" x14ac:dyDescent="0.25">
      <c r="Z1245" s="7" t="s">
        <v>592</v>
      </c>
      <c r="AA1245" s="1">
        <v>0</v>
      </c>
      <c r="AI1245" s="7" t="s">
        <v>598</v>
      </c>
      <c r="AJ1245" s="40">
        <v>1</v>
      </c>
      <c r="AL1245" s="7" t="s">
        <v>599</v>
      </c>
      <c r="AM1245" s="27">
        <v>1</v>
      </c>
      <c r="AW1245" s="7" t="s">
        <v>700</v>
      </c>
      <c r="AX1245" s="27">
        <v>30</v>
      </c>
      <c r="BC1245" s="7" t="s">
        <v>652</v>
      </c>
      <c r="BD1245" s="27">
        <v>142</v>
      </c>
      <c r="BJ1245" s="7" t="s">
        <v>602</v>
      </c>
      <c r="BK1245" s="40">
        <v>102</v>
      </c>
      <c r="BL1245" s="40">
        <v>12</v>
      </c>
      <c r="BN1245" t="str">
        <f t="shared" si="107"/>
        <v>Dooly</v>
      </c>
      <c r="BO1245">
        <f t="shared" si="104"/>
        <v>432</v>
      </c>
      <c r="BP1245">
        <f t="shared" si="105"/>
        <v>640</v>
      </c>
      <c r="BQ1245">
        <f t="shared" si="106"/>
        <v>1072</v>
      </c>
    </row>
    <row r="1246" spans="26:69" hidden="1" x14ac:dyDescent="0.25">
      <c r="Z1246" s="7" t="s">
        <v>594</v>
      </c>
      <c r="AA1246" s="1">
        <v>0.12</v>
      </c>
      <c r="AI1246" s="7" t="s">
        <v>599</v>
      </c>
      <c r="AJ1246" s="40">
        <v>1</v>
      </c>
      <c r="AL1246" s="7" t="s">
        <v>600</v>
      </c>
      <c r="AM1246" s="27">
        <v>2</v>
      </c>
      <c r="AW1246" s="7" t="s">
        <v>702</v>
      </c>
      <c r="AX1246" s="27">
        <v>30</v>
      </c>
      <c r="BC1246" s="7" t="s">
        <v>653</v>
      </c>
      <c r="BD1246" s="27">
        <v>78</v>
      </c>
      <c r="BJ1246" s="7" t="s">
        <v>603</v>
      </c>
      <c r="BK1246" s="40">
        <v>2500</v>
      </c>
      <c r="BL1246" s="40">
        <v>1250</v>
      </c>
      <c r="BN1246" t="str">
        <f t="shared" si="107"/>
        <v>DoorDash</v>
      </c>
      <c r="BO1246">
        <f t="shared" si="104"/>
        <v>28</v>
      </c>
      <c r="BP1246">
        <f t="shared" si="105"/>
        <v>25</v>
      </c>
      <c r="BQ1246">
        <f t="shared" si="106"/>
        <v>53</v>
      </c>
    </row>
    <row r="1247" spans="26:69" hidden="1" x14ac:dyDescent="0.25">
      <c r="Z1247" s="7" t="s">
        <v>595</v>
      </c>
      <c r="AA1247" s="1">
        <v>0.8</v>
      </c>
      <c r="AI1247" s="7" t="s">
        <v>600</v>
      </c>
      <c r="AJ1247" s="40">
        <v>2</v>
      </c>
      <c r="AL1247" s="7" t="s">
        <v>601</v>
      </c>
      <c r="AM1247" s="27">
        <v>1</v>
      </c>
      <c r="AW1247" s="7" t="s">
        <v>703</v>
      </c>
      <c r="AX1247" s="27">
        <v>30</v>
      </c>
      <c r="BC1247" s="7" t="s">
        <v>655</v>
      </c>
      <c r="BD1247" s="27">
        <v>4</v>
      </c>
      <c r="BJ1247" s="7" t="s">
        <v>604</v>
      </c>
      <c r="BK1247" s="40">
        <v>0</v>
      </c>
      <c r="BL1247" s="40">
        <v>10</v>
      </c>
      <c r="BN1247" t="str">
        <f t="shared" si="107"/>
        <v>Dotscience</v>
      </c>
      <c r="BO1247">
        <f t="shared" si="104"/>
        <v>742</v>
      </c>
      <c r="BP1247">
        <f t="shared" si="105"/>
        <v>653</v>
      </c>
      <c r="BQ1247">
        <f t="shared" si="106"/>
        <v>1395</v>
      </c>
    </row>
    <row r="1248" spans="26:69" hidden="1" x14ac:dyDescent="0.25">
      <c r="Z1248" s="7" t="s">
        <v>596</v>
      </c>
      <c r="AA1248" s="1">
        <v>0.1</v>
      </c>
      <c r="AI1248" s="7" t="s">
        <v>601</v>
      </c>
      <c r="AJ1248" s="40">
        <v>1</v>
      </c>
      <c r="AL1248" s="7" t="s">
        <v>602</v>
      </c>
      <c r="AM1248" s="27">
        <v>1</v>
      </c>
      <c r="AW1248" s="7" t="s">
        <v>705</v>
      </c>
      <c r="AX1248" s="27">
        <v>60</v>
      </c>
      <c r="BC1248" s="7" t="s">
        <v>657</v>
      </c>
      <c r="BD1248" s="27">
        <v>14</v>
      </c>
      <c r="BJ1248" s="7" t="s">
        <v>605</v>
      </c>
      <c r="BK1248" s="40">
        <v>22</v>
      </c>
      <c r="BL1248" s="40">
        <v>23</v>
      </c>
      <c r="BN1248" t="str">
        <f t="shared" si="107"/>
        <v>Dover</v>
      </c>
      <c r="BO1248">
        <f t="shared" si="104"/>
        <v>632</v>
      </c>
      <c r="BP1248">
        <f t="shared" si="105"/>
        <v>570</v>
      </c>
      <c r="BQ1248">
        <f t="shared" si="106"/>
        <v>1202</v>
      </c>
    </row>
    <row r="1249" spans="26:69" hidden="1" x14ac:dyDescent="0.25">
      <c r="Z1249" s="7" t="s">
        <v>597</v>
      </c>
      <c r="AA1249" s="1">
        <v>0.4</v>
      </c>
      <c r="AI1249" s="7" t="s">
        <v>602</v>
      </c>
      <c r="AJ1249" s="40">
        <v>1</v>
      </c>
      <c r="AL1249" s="7" t="s">
        <v>603</v>
      </c>
      <c r="AM1249" s="27">
        <v>1</v>
      </c>
      <c r="AW1249" s="7" t="s">
        <v>707</v>
      </c>
      <c r="AX1249" s="27">
        <v>100</v>
      </c>
      <c r="BC1249" s="7" t="s">
        <v>658</v>
      </c>
      <c r="BD1249" s="27">
        <v>310</v>
      </c>
      <c r="BJ1249" s="7" t="s">
        <v>606</v>
      </c>
      <c r="BK1249" s="40">
        <v>719</v>
      </c>
      <c r="BL1249" s="40">
        <v>140</v>
      </c>
      <c r="BN1249" t="str">
        <f t="shared" si="107"/>
        <v>DraftKings</v>
      </c>
      <c r="BO1249">
        <f t="shared" si="104"/>
        <v>120</v>
      </c>
      <c r="BP1249">
        <f t="shared" si="105"/>
        <v>212</v>
      </c>
      <c r="BQ1249">
        <f t="shared" si="106"/>
        <v>332</v>
      </c>
    </row>
    <row r="1250" spans="26:69" hidden="1" x14ac:dyDescent="0.25">
      <c r="Z1250" s="7" t="s">
        <v>598</v>
      </c>
      <c r="AA1250" s="1">
        <v>0.19</v>
      </c>
      <c r="AI1250" s="7" t="s">
        <v>603</v>
      </c>
      <c r="AJ1250" s="40">
        <v>1</v>
      </c>
      <c r="AL1250" s="7" t="s">
        <v>604</v>
      </c>
      <c r="AM1250" s="27">
        <v>1</v>
      </c>
      <c r="AW1250" s="7" t="s">
        <v>708</v>
      </c>
      <c r="AX1250" s="27">
        <v>640</v>
      </c>
      <c r="BC1250" s="7" t="s">
        <v>660</v>
      </c>
      <c r="BD1250" s="27">
        <v>59</v>
      </c>
      <c r="BJ1250" s="7" t="s">
        <v>607</v>
      </c>
      <c r="BK1250" s="40">
        <v>107</v>
      </c>
      <c r="BL1250" s="40">
        <v>59</v>
      </c>
      <c r="BN1250" t="str">
        <f t="shared" si="107"/>
        <v>Drift</v>
      </c>
      <c r="BO1250">
        <f t="shared" si="104"/>
        <v>427</v>
      </c>
      <c r="BP1250">
        <f t="shared" si="105"/>
        <v>393</v>
      </c>
      <c r="BQ1250">
        <f t="shared" si="106"/>
        <v>820</v>
      </c>
    </row>
    <row r="1251" spans="26:69" hidden="1" x14ac:dyDescent="0.25">
      <c r="Z1251" s="7" t="s">
        <v>599</v>
      </c>
      <c r="AA1251" s="1">
        <v>0.25</v>
      </c>
      <c r="AI1251" s="7" t="s">
        <v>604</v>
      </c>
      <c r="AJ1251" s="40">
        <v>1</v>
      </c>
      <c r="AL1251" s="7" t="s">
        <v>605</v>
      </c>
      <c r="AM1251" s="27">
        <v>1</v>
      </c>
      <c r="AW1251" s="7" t="s">
        <v>709</v>
      </c>
      <c r="AX1251" s="27">
        <v>24</v>
      </c>
      <c r="BC1251" s="7" t="s">
        <v>661</v>
      </c>
      <c r="BD1251" s="27">
        <v>170</v>
      </c>
      <c r="BJ1251" s="7" t="s">
        <v>608</v>
      </c>
      <c r="BK1251" s="40">
        <v>0</v>
      </c>
      <c r="BL1251" s="40">
        <v>20</v>
      </c>
      <c r="BN1251" t="str">
        <f t="shared" si="107"/>
        <v>Drip</v>
      </c>
      <c r="BO1251">
        <f t="shared" si="104"/>
        <v>742</v>
      </c>
      <c r="BP1251">
        <f t="shared" si="105"/>
        <v>588</v>
      </c>
      <c r="BQ1251">
        <f t="shared" si="106"/>
        <v>1330</v>
      </c>
    </row>
    <row r="1252" spans="26:69" hidden="1" x14ac:dyDescent="0.25">
      <c r="Z1252" s="7" t="s">
        <v>600</v>
      </c>
      <c r="AA1252" s="1">
        <v>0.5</v>
      </c>
      <c r="AI1252" s="7" t="s">
        <v>605</v>
      </c>
      <c r="AJ1252" s="40">
        <v>1</v>
      </c>
      <c r="AL1252" s="7" t="s">
        <v>606</v>
      </c>
      <c r="AM1252" s="27">
        <v>1</v>
      </c>
      <c r="AW1252" s="7" t="s">
        <v>710</v>
      </c>
      <c r="AX1252" s="27">
        <v>37</v>
      </c>
      <c r="BC1252" s="7" t="s">
        <v>662</v>
      </c>
      <c r="BD1252" s="27">
        <v>11</v>
      </c>
      <c r="BJ1252" s="7" t="s">
        <v>609</v>
      </c>
      <c r="BK1252" s="40">
        <v>550</v>
      </c>
      <c r="BL1252" s="40">
        <v>0</v>
      </c>
      <c r="BN1252" t="str">
        <f t="shared" si="107"/>
        <v>DriveWealth</v>
      </c>
      <c r="BO1252">
        <f t="shared" si="104"/>
        <v>152</v>
      </c>
      <c r="BP1252">
        <f t="shared" si="105"/>
        <v>683</v>
      </c>
      <c r="BQ1252">
        <f t="shared" si="106"/>
        <v>835</v>
      </c>
    </row>
    <row r="1253" spans="26:69" hidden="1" x14ac:dyDescent="0.25">
      <c r="Z1253" s="7" t="s">
        <v>601</v>
      </c>
      <c r="AA1253" s="1">
        <v>0.1</v>
      </c>
      <c r="AI1253" s="7" t="s">
        <v>606</v>
      </c>
      <c r="AJ1253" s="40">
        <v>1</v>
      </c>
      <c r="AL1253" s="7" t="s">
        <v>607</v>
      </c>
      <c r="AM1253" s="27">
        <v>1</v>
      </c>
      <c r="AW1253" s="7" t="s">
        <v>713</v>
      </c>
      <c r="AX1253" s="27">
        <v>83</v>
      </c>
      <c r="BC1253" s="7" t="s">
        <v>663</v>
      </c>
      <c r="BD1253" s="27">
        <v>663</v>
      </c>
      <c r="BJ1253" s="7" t="s">
        <v>611</v>
      </c>
      <c r="BK1253" s="40">
        <v>56</v>
      </c>
      <c r="BL1253" s="40">
        <v>24</v>
      </c>
      <c r="BN1253" t="str">
        <f t="shared" si="107"/>
        <v>Drop</v>
      </c>
      <c r="BO1253">
        <f t="shared" si="104"/>
        <v>530</v>
      </c>
      <c r="BP1253">
        <f t="shared" si="105"/>
        <v>564</v>
      </c>
      <c r="BQ1253">
        <f t="shared" si="106"/>
        <v>1094</v>
      </c>
    </row>
    <row r="1254" spans="26:69" hidden="1" x14ac:dyDescent="0.25">
      <c r="Z1254" s="7" t="s">
        <v>602</v>
      </c>
      <c r="AA1254" s="1">
        <v>0</v>
      </c>
      <c r="AI1254" s="7" t="s">
        <v>607</v>
      </c>
      <c r="AJ1254" s="40">
        <v>1</v>
      </c>
      <c r="AL1254" s="7" t="s">
        <v>608</v>
      </c>
      <c r="AM1254" s="27">
        <v>1</v>
      </c>
      <c r="AW1254" s="7" t="s">
        <v>715</v>
      </c>
      <c r="AX1254" s="27">
        <v>500</v>
      </c>
      <c r="BC1254" s="7" t="s">
        <v>664</v>
      </c>
      <c r="BD1254" s="27">
        <v>97</v>
      </c>
      <c r="BJ1254" s="7" t="s">
        <v>612</v>
      </c>
      <c r="BK1254" s="40">
        <v>1700</v>
      </c>
      <c r="BL1254" s="40">
        <v>315</v>
      </c>
      <c r="BN1254" t="str">
        <f t="shared" si="107"/>
        <v>Dropbox</v>
      </c>
      <c r="BO1254">
        <f t="shared" si="104"/>
        <v>49</v>
      </c>
      <c r="BP1254">
        <f t="shared" si="105"/>
        <v>100</v>
      </c>
      <c r="BQ1254">
        <f t="shared" si="106"/>
        <v>149</v>
      </c>
    </row>
    <row r="1255" spans="26:69" hidden="1" x14ac:dyDescent="0.25">
      <c r="Z1255" s="7" t="s">
        <v>603</v>
      </c>
      <c r="AA1255" s="1">
        <v>0.06</v>
      </c>
      <c r="AI1255" s="7" t="s">
        <v>608</v>
      </c>
      <c r="AJ1255" s="40">
        <v>1</v>
      </c>
      <c r="AL1255" s="7" t="s">
        <v>609</v>
      </c>
      <c r="AM1255" s="27">
        <v>1</v>
      </c>
      <c r="AW1255" s="7" t="s">
        <v>716</v>
      </c>
      <c r="AX1255" s="27">
        <v>200</v>
      </c>
      <c r="BC1255" s="7" t="s">
        <v>665</v>
      </c>
      <c r="BD1255" s="27">
        <v>1200</v>
      </c>
      <c r="BJ1255" s="7" t="s">
        <v>613</v>
      </c>
      <c r="BK1255" s="40">
        <v>4</v>
      </c>
      <c r="BL1255" s="40">
        <v>12</v>
      </c>
      <c r="BN1255" t="str">
        <f t="shared" si="107"/>
        <v>DSCO</v>
      </c>
      <c r="BO1255">
        <f t="shared" si="104"/>
        <v>713</v>
      </c>
      <c r="BP1255">
        <f t="shared" si="105"/>
        <v>640</v>
      </c>
      <c r="BQ1255">
        <f t="shared" si="106"/>
        <v>1353</v>
      </c>
    </row>
    <row r="1256" spans="26:69" hidden="1" x14ac:dyDescent="0.25">
      <c r="Z1256" s="7" t="s">
        <v>604</v>
      </c>
      <c r="AA1256" s="1">
        <v>1</v>
      </c>
      <c r="AI1256" s="7" t="s">
        <v>609</v>
      </c>
      <c r="AJ1256" s="40">
        <v>1</v>
      </c>
      <c r="AL1256" s="7" t="s">
        <v>611</v>
      </c>
      <c r="AM1256" s="27">
        <v>1</v>
      </c>
      <c r="AW1256" s="7" t="s">
        <v>719</v>
      </c>
      <c r="AX1256" s="27">
        <v>4</v>
      </c>
      <c r="BC1256" s="7" t="s">
        <v>666</v>
      </c>
      <c r="BD1256" s="27">
        <v>20</v>
      </c>
      <c r="BJ1256" s="7" t="s">
        <v>614</v>
      </c>
      <c r="BK1256" s="40">
        <v>100</v>
      </c>
      <c r="BL1256" s="40">
        <v>0</v>
      </c>
      <c r="BN1256" t="str">
        <f t="shared" si="107"/>
        <v>Dude Solutions</v>
      </c>
      <c r="BO1256">
        <f t="shared" si="104"/>
        <v>439</v>
      </c>
      <c r="BP1256">
        <f t="shared" si="105"/>
        <v>683</v>
      </c>
      <c r="BQ1256">
        <f t="shared" si="106"/>
        <v>1122</v>
      </c>
    </row>
    <row r="1257" spans="26:69" hidden="1" x14ac:dyDescent="0.25">
      <c r="Z1257" s="7" t="s">
        <v>605</v>
      </c>
      <c r="AA1257" s="1">
        <v>0.3</v>
      </c>
      <c r="AI1257" s="7" t="s">
        <v>611</v>
      </c>
      <c r="AJ1257" s="40">
        <v>1</v>
      </c>
      <c r="AL1257" s="7" t="s">
        <v>612</v>
      </c>
      <c r="AM1257" s="27">
        <v>1</v>
      </c>
      <c r="AW1257" s="7" t="s">
        <v>720</v>
      </c>
      <c r="AX1257" s="27">
        <v>784</v>
      </c>
      <c r="BC1257" s="7" t="s">
        <v>668</v>
      </c>
      <c r="BD1257" s="27">
        <v>918</v>
      </c>
      <c r="BJ1257" s="7" t="s">
        <v>616</v>
      </c>
      <c r="BK1257" s="40">
        <v>17</v>
      </c>
      <c r="BL1257" s="40">
        <v>23</v>
      </c>
      <c r="BN1257" t="str">
        <f t="shared" si="107"/>
        <v>Dukaan</v>
      </c>
      <c r="BO1257">
        <f t="shared" si="104"/>
        <v>653</v>
      </c>
      <c r="BP1257">
        <f t="shared" si="105"/>
        <v>570</v>
      </c>
      <c r="BQ1257">
        <f t="shared" si="106"/>
        <v>1223</v>
      </c>
    </row>
    <row r="1258" spans="26:69" hidden="1" x14ac:dyDescent="0.25">
      <c r="Z1258" s="7" t="s">
        <v>606</v>
      </c>
      <c r="AA1258" s="1">
        <v>0.04</v>
      </c>
      <c r="AI1258" s="7" t="s">
        <v>612</v>
      </c>
      <c r="AJ1258" s="40">
        <v>1</v>
      </c>
      <c r="AL1258" s="7" t="s">
        <v>613</v>
      </c>
      <c r="AM1258" s="27">
        <v>1</v>
      </c>
      <c r="AW1258" s="7" t="s">
        <v>721</v>
      </c>
      <c r="AX1258" s="27">
        <v>60</v>
      </c>
      <c r="BC1258" s="7" t="s">
        <v>669</v>
      </c>
      <c r="BD1258" s="27">
        <v>322</v>
      </c>
      <c r="BJ1258" s="7" t="s">
        <v>617</v>
      </c>
      <c r="BK1258" s="40">
        <v>382</v>
      </c>
      <c r="BL1258" s="40">
        <v>0</v>
      </c>
      <c r="BN1258" t="str">
        <f t="shared" si="107"/>
        <v>Dunzo</v>
      </c>
      <c r="BO1258">
        <f t="shared" si="104"/>
        <v>201</v>
      </c>
      <c r="BP1258">
        <f t="shared" si="105"/>
        <v>683</v>
      </c>
      <c r="BQ1258">
        <f t="shared" si="106"/>
        <v>884</v>
      </c>
    </row>
    <row r="1259" spans="26:69" hidden="1" x14ac:dyDescent="0.25">
      <c r="Z1259" s="7" t="s">
        <v>607</v>
      </c>
      <c r="AA1259" s="1">
        <v>0</v>
      </c>
      <c r="AI1259" s="7" t="s">
        <v>613</v>
      </c>
      <c r="AJ1259" s="40">
        <v>1</v>
      </c>
      <c r="AL1259" s="7" t="s">
        <v>614</v>
      </c>
      <c r="AM1259" s="27">
        <v>1</v>
      </c>
      <c r="AW1259" s="7" t="s">
        <v>722</v>
      </c>
      <c r="AX1259" s="27">
        <v>41</v>
      </c>
      <c r="BC1259" s="7" t="s">
        <v>670</v>
      </c>
      <c r="BD1259" s="27">
        <v>69</v>
      </c>
      <c r="BJ1259" s="7" t="s">
        <v>618</v>
      </c>
      <c r="BK1259" s="40">
        <v>603</v>
      </c>
      <c r="BL1259" s="40">
        <v>50</v>
      </c>
      <c r="BN1259" t="str">
        <f t="shared" si="107"/>
        <v>Dutchie</v>
      </c>
      <c r="BO1259">
        <f t="shared" si="104"/>
        <v>140</v>
      </c>
      <c r="BP1259">
        <f t="shared" si="105"/>
        <v>410</v>
      </c>
      <c r="BQ1259">
        <f t="shared" si="106"/>
        <v>550</v>
      </c>
    </row>
    <row r="1260" spans="26:69" hidden="1" x14ac:dyDescent="0.25">
      <c r="Z1260" s="7" t="s">
        <v>608</v>
      </c>
      <c r="AA1260" s="1">
        <v>0</v>
      </c>
      <c r="AI1260" s="7" t="s">
        <v>614</v>
      </c>
      <c r="AJ1260" s="40">
        <v>1</v>
      </c>
      <c r="AL1260" s="7" t="s">
        <v>616</v>
      </c>
      <c r="AM1260" s="27">
        <v>1</v>
      </c>
      <c r="AW1260" s="7" t="s">
        <v>723</v>
      </c>
      <c r="AX1260" s="27">
        <v>140</v>
      </c>
      <c r="BC1260" s="7" t="s">
        <v>671</v>
      </c>
      <c r="BD1260" s="27">
        <v>889</v>
      </c>
      <c r="BJ1260" s="7" t="s">
        <v>620</v>
      </c>
      <c r="BK1260" s="40">
        <v>0</v>
      </c>
      <c r="BL1260" s="40">
        <v>0</v>
      </c>
      <c r="BN1260" t="str">
        <f t="shared" si="107"/>
        <v>DUX Education</v>
      </c>
      <c r="BO1260">
        <f t="shared" si="104"/>
        <v>742</v>
      </c>
      <c r="BP1260">
        <f t="shared" si="105"/>
        <v>683</v>
      </c>
      <c r="BQ1260">
        <f t="shared" si="106"/>
        <v>1425</v>
      </c>
    </row>
    <row r="1261" spans="26:69" hidden="1" x14ac:dyDescent="0.25">
      <c r="Z1261" s="7" t="s">
        <v>609</v>
      </c>
      <c r="AA1261" s="1">
        <v>0.2</v>
      </c>
      <c r="AI1261" s="7" t="s">
        <v>616</v>
      </c>
      <c r="AJ1261" s="40">
        <v>1</v>
      </c>
      <c r="AL1261" s="7" t="s">
        <v>617</v>
      </c>
      <c r="AM1261" s="27">
        <v>1</v>
      </c>
      <c r="AW1261" s="7" t="s">
        <v>726</v>
      </c>
      <c r="AX1261" s="27">
        <v>87</v>
      </c>
      <c r="BC1261" s="7" t="s">
        <v>672</v>
      </c>
      <c r="BD1261" s="27">
        <v>476</v>
      </c>
      <c r="BJ1261" s="7" t="s">
        <v>621</v>
      </c>
      <c r="BK1261" s="40">
        <v>114</v>
      </c>
      <c r="BL1261" s="40">
        <v>35</v>
      </c>
      <c r="BN1261" t="str">
        <f t="shared" si="107"/>
        <v>Dynamic Signal</v>
      </c>
      <c r="BO1261">
        <f t="shared" si="104"/>
        <v>417</v>
      </c>
      <c r="BP1261">
        <f t="shared" si="105"/>
        <v>494</v>
      </c>
      <c r="BQ1261">
        <f t="shared" si="106"/>
        <v>911</v>
      </c>
    </row>
    <row r="1262" spans="26:69" hidden="1" x14ac:dyDescent="0.25">
      <c r="Z1262" s="7" t="s">
        <v>611</v>
      </c>
      <c r="AA1262" s="1">
        <v>0</v>
      </c>
      <c r="AI1262" s="7" t="s">
        <v>617</v>
      </c>
      <c r="AJ1262" s="40">
        <v>1</v>
      </c>
      <c r="AL1262" s="7" t="s">
        <v>618</v>
      </c>
      <c r="AM1262" s="27">
        <v>1</v>
      </c>
      <c r="AW1262" s="7" t="s">
        <v>727</v>
      </c>
      <c r="AX1262" s="27">
        <v>100</v>
      </c>
      <c r="BC1262" s="7" t="s">
        <v>673</v>
      </c>
      <c r="BD1262" s="27">
        <v>194</v>
      </c>
      <c r="BJ1262" s="7" t="s">
        <v>622</v>
      </c>
      <c r="BK1262" s="40">
        <v>190</v>
      </c>
      <c r="BL1262" s="40">
        <v>50</v>
      </c>
      <c r="BN1262" t="str">
        <f t="shared" si="107"/>
        <v>Earnin</v>
      </c>
      <c r="BO1262">
        <f t="shared" si="104"/>
        <v>330</v>
      </c>
      <c r="BP1262">
        <f t="shared" si="105"/>
        <v>410</v>
      </c>
      <c r="BQ1262">
        <f t="shared" si="106"/>
        <v>740</v>
      </c>
    </row>
    <row r="1263" spans="26:69" hidden="1" x14ac:dyDescent="0.25">
      <c r="Z1263" s="7" t="s">
        <v>612</v>
      </c>
      <c r="AA1263" s="1">
        <v>0.15</v>
      </c>
      <c r="AI1263" s="7" t="s">
        <v>618</v>
      </c>
      <c r="AJ1263" s="40">
        <v>1</v>
      </c>
      <c r="AL1263" s="7" t="s">
        <v>620</v>
      </c>
      <c r="AM1263" s="27">
        <v>1</v>
      </c>
      <c r="AW1263" s="7" t="s">
        <v>729</v>
      </c>
      <c r="AX1263" s="27">
        <v>15</v>
      </c>
      <c r="BC1263" s="7" t="s">
        <v>674</v>
      </c>
      <c r="BD1263" s="27">
        <v>290</v>
      </c>
      <c r="BJ1263" s="7" t="s">
        <v>623</v>
      </c>
      <c r="BK1263" s="40">
        <v>2</v>
      </c>
      <c r="BL1263" s="40">
        <v>0</v>
      </c>
      <c r="BN1263" t="str">
        <f t="shared" si="107"/>
        <v>Earth Rides</v>
      </c>
      <c r="BO1263">
        <f t="shared" si="104"/>
        <v>725</v>
      </c>
      <c r="BP1263">
        <f t="shared" si="105"/>
        <v>683</v>
      </c>
      <c r="BQ1263">
        <f t="shared" si="106"/>
        <v>1408</v>
      </c>
    </row>
    <row r="1264" spans="26:69" hidden="1" x14ac:dyDescent="0.25">
      <c r="Z1264" s="7" t="s">
        <v>613</v>
      </c>
      <c r="AA1264" s="1">
        <v>0</v>
      </c>
      <c r="AI1264" s="7" t="s">
        <v>620</v>
      </c>
      <c r="AJ1264" s="40">
        <v>1</v>
      </c>
      <c r="AL1264" s="7" t="s">
        <v>621</v>
      </c>
      <c r="AM1264" s="27">
        <v>1</v>
      </c>
      <c r="AW1264" s="7" t="s">
        <v>730</v>
      </c>
      <c r="AX1264" s="27">
        <v>60</v>
      </c>
      <c r="BC1264" s="7" t="s">
        <v>675</v>
      </c>
      <c r="BD1264" s="27">
        <v>400</v>
      </c>
      <c r="BJ1264" s="7" t="s">
        <v>624</v>
      </c>
      <c r="BK1264" s="40">
        <v>24</v>
      </c>
      <c r="BL1264" s="40">
        <v>125</v>
      </c>
      <c r="BN1264" t="str">
        <f t="shared" si="107"/>
        <v>EasyPost</v>
      </c>
      <c r="BO1264">
        <f t="shared" si="104"/>
        <v>621</v>
      </c>
      <c r="BP1264">
        <f t="shared" si="105"/>
        <v>236</v>
      </c>
      <c r="BQ1264">
        <f t="shared" si="106"/>
        <v>857</v>
      </c>
    </row>
    <row r="1265" spans="26:69" hidden="1" x14ac:dyDescent="0.25">
      <c r="Z1265" s="7" t="s">
        <v>614</v>
      </c>
      <c r="AA1265" s="1">
        <v>0.2</v>
      </c>
      <c r="AI1265" s="7" t="s">
        <v>621</v>
      </c>
      <c r="AJ1265" s="40">
        <v>1</v>
      </c>
      <c r="AL1265" s="7" t="s">
        <v>622</v>
      </c>
      <c r="AM1265" s="27">
        <v>1</v>
      </c>
      <c r="AW1265" s="7" t="s">
        <v>731</v>
      </c>
      <c r="AX1265" s="27">
        <v>10</v>
      </c>
      <c r="BC1265" s="7" t="s">
        <v>676</v>
      </c>
      <c r="BD1265" s="27">
        <v>60</v>
      </c>
      <c r="BJ1265" s="7" t="s">
        <v>625</v>
      </c>
      <c r="BK1265" s="40">
        <v>465</v>
      </c>
      <c r="BL1265" s="40">
        <v>40</v>
      </c>
      <c r="BN1265" t="str">
        <f t="shared" si="107"/>
        <v>Eat Just</v>
      </c>
      <c r="BO1265">
        <f t="shared" si="104"/>
        <v>178</v>
      </c>
      <c r="BP1265">
        <f t="shared" si="105"/>
        <v>454</v>
      </c>
      <c r="BQ1265">
        <f t="shared" si="106"/>
        <v>632</v>
      </c>
    </row>
    <row r="1266" spans="26:69" hidden="1" x14ac:dyDescent="0.25">
      <c r="Z1266" s="7" t="s">
        <v>616</v>
      </c>
      <c r="AA1266" s="1">
        <v>0</v>
      </c>
      <c r="AI1266" s="7" t="s">
        <v>622</v>
      </c>
      <c r="AJ1266" s="40">
        <v>1</v>
      </c>
      <c r="AL1266" s="7" t="s">
        <v>623</v>
      </c>
      <c r="AM1266" s="27">
        <v>1</v>
      </c>
      <c r="AW1266" s="7" t="s">
        <v>732</v>
      </c>
      <c r="AX1266" s="27">
        <v>60</v>
      </c>
      <c r="BC1266" s="7" t="s">
        <v>678</v>
      </c>
      <c r="BD1266" s="27">
        <v>87</v>
      </c>
      <c r="BJ1266" s="7" t="s">
        <v>626</v>
      </c>
      <c r="BK1266" s="40">
        <v>1</v>
      </c>
      <c r="BL1266" s="40">
        <v>20</v>
      </c>
      <c r="BN1266" t="str">
        <f t="shared" si="107"/>
        <v>Eatsy</v>
      </c>
      <c r="BO1266">
        <f t="shared" si="104"/>
        <v>735</v>
      </c>
      <c r="BP1266">
        <f t="shared" si="105"/>
        <v>588</v>
      </c>
      <c r="BQ1266">
        <f t="shared" si="106"/>
        <v>1323</v>
      </c>
    </row>
    <row r="1267" spans="26:69" hidden="1" x14ac:dyDescent="0.25">
      <c r="Z1267" s="7" t="s">
        <v>617</v>
      </c>
      <c r="AA1267" s="1">
        <v>0.03</v>
      </c>
      <c r="AI1267" s="7" t="s">
        <v>623</v>
      </c>
      <c r="AJ1267" s="40">
        <v>1</v>
      </c>
      <c r="AL1267" s="7" t="s">
        <v>624</v>
      </c>
      <c r="AM1267" s="27">
        <v>2</v>
      </c>
      <c r="AW1267" s="7" t="s">
        <v>733</v>
      </c>
      <c r="AX1267" s="27">
        <v>26</v>
      </c>
      <c r="BC1267" s="7" t="s">
        <v>679</v>
      </c>
      <c r="BD1267" s="27">
        <v>26</v>
      </c>
      <c r="BJ1267" s="7" t="s">
        <v>627</v>
      </c>
      <c r="BK1267" s="40">
        <v>202</v>
      </c>
      <c r="BL1267" s="40">
        <v>25</v>
      </c>
      <c r="BN1267" t="str">
        <f t="shared" si="107"/>
        <v>Eaze</v>
      </c>
      <c r="BO1267">
        <f t="shared" si="104"/>
        <v>318</v>
      </c>
      <c r="BP1267">
        <f t="shared" si="105"/>
        <v>554</v>
      </c>
      <c r="BQ1267">
        <f t="shared" si="106"/>
        <v>872</v>
      </c>
    </row>
    <row r="1268" spans="26:69" hidden="1" x14ac:dyDescent="0.25">
      <c r="Z1268" s="7" t="s">
        <v>618</v>
      </c>
      <c r="AA1268" s="1">
        <v>7.0000000000000007E-2</v>
      </c>
      <c r="AI1268" s="7" t="s">
        <v>624</v>
      </c>
      <c r="AJ1268" s="40">
        <v>2</v>
      </c>
      <c r="AL1268" s="7" t="s">
        <v>625</v>
      </c>
      <c r="AM1268" s="27">
        <v>1</v>
      </c>
      <c r="AW1268" s="7" t="s">
        <v>734</v>
      </c>
      <c r="AX1268" s="27">
        <v>150</v>
      </c>
      <c r="BC1268" s="7" t="s">
        <v>680</v>
      </c>
      <c r="BD1268" s="27">
        <v>100</v>
      </c>
      <c r="BJ1268" s="7" t="s">
        <v>628</v>
      </c>
      <c r="BK1268" s="40">
        <v>490</v>
      </c>
      <c r="BL1268" s="40">
        <v>402</v>
      </c>
      <c r="BN1268" t="str">
        <f t="shared" si="107"/>
        <v>Ebanx</v>
      </c>
      <c r="BO1268">
        <f t="shared" si="104"/>
        <v>168</v>
      </c>
      <c r="BP1268">
        <f t="shared" si="105"/>
        <v>82</v>
      </c>
      <c r="BQ1268">
        <f t="shared" si="106"/>
        <v>250</v>
      </c>
    </row>
    <row r="1269" spans="26:69" hidden="1" x14ac:dyDescent="0.25">
      <c r="Z1269" s="7" t="s">
        <v>620</v>
      </c>
      <c r="AA1269" s="1">
        <v>1</v>
      </c>
      <c r="AI1269" s="7" t="s">
        <v>625</v>
      </c>
      <c r="AJ1269" s="40">
        <v>1</v>
      </c>
      <c r="AL1269" s="7" t="s">
        <v>626</v>
      </c>
      <c r="AM1269" s="27">
        <v>1</v>
      </c>
      <c r="AW1269" s="7" t="s">
        <v>735</v>
      </c>
      <c r="AX1269" s="27">
        <v>45</v>
      </c>
      <c r="BC1269" s="7" t="s">
        <v>681</v>
      </c>
      <c r="BD1269" s="27">
        <v>319</v>
      </c>
      <c r="BJ1269" s="7" t="s">
        <v>630</v>
      </c>
      <c r="BK1269" s="40">
        <v>1200</v>
      </c>
      <c r="BL1269" s="40">
        <v>500</v>
      </c>
      <c r="BN1269" t="str">
        <f t="shared" si="107"/>
        <v>eBay</v>
      </c>
      <c r="BO1269">
        <f t="shared" si="104"/>
        <v>72</v>
      </c>
      <c r="BP1269">
        <f t="shared" si="105"/>
        <v>66</v>
      </c>
      <c r="BQ1269">
        <f t="shared" si="106"/>
        <v>138</v>
      </c>
    </row>
    <row r="1270" spans="26:69" hidden="1" x14ac:dyDescent="0.25">
      <c r="Z1270" s="7" t="s">
        <v>621</v>
      </c>
      <c r="AA1270" s="1">
        <v>0.19</v>
      </c>
      <c r="AI1270" s="7" t="s">
        <v>626</v>
      </c>
      <c r="AJ1270" s="40">
        <v>1</v>
      </c>
      <c r="AL1270" s="7" t="s">
        <v>627</v>
      </c>
      <c r="AM1270" s="27">
        <v>1</v>
      </c>
      <c r="AW1270" s="7" t="s">
        <v>737</v>
      </c>
      <c r="AX1270" s="27">
        <v>38</v>
      </c>
      <c r="BC1270" s="7" t="s">
        <v>683</v>
      </c>
      <c r="BD1270" s="27">
        <v>48</v>
      </c>
      <c r="BJ1270" s="7" t="s">
        <v>631</v>
      </c>
      <c r="BK1270" s="40">
        <v>149</v>
      </c>
      <c r="BL1270" s="40">
        <v>47</v>
      </c>
      <c r="BN1270" t="str">
        <f t="shared" si="107"/>
        <v>Ecobee</v>
      </c>
      <c r="BO1270">
        <f t="shared" si="104"/>
        <v>376</v>
      </c>
      <c r="BP1270">
        <f t="shared" si="105"/>
        <v>435</v>
      </c>
      <c r="BQ1270">
        <f t="shared" si="106"/>
        <v>811</v>
      </c>
    </row>
    <row r="1271" spans="26:69" hidden="1" x14ac:dyDescent="0.25">
      <c r="Z1271" s="7" t="s">
        <v>622</v>
      </c>
      <c r="AA1271" s="1">
        <v>0.2</v>
      </c>
      <c r="AI1271" s="7" t="s">
        <v>627</v>
      </c>
      <c r="AJ1271" s="40">
        <v>1</v>
      </c>
      <c r="AL1271" s="7" t="s">
        <v>628</v>
      </c>
      <c r="AM1271" s="27">
        <v>2</v>
      </c>
      <c r="AW1271" s="7" t="s">
        <v>738</v>
      </c>
      <c r="AX1271" s="27">
        <v>40</v>
      </c>
      <c r="BC1271" s="7" t="s">
        <v>684</v>
      </c>
      <c r="BD1271" s="27">
        <v>336</v>
      </c>
      <c r="BJ1271" s="7" t="s">
        <v>632</v>
      </c>
      <c r="BK1271" s="40">
        <v>40</v>
      </c>
      <c r="BL1271" s="40">
        <v>40</v>
      </c>
      <c r="BN1271" t="str">
        <f t="shared" si="107"/>
        <v>Eden / Managed By Q</v>
      </c>
      <c r="BO1271">
        <f t="shared" si="104"/>
        <v>575</v>
      </c>
      <c r="BP1271">
        <f t="shared" si="105"/>
        <v>454</v>
      </c>
      <c r="BQ1271">
        <f t="shared" si="106"/>
        <v>1029</v>
      </c>
    </row>
    <row r="1272" spans="26:69" hidden="1" x14ac:dyDescent="0.25">
      <c r="Z1272" s="7" t="s">
        <v>623</v>
      </c>
      <c r="AA1272" s="1">
        <v>1</v>
      </c>
      <c r="AI1272" s="7" t="s">
        <v>628</v>
      </c>
      <c r="AJ1272" s="40">
        <v>2</v>
      </c>
      <c r="AL1272" s="7" t="s">
        <v>630</v>
      </c>
      <c r="AM1272" s="27">
        <v>1</v>
      </c>
      <c r="AW1272" s="7" t="s">
        <v>739</v>
      </c>
      <c r="AX1272" s="27">
        <v>329</v>
      </c>
      <c r="BC1272" s="7" t="s">
        <v>685</v>
      </c>
      <c r="BD1272" s="27">
        <v>502</v>
      </c>
      <c r="BJ1272" s="7" t="s">
        <v>633</v>
      </c>
      <c r="BK1272" s="40">
        <v>462</v>
      </c>
      <c r="BL1272" s="40">
        <v>95</v>
      </c>
      <c r="BN1272" t="str">
        <f t="shared" si="107"/>
        <v>Edgio</v>
      </c>
      <c r="BO1272">
        <f t="shared" si="104"/>
        <v>179</v>
      </c>
      <c r="BP1272">
        <f t="shared" si="105"/>
        <v>291</v>
      </c>
      <c r="BQ1272">
        <f t="shared" si="106"/>
        <v>470</v>
      </c>
    </row>
    <row r="1273" spans="26:69" hidden="1" x14ac:dyDescent="0.25">
      <c r="Z1273" s="7" t="s">
        <v>624</v>
      </c>
      <c r="AA1273" s="1">
        <v>0.25</v>
      </c>
      <c r="AI1273" s="7" t="s">
        <v>630</v>
      </c>
      <c r="AJ1273" s="40">
        <v>1</v>
      </c>
      <c r="AL1273" s="7" t="s">
        <v>631</v>
      </c>
      <c r="AM1273" s="27">
        <v>1</v>
      </c>
      <c r="AW1273" s="7" t="s">
        <v>740</v>
      </c>
      <c r="AX1273" s="27">
        <v>90</v>
      </c>
      <c r="BC1273" s="7" t="s">
        <v>686</v>
      </c>
      <c r="BD1273" s="27">
        <v>1700</v>
      </c>
      <c r="BJ1273" s="7" t="s">
        <v>634</v>
      </c>
      <c r="BK1273" s="40">
        <v>1</v>
      </c>
      <c r="BL1273" s="40">
        <v>30</v>
      </c>
      <c r="BN1273" t="str">
        <f t="shared" si="107"/>
        <v>Edifecs</v>
      </c>
      <c r="BO1273">
        <f t="shared" si="104"/>
        <v>735</v>
      </c>
      <c r="BP1273">
        <f t="shared" si="105"/>
        <v>512</v>
      </c>
      <c r="BQ1273">
        <f t="shared" si="106"/>
        <v>1247</v>
      </c>
    </row>
    <row r="1274" spans="26:69" hidden="1" x14ac:dyDescent="0.25">
      <c r="Z1274" s="7" t="s">
        <v>625</v>
      </c>
      <c r="AA1274" s="1">
        <v>0</v>
      </c>
      <c r="AI1274" s="7" t="s">
        <v>631</v>
      </c>
      <c r="AJ1274" s="40">
        <v>1</v>
      </c>
      <c r="AL1274" s="7" t="s">
        <v>632</v>
      </c>
      <c r="AM1274" s="27">
        <v>1</v>
      </c>
      <c r="AW1274" s="7" t="s">
        <v>741</v>
      </c>
      <c r="AX1274" s="27">
        <v>35</v>
      </c>
      <c r="BC1274" s="7" t="s">
        <v>687</v>
      </c>
      <c r="BD1274" s="27">
        <v>145</v>
      </c>
      <c r="BJ1274" s="7" t="s">
        <v>635</v>
      </c>
      <c r="BK1274" s="40">
        <v>656</v>
      </c>
      <c r="BL1274" s="40">
        <v>0</v>
      </c>
      <c r="BN1274" t="str">
        <f t="shared" si="107"/>
        <v>Editas Medicine</v>
      </c>
      <c r="BO1274">
        <f t="shared" si="104"/>
        <v>132</v>
      </c>
      <c r="BP1274">
        <f t="shared" si="105"/>
        <v>683</v>
      </c>
      <c r="BQ1274">
        <f t="shared" si="106"/>
        <v>815</v>
      </c>
    </row>
    <row r="1275" spans="26:69" hidden="1" x14ac:dyDescent="0.25">
      <c r="Z1275" s="7" t="s">
        <v>626</v>
      </c>
      <c r="AA1275" s="1">
        <v>1</v>
      </c>
      <c r="AI1275" s="7" t="s">
        <v>632</v>
      </c>
      <c r="AJ1275" s="40">
        <v>1</v>
      </c>
      <c r="AL1275" s="7" t="s">
        <v>633</v>
      </c>
      <c r="AM1275" s="27">
        <v>1</v>
      </c>
      <c r="AW1275" s="7" t="s">
        <v>743</v>
      </c>
      <c r="AX1275" s="27">
        <v>275</v>
      </c>
      <c r="BC1275" s="7" t="s">
        <v>689</v>
      </c>
      <c r="BD1275" s="27">
        <v>300</v>
      </c>
      <c r="BJ1275" s="7" t="s">
        <v>636</v>
      </c>
      <c r="BK1275" s="40">
        <v>77</v>
      </c>
      <c r="BL1275" s="40">
        <v>0</v>
      </c>
      <c r="BN1275" t="str">
        <f t="shared" si="107"/>
        <v>Edmodo</v>
      </c>
      <c r="BO1275">
        <f t="shared" si="104"/>
        <v>480</v>
      </c>
      <c r="BP1275">
        <f t="shared" si="105"/>
        <v>683</v>
      </c>
      <c r="BQ1275">
        <f t="shared" si="106"/>
        <v>1163</v>
      </c>
    </row>
    <row r="1276" spans="26:69" hidden="1" x14ac:dyDescent="0.25">
      <c r="Z1276" s="7" t="s">
        <v>627</v>
      </c>
      <c r="AA1276" s="1">
        <v>0</v>
      </c>
      <c r="AI1276" s="7" t="s">
        <v>633</v>
      </c>
      <c r="AJ1276" s="40">
        <v>1</v>
      </c>
      <c r="AL1276" s="7" t="s">
        <v>634</v>
      </c>
      <c r="AM1276" s="27">
        <v>1</v>
      </c>
      <c r="AW1276" s="7" t="s">
        <v>748</v>
      </c>
      <c r="AX1276" s="27">
        <v>164</v>
      </c>
      <c r="BC1276" s="7" t="s">
        <v>690</v>
      </c>
      <c r="BD1276" s="27">
        <v>124</v>
      </c>
      <c r="BJ1276" s="7" t="s">
        <v>637</v>
      </c>
      <c r="BK1276" s="40">
        <v>109</v>
      </c>
      <c r="BL1276" s="40">
        <v>100</v>
      </c>
      <c r="BN1276" t="str">
        <f t="shared" si="107"/>
        <v>eGym</v>
      </c>
      <c r="BO1276">
        <f t="shared" si="104"/>
        <v>424</v>
      </c>
      <c r="BP1276">
        <f t="shared" si="105"/>
        <v>254</v>
      </c>
      <c r="BQ1276">
        <f t="shared" si="106"/>
        <v>678</v>
      </c>
    </row>
    <row r="1277" spans="26:69" hidden="1" x14ac:dyDescent="0.25">
      <c r="Z1277" s="7" t="s">
        <v>628</v>
      </c>
      <c r="AA1277" s="1">
        <v>0.2</v>
      </c>
      <c r="AI1277" s="7" t="s">
        <v>634</v>
      </c>
      <c r="AJ1277" s="40">
        <v>1</v>
      </c>
      <c r="AL1277" s="7" t="s">
        <v>635</v>
      </c>
      <c r="AM1277" s="27">
        <v>1</v>
      </c>
      <c r="AW1277" s="7" t="s">
        <v>749</v>
      </c>
      <c r="AX1277" s="27">
        <v>85</v>
      </c>
      <c r="BC1277" s="7" t="s">
        <v>691</v>
      </c>
      <c r="BD1277" s="27">
        <v>1200</v>
      </c>
      <c r="BJ1277" s="7" t="s">
        <v>638</v>
      </c>
      <c r="BK1277" s="40">
        <v>70</v>
      </c>
      <c r="BL1277" s="40">
        <v>0</v>
      </c>
      <c r="BN1277" t="str">
        <f t="shared" si="107"/>
        <v>Eight Sleep</v>
      </c>
      <c r="BO1277">
        <f t="shared" si="104"/>
        <v>494</v>
      </c>
      <c r="BP1277">
        <f t="shared" si="105"/>
        <v>683</v>
      </c>
      <c r="BQ1277">
        <f t="shared" si="106"/>
        <v>1177</v>
      </c>
    </row>
    <row r="1278" spans="26:69" hidden="1" x14ac:dyDescent="0.25">
      <c r="Z1278" s="7" t="s">
        <v>630</v>
      </c>
      <c r="AA1278" s="1">
        <v>0.04</v>
      </c>
      <c r="AI1278" s="7" t="s">
        <v>635</v>
      </c>
      <c r="AJ1278" s="40">
        <v>1</v>
      </c>
      <c r="AL1278" s="7" t="s">
        <v>636</v>
      </c>
      <c r="AM1278" s="27">
        <v>1</v>
      </c>
      <c r="AW1278" s="7" t="s">
        <v>750</v>
      </c>
      <c r="AX1278" s="27">
        <v>65</v>
      </c>
      <c r="BC1278" s="7" t="s">
        <v>692</v>
      </c>
      <c r="BD1278" s="27">
        <v>31</v>
      </c>
      <c r="BJ1278" s="7" t="s">
        <v>639</v>
      </c>
      <c r="BK1278" s="40">
        <v>0</v>
      </c>
      <c r="BL1278" s="40">
        <v>84</v>
      </c>
      <c r="BN1278" t="str">
        <f t="shared" si="107"/>
        <v>Ejento</v>
      </c>
      <c r="BO1278">
        <f t="shared" si="104"/>
        <v>742</v>
      </c>
      <c r="BP1278">
        <f t="shared" si="105"/>
        <v>316</v>
      </c>
      <c r="BQ1278">
        <f t="shared" si="106"/>
        <v>1058</v>
      </c>
    </row>
    <row r="1279" spans="26:69" hidden="1" x14ac:dyDescent="0.25">
      <c r="Z1279" s="7" t="s">
        <v>631</v>
      </c>
      <c r="AA1279" s="1">
        <v>0.1</v>
      </c>
      <c r="AI1279" s="7" t="s">
        <v>636</v>
      </c>
      <c r="AJ1279" s="40">
        <v>1</v>
      </c>
      <c r="AL1279" s="7" t="s">
        <v>637</v>
      </c>
      <c r="AM1279" s="27">
        <v>1</v>
      </c>
      <c r="AW1279" s="7" t="s">
        <v>751</v>
      </c>
      <c r="AX1279" s="27">
        <v>180</v>
      </c>
      <c r="BC1279" s="7" t="s">
        <v>693</v>
      </c>
      <c r="BD1279" s="27">
        <v>81</v>
      </c>
      <c r="BJ1279" s="7" t="s">
        <v>640</v>
      </c>
      <c r="BK1279" s="40">
        <v>162</v>
      </c>
      <c r="BL1279" s="40">
        <v>0</v>
      </c>
      <c r="BN1279" t="str">
        <f t="shared" si="107"/>
        <v>Elastic</v>
      </c>
      <c r="BO1279">
        <f t="shared" si="104"/>
        <v>360</v>
      </c>
      <c r="BP1279">
        <f t="shared" si="105"/>
        <v>683</v>
      </c>
      <c r="BQ1279">
        <f t="shared" si="106"/>
        <v>1043</v>
      </c>
    </row>
    <row r="1280" spans="26:69" hidden="1" x14ac:dyDescent="0.25">
      <c r="Z1280" s="7" t="s">
        <v>632</v>
      </c>
      <c r="AA1280" s="1">
        <v>0.4</v>
      </c>
      <c r="AI1280" s="7" t="s">
        <v>637</v>
      </c>
      <c r="AJ1280" s="40">
        <v>1</v>
      </c>
      <c r="AL1280" s="7" t="s">
        <v>638</v>
      </c>
      <c r="AM1280" s="27">
        <v>1</v>
      </c>
      <c r="AW1280" s="7" t="s">
        <v>752</v>
      </c>
      <c r="AX1280" s="27">
        <v>14</v>
      </c>
      <c r="BC1280" s="7" t="s">
        <v>694</v>
      </c>
      <c r="BD1280" s="27">
        <v>35</v>
      </c>
      <c r="BJ1280" s="7" t="s">
        <v>641</v>
      </c>
      <c r="BK1280" s="40">
        <v>424</v>
      </c>
      <c r="BL1280" s="40">
        <v>222</v>
      </c>
      <c r="BN1280" t="str">
        <f t="shared" si="107"/>
        <v>Electric</v>
      </c>
      <c r="BO1280">
        <f t="shared" si="104"/>
        <v>187</v>
      </c>
      <c r="BP1280">
        <f t="shared" si="105"/>
        <v>138</v>
      </c>
      <c r="BQ1280">
        <f t="shared" si="106"/>
        <v>325</v>
      </c>
    </row>
    <row r="1281" spans="26:69" hidden="1" x14ac:dyDescent="0.25">
      <c r="Z1281" s="7" t="s">
        <v>633</v>
      </c>
      <c r="AA1281" s="1">
        <v>0.1</v>
      </c>
      <c r="AI1281" s="7" t="s">
        <v>638</v>
      </c>
      <c r="AJ1281" s="40">
        <v>1</v>
      </c>
      <c r="AL1281" s="7" t="s">
        <v>639</v>
      </c>
      <c r="AM1281" s="27">
        <v>1</v>
      </c>
      <c r="AW1281" s="7" t="s">
        <v>753</v>
      </c>
      <c r="AX1281" s="27">
        <v>17</v>
      </c>
      <c r="BC1281" s="7" t="s">
        <v>695</v>
      </c>
      <c r="BD1281" s="27">
        <v>30</v>
      </c>
      <c r="BJ1281" s="7" t="s">
        <v>642</v>
      </c>
      <c r="BK1281" s="40">
        <v>2</v>
      </c>
      <c r="BL1281" s="40">
        <v>200</v>
      </c>
      <c r="BN1281" t="str">
        <f t="shared" si="107"/>
        <v>Electronic Arts</v>
      </c>
      <c r="BO1281">
        <f t="shared" si="104"/>
        <v>725</v>
      </c>
      <c r="BP1281">
        <f t="shared" si="105"/>
        <v>147</v>
      </c>
      <c r="BQ1281">
        <f t="shared" si="106"/>
        <v>872</v>
      </c>
    </row>
    <row r="1282" spans="26:69" hidden="1" x14ac:dyDescent="0.25">
      <c r="Z1282" s="7" t="s">
        <v>634</v>
      </c>
      <c r="AA1282" s="1">
        <v>0</v>
      </c>
      <c r="AI1282" s="7" t="s">
        <v>639</v>
      </c>
      <c r="AJ1282" s="40">
        <v>1</v>
      </c>
      <c r="AL1282" s="7" t="s">
        <v>640</v>
      </c>
      <c r="AM1282" s="27">
        <v>1</v>
      </c>
      <c r="AW1282" s="7" t="s">
        <v>754</v>
      </c>
      <c r="AX1282" s="27">
        <v>30</v>
      </c>
      <c r="BC1282" s="7" t="s">
        <v>696</v>
      </c>
      <c r="BD1282" s="27">
        <v>49</v>
      </c>
      <c r="BJ1282" s="7" t="s">
        <v>644</v>
      </c>
      <c r="BK1282" s="40">
        <v>96</v>
      </c>
      <c r="BL1282" s="40">
        <v>0</v>
      </c>
      <c r="BN1282" t="str">
        <f t="shared" si="107"/>
        <v>Element</v>
      </c>
      <c r="BO1282">
        <f t="shared" si="104"/>
        <v>448</v>
      </c>
      <c r="BP1282">
        <f t="shared" si="105"/>
        <v>683</v>
      </c>
      <c r="BQ1282">
        <f t="shared" si="106"/>
        <v>1131</v>
      </c>
    </row>
    <row r="1283" spans="26:69" hidden="1" x14ac:dyDescent="0.25">
      <c r="Z1283" s="7" t="s">
        <v>635</v>
      </c>
      <c r="AA1283" s="1">
        <v>0.2</v>
      </c>
      <c r="AI1283" s="7" t="s">
        <v>640</v>
      </c>
      <c r="AJ1283" s="40">
        <v>1</v>
      </c>
      <c r="AL1283" s="7" t="s">
        <v>641</v>
      </c>
      <c r="AM1283" s="27">
        <v>2</v>
      </c>
      <c r="AW1283" s="7" t="s">
        <v>757</v>
      </c>
      <c r="AX1283" s="27">
        <v>5</v>
      </c>
      <c r="BC1283" s="7" t="s">
        <v>697</v>
      </c>
      <c r="BD1283" s="27">
        <v>22</v>
      </c>
      <c r="BJ1283" s="7" t="s">
        <v>645</v>
      </c>
      <c r="BK1283" s="40">
        <v>257</v>
      </c>
      <c r="BL1283" s="40">
        <v>62</v>
      </c>
      <c r="BN1283" t="str">
        <f t="shared" si="107"/>
        <v>Element AI</v>
      </c>
      <c r="BO1283">
        <f t="shared" si="104"/>
        <v>272</v>
      </c>
      <c r="BP1283">
        <f t="shared" si="105"/>
        <v>374</v>
      </c>
      <c r="BQ1283">
        <f t="shared" si="106"/>
        <v>646</v>
      </c>
    </row>
    <row r="1284" spans="26:69" hidden="1" x14ac:dyDescent="0.25">
      <c r="Z1284" s="7" t="s">
        <v>636</v>
      </c>
      <c r="AA1284" s="1">
        <v>1</v>
      </c>
      <c r="AI1284" s="7" t="s">
        <v>641</v>
      </c>
      <c r="AJ1284" s="40">
        <v>2</v>
      </c>
      <c r="AL1284" s="7" t="s">
        <v>642</v>
      </c>
      <c r="AM1284" s="27">
        <v>1</v>
      </c>
      <c r="AW1284" s="7" t="s">
        <v>758</v>
      </c>
      <c r="AX1284" s="27">
        <v>100</v>
      </c>
      <c r="BC1284" s="7" t="s">
        <v>699</v>
      </c>
      <c r="BD1284" s="27">
        <v>9</v>
      </c>
      <c r="BJ1284" s="7" t="s">
        <v>646</v>
      </c>
      <c r="BK1284" s="40">
        <v>22</v>
      </c>
      <c r="BL1284" s="40">
        <v>10</v>
      </c>
      <c r="BN1284" t="str">
        <f t="shared" si="107"/>
        <v>Element Analytics</v>
      </c>
      <c r="BO1284">
        <f t="shared" si="104"/>
        <v>632</v>
      </c>
      <c r="BP1284">
        <f t="shared" si="105"/>
        <v>653</v>
      </c>
      <c r="BQ1284">
        <f t="shared" si="106"/>
        <v>1285</v>
      </c>
    </row>
    <row r="1285" spans="26:69" hidden="1" x14ac:dyDescent="0.25">
      <c r="Z1285" s="7" t="s">
        <v>637</v>
      </c>
      <c r="AA1285" s="1">
        <v>0.25</v>
      </c>
      <c r="AI1285" s="7" t="s">
        <v>642</v>
      </c>
      <c r="AJ1285" s="40">
        <v>1</v>
      </c>
      <c r="AL1285" s="7" t="s">
        <v>644</v>
      </c>
      <c r="AM1285" s="27">
        <v>1</v>
      </c>
      <c r="AW1285" s="7" t="s">
        <v>759</v>
      </c>
      <c r="AX1285" s="27">
        <v>168</v>
      </c>
      <c r="BC1285" s="7" t="s">
        <v>700</v>
      </c>
      <c r="BD1285" s="27">
        <v>1000</v>
      </c>
      <c r="BJ1285" s="7" t="s">
        <v>647</v>
      </c>
      <c r="BK1285" s="40">
        <v>65</v>
      </c>
      <c r="BL1285" s="40">
        <v>60</v>
      </c>
      <c r="BN1285" t="str">
        <f t="shared" si="107"/>
        <v>Elementor</v>
      </c>
      <c r="BO1285">
        <f t="shared" si="104"/>
        <v>503</v>
      </c>
      <c r="BP1285">
        <f t="shared" si="105"/>
        <v>378</v>
      </c>
      <c r="BQ1285">
        <f t="shared" si="106"/>
        <v>881</v>
      </c>
    </row>
    <row r="1286" spans="26:69" hidden="1" x14ac:dyDescent="0.25">
      <c r="Z1286" s="7" t="s">
        <v>638</v>
      </c>
      <c r="AA1286" s="1">
        <v>0.2</v>
      </c>
      <c r="AI1286" s="7" t="s">
        <v>644</v>
      </c>
      <c r="AJ1286" s="40">
        <v>1</v>
      </c>
      <c r="AL1286" s="7" t="s">
        <v>645</v>
      </c>
      <c r="AM1286" s="27">
        <v>1</v>
      </c>
      <c r="AW1286" s="7" t="s">
        <v>760</v>
      </c>
      <c r="AX1286" s="27">
        <v>112</v>
      </c>
      <c r="BC1286" s="7" t="s">
        <v>701</v>
      </c>
      <c r="BD1286" s="27">
        <v>269</v>
      </c>
      <c r="BJ1286" s="7" t="s">
        <v>648</v>
      </c>
      <c r="BK1286" s="40">
        <v>30</v>
      </c>
      <c r="BL1286" s="40">
        <v>43</v>
      </c>
      <c r="BN1286" t="str">
        <f t="shared" si="107"/>
        <v>Elinvar</v>
      </c>
      <c r="BO1286">
        <f t="shared" si="104"/>
        <v>601</v>
      </c>
      <c r="BP1286">
        <f t="shared" si="105"/>
        <v>448</v>
      </c>
      <c r="BQ1286">
        <f t="shared" si="106"/>
        <v>1049</v>
      </c>
    </row>
    <row r="1287" spans="26:69" hidden="1" x14ac:dyDescent="0.25">
      <c r="Z1287" s="7" t="s">
        <v>639</v>
      </c>
      <c r="AA1287" s="1">
        <v>1</v>
      </c>
      <c r="AI1287" s="7" t="s">
        <v>645</v>
      </c>
      <c r="AJ1287" s="40">
        <v>1</v>
      </c>
      <c r="AL1287" s="7" t="s">
        <v>646</v>
      </c>
      <c r="AM1287" s="27">
        <v>1</v>
      </c>
      <c r="AW1287" s="7" t="s">
        <v>761</v>
      </c>
      <c r="AX1287" s="27">
        <v>23</v>
      </c>
      <c r="BC1287" s="7" t="s">
        <v>702</v>
      </c>
      <c r="BD1287" s="27">
        <v>50</v>
      </c>
      <c r="BJ1287" s="7" t="s">
        <v>649</v>
      </c>
      <c r="BK1287" s="40">
        <v>40</v>
      </c>
      <c r="BL1287" s="40">
        <v>0</v>
      </c>
      <c r="BN1287" t="str">
        <f t="shared" si="107"/>
        <v>Elliptic</v>
      </c>
      <c r="BO1287">
        <f t="shared" si="104"/>
        <v>575</v>
      </c>
      <c r="BP1287">
        <f t="shared" si="105"/>
        <v>683</v>
      </c>
      <c r="BQ1287">
        <f t="shared" si="106"/>
        <v>1258</v>
      </c>
    </row>
    <row r="1288" spans="26:69" hidden="1" x14ac:dyDescent="0.25">
      <c r="Z1288" s="7" t="s">
        <v>640</v>
      </c>
      <c r="AA1288" s="1">
        <v>0.13</v>
      </c>
      <c r="AI1288" s="7" t="s">
        <v>646</v>
      </c>
      <c r="AJ1288" s="40">
        <v>1</v>
      </c>
      <c r="AL1288" s="7" t="s">
        <v>647</v>
      </c>
      <c r="AM1288" s="27">
        <v>1</v>
      </c>
      <c r="AW1288" s="7" t="s">
        <v>762</v>
      </c>
      <c r="AX1288" s="27">
        <v>100</v>
      </c>
      <c r="BC1288" s="7" t="s">
        <v>703</v>
      </c>
      <c r="BD1288" s="27">
        <v>13</v>
      </c>
      <c r="BJ1288" s="7" t="s">
        <v>650</v>
      </c>
      <c r="BK1288" s="40">
        <v>94</v>
      </c>
      <c r="BL1288" s="40">
        <v>41</v>
      </c>
      <c r="BN1288" t="str">
        <f t="shared" si="107"/>
        <v>Embark</v>
      </c>
      <c r="BO1288">
        <f t="shared" si="104"/>
        <v>451</v>
      </c>
      <c r="BP1288">
        <f t="shared" si="105"/>
        <v>451</v>
      </c>
      <c r="BQ1288">
        <f t="shared" si="106"/>
        <v>902</v>
      </c>
    </row>
    <row r="1289" spans="26:69" hidden="1" x14ac:dyDescent="0.25">
      <c r="Z1289" s="7" t="s">
        <v>641</v>
      </c>
      <c r="AA1289" s="1">
        <v>0.25</v>
      </c>
      <c r="AI1289" s="7" t="s">
        <v>647</v>
      </c>
      <c r="AJ1289" s="40">
        <v>1</v>
      </c>
      <c r="AL1289" s="7" t="s">
        <v>648</v>
      </c>
      <c r="AM1289" s="27">
        <v>1</v>
      </c>
      <c r="AW1289" s="7" t="s">
        <v>763</v>
      </c>
      <c r="AX1289" s="27">
        <v>100</v>
      </c>
      <c r="BC1289" s="7" t="s">
        <v>705</v>
      </c>
      <c r="BD1289" s="27">
        <v>111</v>
      </c>
      <c r="BJ1289" s="7" t="s">
        <v>651</v>
      </c>
      <c r="BK1289" s="40">
        <v>317</v>
      </c>
      <c r="BL1289" s="40">
        <v>230</v>
      </c>
      <c r="BN1289" t="str">
        <f t="shared" si="107"/>
        <v>Embark Trucks</v>
      </c>
      <c r="BO1289">
        <f t="shared" ref="BO1289:BO1352" si="108">RANK($BK$839:$BK$1662,$BK$839:$BK$1662,0)</f>
        <v>236</v>
      </c>
      <c r="BP1289">
        <f t="shared" ref="BP1289:BP1352" si="109">RANK($BL$840:$BL$1662,$BL$840:$BL$1662,0)</f>
        <v>132</v>
      </c>
      <c r="BQ1289">
        <f t="shared" ref="BQ1289:BQ1352" si="110">BO1289+BP1289</f>
        <v>368</v>
      </c>
    </row>
    <row r="1290" spans="26:69" hidden="1" x14ac:dyDescent="0.25">
      <c r="Z1290" s="7" t="s">
        <v>642</v>
      </c>
      <c r="AA1290" s="1">
        <v>0</v>
      </c>
      <c r="AI1290" s="7" t="s">
        <v>648</v>
      </c>
      <c r="AJ1290" s="40">
        <v>1</v>
      </c>
      <c r="AL1290" s="7" t="s">
        <v>649</v>
      </c>
      <c r="AM1290" s="27">
        <v>1</v>
      </c>
      <c r="AW1290" s="7" t="s">
        <v>766</v>
      </c>
      <c r="AX1290" s="27">
        <v>11</v>
      </c>
      <c r="BC1290" s="7" t="s">
        <v>707</v>
      </c>
      <c r="BD1290" s="27">
        <v>15</v>
      </c>
      <c r="BJ1290" s="7" t="s">
        <v>652</v>
      </c>
      <c r="BK1290" s="40">
        <v>142</v>
      </c>
      <c r="BL1290" s="40">
        <v>30</v>
      </c>
      <c r="BN1290" t="str">
        <f t="shared" si="107"/>
        <v>Embroker</v>
      </c>
      <c r="BO1290">
        <f t="shared" si="108"/>
        <v>384</v>
      </c>
      <c r="BP1290">
        <f t="shared" si="109"/>
        <v>512</v>
      </c>
      <c r="BQ1290">
        <f t="shared" si="110"/>
        <v>896</v>
      </c>
    </row>
    <row r="1291" spans="26:69" hidden="1" x14ac:dyDescent="0.25">
      <c r="Z1291" s="7" t="s">
        <v>644</v>
      </c>
      <c r="AA1291" s="1">
        <v>0.15</v>
      </c>
      <c r="AI1291" s="7" t="s">
        <v>649</v>
      </c>
      <c r="AJ1291" s="40">
        <v>1</v>
      </c>
      <c r="AL1291" s="7" t="s">
        <v>650</v>
      </c>
      <c r="AM1291" s="27">
        <v>1</v>
      </c>
      <c r="AW1291" s="7" t="s">
        <v>767</v>
      </c>
      <c r="AX1291" s="27">
        <v>30</v>
      </c>
      <c r="BC1291" s="7" t="s">
        <v>708</v>
      </c>
      <c r="BD1291" s="27">
        <v>2400</v>
      </c>
      <c r="BJ1291" s="7" t="s">
        <v>653</v>
      </c>
      <c r="BK1291" s="40">
        <v>78</v>
      </c>
      <c r="BL1291" s="40">
        <v>30</v>
      </c>
      <c r="BN1291" t="str">
        <f t="shared" si="107"/>
        <v>Emotive</v>
      </c>
      <c r="BO1291">
        <f t="shared" si="108"/>
        <v>477</v>
      </c>
      <c r="BP1291">
        <f t="shared" si="109"/>
        <v>512</v>
      </c>
      <c r="BQ1291">
        <f t="shared" si="110"/>
        <v>989</v>
      </c>
    </row>
    <row r="1292" spans="26:69" hidden="1" x14ac:dyDescent="0.25">
      <c r="Z1292" s="7" t="s">
        <v>645</v>
      </c>
      <c r="AA1292" s="1">
        <v>0.15</v>
      </c>
      <c r="AI1292" s="7" t="s">
        <v>650</v>
      </c>
      <c r="AJ1292" s="40">
        <v>1</v>
      </c>
      <c r="AL1292" s="7" t="s">
        <v>651</v>
      </c>
      <c r="AM1292" s="27">
        <v>1</v>
      </c>
      <c r="AW1292" s="7" t="s">
        <v>768</v>
      </c>
      <c r="AX1292" s="27">
        <v>90</v>
      </c>
      <c r="BC1292" s="7" t="s">
        <v>709</v>
      </c>
      <c r="BD1292" s="27">
        <v>235</v>
      </c>
      <c r="BJ1292" s="7" t="s">
        <v>654</v>
      </c>
      <c r="BK1292" s="40">
        <v>0</v>
      </c>
      <c r="BL1292" s="40">
        <v>100</v>
      </c>
      <c r="BN1292" t="str">
        <f t="shared" si="107"/>
        <v>EMX Digital</v>
      </c>
      <c r="BO1292">
        <f t="shared" si="108"/>
        <v>742</v>
      </c>
      <c r="BP1292">
        <f t="shared" si="109"/>
        <v>254</v>
      </c>
      <c r="BQ1292">
        <f t="shared" si="110"/>
        <v>996</v>
      </c>
    </row>
    <row r="1293" spans="26:69" hidden="1" x14ac:dyDescent="0.25">
      <c r="Z1293" s="7" t="s">
        <v>646</v>
      </c>
      <c r="AA1293" s="1">
        <v>0</v>
      </c>
      <c r="AI1293" s="7" t="s">
        <v>651</v>
      </c>
      <c r="AJ1293" s="40">
        <v>1</v>
      </c>
      <c r="AL1293" s="7" t="s">
        <v>652</v>
      </c>
      <c r="AM1293" s="27">
        <v>1</v>
      </c>
      <c r="AW1293" s="7" t="s">
        <v>770</v>
      </c>
      <c r="AX1293" s="27">
        <v>130</v>
      </c>
      <c r="BC1293" s="7" t="s">
        <v>710</v>
      </c>
      <c r="BD1293" s="27">
        <v>14</v>
      </c>
      <c r="BJ1293" s="7" t="s">
        <v>655</v>
      </c>
      <c r="BK1293" s="40">
        <v>4</v>
      </c>
      <c r="BL1293" s="40">
        <v>0</v>
      </c>
      <c r="BN1293" t="str">
        <f t="shared" si="107"/>
        <v>Engine eCommerce</v>
      </c>
      <c r="BO1293">
        <f t="shared" si="108"/>
        <v>713</v>
      </c>
      <c r="BP1293">
        <f t="shared" si="109"/>
        <v>683</v>
      </c>
      <c r="BQ1293">
        <f t="shared" si="110"/>
        <v>1396</v>
      </c>
    </row>
    <row r="1294" spans="26:69" hidden="1" x14ac:dyDescent="0.25">
      <c r="Z1294" s="7" t="s">
        <v>647</v>
      </c>
      <c r="AA1294" s="1">
        <v>0.15</v>
      </c>
      <c r="AI1294" s="7" t="s">
        <v>652</v>
      </c>
      <c r="AJ1294" s="40">
        <v>1</v>
      </c>
      <c r="AL1294" s="7" t="s">
        <v>653</v>
      </c>
      <c r="AM1294" s="27">
        <v>1</v>
      </c>
      <c r="AW1294" s="7" t="s">
        <v>771</v>
      </c>
      <c r="AX1294" s="27">
        <v>21</v>
      </c>
      <c r="BC1294" s="7" t="s">
        <v>711</v>
      </c>
      <c r="BD1294" s="27">
        <v>45</v>
      </c>
      <c r="BJ1294" s="7" t="s">
        <v>657</v>
      </c>
      <c r="BK1294" s="40">
        <v>14</v>
      </c>
      <c r="BL1294" s="40">
        <v>31</v>
      </c>
      <c r="BN1294" t="str">
        <f t="shared" si="107"/>
        <v>Enjoei</v>
      </c>
      <c r="BO1294">
        <f t="shared" si="108"/>
        <v>671</v>
      </c>
      <c r="BP1294">
        <f t="shared" si="109"/>
        <v>508</v>
      </c>
      <c r="BQ1294">
        <f t="shared" si="110"/>
        <v>1179</v>
      </c>
    </row>
    <row r="1295" spans="26:69" hidden="1" x14ac:dyDescent="0.25">
      <c r="Z1295" s="7" t="s">
        <v>648</v>
      </c>
      <c r="AA1295" s="1">
        <v>0.33</v>
      </c>
      <c r="AI1295" s="7" t="s">
        <v>653</v>
      </c>
      <c r="AJ1295" s="40">
        <v>1</v>
      </c>
      <c r="AL1295" s="7" t="s">
        <v>654</v>
      </c>
      <c r="AM1295" s="27">
        <v>1</v>
      </c>
      <c r="AW1295" s="7" t="s">
        <v>773</v>
      </c>
      <c r="AX1295" s="27">
        <v>300</v>
      </c>
      <c r="BC1295" s="7" t="s">
        <v>714</v>
      </c>
      <c r="BD1295" s="27">
        <v>9</v>
      </c>
      <c r="BJ1295" s="7" t="s">
        <v>658</v>
      </c>
      <c r="BK1295" s="40">
        <v>310</v>
      </c>
      <c r="BL1295" s="40">
        <v>400</v>
      </c>
      <c r="BN1295" t="str">
        <f t="shared" si="107"/>
        <v>Enjoy</v>
      </c>
      <c r="BO1295">
        <f t="shared" si="108"/>
        <v>240</v>
      </c>
      <c r="BP1295">
        <f t="shared" si="109"/>
        <v>83</v>
      </c>
      <c r="BQ1295">
        <f t="shared" si="110"/>
        <v>323</v>
      </c>
    </row>
    <row r="1296" spans="26:69" hidden="1" x14ac:dyDescent="0.25">
      <c r="Z1296" s="7" t="s">
        <v>649</v>
      </c>
      <c r="AA1296" s="1">
        <v>0.3</v>
      </c>
      <c r="AI1296" s="7" t="s">
        <v>654</v>
      </c>
      <c r="AJ1296" s="40">
        <v>1</v>
      </c>
      <c r="AL1296" s="7" t="s">
        <v>655</v>
      </c>
      <c r="AM1296" s="27">
        <v>1</v>
      </c>
      <c r="AW1296" s="7" t="s">
        <v>774</v>
      </c>
      <c r="AX1296" s="27">
        <v>198</v>
      </c>
      <c r="BC1296" s="7" t="s">
        <v>715</v>
      </c>
      <c r="BD1296" s="27">
        <v>620</v>
      </c>
      <c r="BJ1296" s="7" t="s">
        <v>659</v>
      </c>
      <c r="BK1296" s="40">
        <v>0</v>
      </c>
      <c r="BL1296" s="40">
        <v>100</v>
      </c>
      <c r="BN1296" t="str">
        <f t="shared" si="107"/>
        <v>Envato</v>
      </c>
      <c r="BO1296">
        <f t="shared" si="108"/>
        <v>742</v>
      </c>
      <c r="BP1296">
        <f t="shared" si="109"/>
        <v>254</v>
      </c>
      <c r="BQ1296">
        <f t="shared" si="110"/>
        <v>996</v>
      </c>
    </row>
    <row r="1297" spans="26:69" hidden="1" x14ac:dyDescent="0.25">
      <c r="Z1297" s="7" t="s">
        <v>650</v>
      </c>
      <c r="AA1297" s="1">
        <v>0</v>
      </c>
      <c r="AI1297" s="7" t="s">
        <v>655</v>
      </c>
      <c r="AJ1297" s="40">
        <v>1</v>
      </c>
      <c r="AL1297" s="7" t="s">
        <v>657</v>
      </c>
      <c r="AM1297" s="27">
        <v>1</v>
      </c>
      <c r="AW1297" s="7" t="s">
        <v>775</v>
      </c>
      <c r="AX1297" s="27">
        <v>18</v>
      </c>
      <c r="BC1297" s="7" t="s">
        <v>719</v>
      </c>
      <c r="BD1297" s="27">
        <v>4</v>
      </c>
      <c r="BJ1297" s="7" t="s">
        <v>660</v>
      </c>
      <c r="BK1297" s="40">
        <v>59</v>
      </c>
      <c r="BL1297" s="40">
        <v>58</v>
      </c>
      <c r="BN1297" t="str">
        <f t="shared" si="107"/>
        <v>Envoy</v>
      </c>
      <c r="BO1297">
        <f t="shared" si="108"/>
        <v>518</v>
      </c>
      <c r="BP1297">
        <f t="shared" si="109"/>
        <v>396</v>
      </c>
      <c r="BQ1297">
        <f t="shared" si="110"/>
        <v>914</v>
      </c>
    </row>
    <row r="1298" spans="26:69" hidden="1" x14ac:dyDescent="0.25">
      <c r="Z1298" s="7" t="s">
        <v>651</v>
      </c>
      <c r="AA1298" s="1">
        <v>0.7</v>
      </c>
      <c r="AI1298" s="7" t="s">
        <v>657</v>
      </c>
      <c r="AJ1298" s="40">
        <v>1</v>
      </c>
      <c r="AL1298" s="7" t="s">
        <v>658</v>
      </c>
      <c r="AM1298" s="27">
        <v>1</v>
      </c>
      <c r="AW1298" s="7" t="s">
        <v>777</v>
      </c>
      <c r="AX1298" s="27">
        <v>249</v>
      </c>
      <c r="BC1298" s="7" t="s">
        <v>720</v>
      </c>
      <c r="BD1298" s="27">
        <v>120</v>
      </c>
      <c r="BJ1298" s="7" t="s">
        <v>661</v>
      </c>
      <c r="BK1298" s="40">
        <v>170</v>
      </c>
      <c r="BL1298" s="40">
        <v>49</v>
      </c>
      <c r="BN1298" t="str">
        <f t="shared" si="107"/>
        <v>Equitybee</v>
      </c>
      <c r="BO1298">
        <f t="shared" si="108"/>
        <v>350</v>
      </c>
      <c r="BP1298">
        <f t="shared" si="109"/>
        <v>433</v>
      </c>
      <c r="BQ1298">
        <f t="shared" si="110"/>
        <v>783</v>
      </c>
    </row>
    <row r="1299" spans="26:69" hidden="1" x14ac:dyDescent="0.25">
      <c r="Z1299" s="7" t="s">
        <v>652</v>
      </c>
      <c r="AA1299" s="1">
        <v>0.12</v>
      </c>
      <c r="AI1299" s="7" t="s">
        <v>658</v>
      </c>
      <c r="AJ1299" s="40">
        <v>1</v>
      </c>
      <c r="AL1299" s="7" t="s">
        <v>659</v>
      </c>
      <c r="AM1299" s="27">
        <v>1</v>
      </c>
      <c r="AW1299" s="7" t="s">
        <v>778</v>
      </c>
      <c r="AX1299" s="27">
        <v>250</v>
      </c>
      <c r="BC1299" s="7" t="s">
        <v>721</v>
      </c>
      <c r="BD1299" s="27">
        <v>263</v>
      </c>
      <c r="BJ1299" s="7" t="s">
        <v>662</v>
      </c>
      <c r="BK1299" s="40">
        <v>11</v>
      </c>
      <c r="BL1299" s="40">
        <v>30</v>
      </c>
      <c r="BN1299" t="str">
        <f t="shared" si="107"/>
        <v>EquityZen</v>
      </c>
      <c r="BO1299">
        <f t="shared" si="108"/>
        <v>683</v>
      </c>
      <c r="BP1299">
        <f t="shared" si="109"/>
        <v>512</v>
      </c>
      <c r="BQ1299">
        <f t="shared" si="110"/>
        <v>1195</v>
      </c>
    </row>
    <row r="1300" spans="26:69" hidden="1" x14ac:dyDescent="0.25">
      <c r="Z1300" s="7" t="s">
        <v>653</v>
      </c>
      <c r="AA1300" s="1">
        <v>0.18</v>
      </c>
      <c r="AI1300" s="7" t="s">
        <v>659</v>
      </c>
      <c r="AJ1300" s="40">
        <v>1</v>
      </c>
      <c r="AL1300" s="7" t="s">
        <v>660</v>
      </c>
      <c r="AM1300" s="27">
        <v>1</v>
      </c>
      <c r="AW1300" s="7" t="s">
        <v>781</v>
      </c>
      <c r="AX1300" s="27">
        <v>22</v>
      </c>
      <c r="BC1300" s="7" t="s">
        <v>722</v>
      </c>
      <c r="BD1300" s="27">
        <v>352</v>
      </c>
      <c r="BJ1300" s="7" t="s">
        <v>663</v>
      </c>
      <c r="BK1300" s="40">
        <v>663</v>
      </c>
      <c r="BL1300" s="40">
        <v>8500</v>
      </c>
      <c r="BN1300" t="str">
        <f t="shared" ref="BN1300:BN1363" si="111">VLOOKUP(BJ1300,BJ1300:BL2111,1,0)</f>
        <v>Ericsson</v>
      </c>
      <c r="BO1300">
        <f t="shared" si="108"/>
        <v>130</v>
      </c>
      <c r="BP1300">
        <f t="shared" si="109"/>
        <v>3</v>
      </c>
      <c r="BQ1300">
        <f t="shared" si="110"/>
        <v>133</v>
      </c>
    </row>
    <row r="1301" spans="26:69" hidden="1" x14ac:dyDescent="0.25">
      <c r="Z1301" s="7" t="s">
        <v>654</v>
      </c>
      <c r="AA1301" s="1">
        <v>1</v>
      </c>
      <c r="AI1301" s="7" t="s">
        <v>660</v>
      </c>
      <c r="AJ1301" s="40">
        <v>1</v>
      </c>
      <c r="AL1301" s="7" t="s">
        <v>661</v>
      </c>
      <c r="AM1301" s="27">
        <v>2</v>
      </c>
      <c r="AW1301" s="7" t="s">
        <v>782</v>
      </c>
      <c r="AX1301" s="27">
        <v>55</v>
      </c>
      <c r="BC1301" s="7" t="s">
        <v>723</v>
      </c>
      <c r="BD1301" s="27">
        <v>1498</v>
      </c>
      <c r="BJ1301" s="7" t="s">
        <v>664</v>
      </c>
      <c r="BK1301" s="40">
        <v>97</v>
      </c>
      <c r="BL1301" s="40">
        <v>30</v>
      </c>
      <c r="BN1301" t="str">
        <f t="shared" si="111"/>
        <v>Ermetic</v>
      </c>
      <c r="BO1301">
        <f t="shared" si="108"/>
        <v>446</v>
      </c>
      <c r="BP1301">
        <f t="shared" si="109"/>
        <v>512</v>
      </c>
      <c r="BQ1301">
        <f t="shared" si="110"/>
        <v>958</v>
      </c>
    </row>
    <row r="1302" spans="26:69" hidden="1" x14ac:dyDescent="0.25">
      <c r="Z1302" s="7" t="s">
        <v>655</v>
      </c>
      <c r="AA1302" s="1">
        <v>1</v>
      </c>
      <c r="AI1302" s="7" t="s">
        <v>661</v>
      </c>
      <c r="AJ1302" s="40">
        <v>2</v>
      </c>
      <c r="AL1302" s="7" t="s">
        <v>662</v>
      </c>
      <c r="AM1302" s="27">
        <v>1</v>
      </c>
      <c r="AW1302" s="7" t="s">
        <v>783</v>
      </c>
      <c r="AX1302" s="27">
        <v>981</v>
      </c>
      <c r="BC1302" s="7" t="s">
        <v>726</v>
      </c>
      <c r="BD1302" s="27">
        <v>20</v>
      </c>
      <c r="BJ1302" s="7" t="s">
        <v>665</v>
      </c>
      <c r="BK1302" s="40">
        <v>1200</v>
      </c>
      <c r="BL1302" s="40">
        <v>40</v>
      </c>
      <c r="BN1302" t="str">
        <f t="shared" si="111"/>
        <v>Eruditus</v>
      </c>
      <c r="BO1302">
        <f t="shared" si="108"/>
        <v>72</v>
      </c>
      <c r="BP1302">
        <f t="shared" si="109"/>
        <v>454</v>
      </c>
      <c r="BQ1302">
        <f t="shared" si="110"/>
        <v>526</v>
      </c>
    </row>
    <row r="1303" spans="26:69" hidden="1" x14ac:dyDescent="0.25">
      <c r="Z1303" s="7" t="s">
        <v>657</v>
      </c>
      <c r="AA1303" s="1">
        <v>0.1</v>
      </c>
      <c r="AI1303" s="7" t="s">
        <v>662</v>
      </c>
      <c r="AJ1303" s="40">
        <v>1</v>
      </c>
      <c r="AL1303" s="7" t="s">
        <v>663</v>
      </c>
      <c r="AM1303" s="27">
        <v>1</v>
      </c>
      <c r="AW1303" s="7" t="s">
        <v>784</v>
      </c>
      <c r="AX1303" s="27">
        <v>94</v>
      </c>
      <c r="BC1303" s="7" t="s">
        <v>727</v>
      </c>
      <c r="BD1303" s="27">
        <v>125</v>
      </c>
      <c r="BJ1303" s="7" t="s">
        <v>666</v>
      </c>
      <c r="BK1303" s="40">
        <v>20</v>
      </c>
      <c r="BL1303" s="40">
        <v>0</v>
      </c>
      <c r="BN1303" t="str">
        <f t="shared" si="111"/>
        <v>Esper</v>
      </c>
      <c r="BO1303">
        <f t="shared" si="108"/>
        <v>640</v>
      </c>
      <c r="BP1303">
        <f t="shared" si="109"/>
        <v>683</v>
      </c>
      <c r="BQ1303">
        <f t="shared" si="110"/>
        <v>1323</v>
      </c>
    </row>
    <row r="1304" spans="26:69" hidden="1" x14ac:dyDescent="0.25">
      <c r="Z1304" s="7" t="s">
        <v>658</v>
      </c>
      <c r="AA1304" s="1">
        <v>0.18</v>
      </c>
      <c r="AI1304" s="7" t="s">
        <v>663</v>
      </c>
      <c r="AJ1304" s="40">
        <v>1</v>
      </c>
      <c r="AL1304" s="7" t="s">
        <v>664</v>
      </c>
      <c r="AM1304" s="27">
        <v>1</v>
      </c>
      <c r="AW1304" s="7" t="s">
        <v>785</v>
      </c>
      <c r="AX1304" s="27">
        <v>800</v>
      </c>
      <c r="BC1304" s="7" t="s">
        <v>728</v>
      </c>
      <c r="BD1304" s="27">
        <v>58</v>
      </c>
      <c r="BJ1304" s="7" t="s">
        <v>667</v>
      </c>
      <c r="BK1304" s="40">
        <v>0</v>
      </c>
      <c r="BL1304" s="40">
        <v>40</v>
      </c>
      <c r="BN1304" t="str">
        <f t="shared" si="111"/>
        <v>Etermax</v>
      </c>
      <c r="BO1304">
        <f t="shared" si="108"/>
        <v>742</v>
      </c>
      <c r="BP1304">
        <f t="shared" si="109"/>
        <v>454</v>
      </c>
      <c r="BQ1304">
        <f t="shared" si="110"/>
        <v>1196</v>
      </c>
    </row>
    <row r="1305" spans="26:69" hidden="1" x14ac:dyDescent="0.25">
      <c r="Z1305" s="7" t="s">
        <v>659</v>
      </c>
      <c r="AA1305" s="1">
        <v>0</v>
      </c>
      <c r="AI1305" s="7" t="s">
        <v>664</v>
      </c>
      <c r="AJ1305" s="40">
        <v>1</v>
      </c>
      <c r="AL1305" s="7" t="s">
        <v>665</v>
      </c>
      <c r="AM1305" s="27">
        <v>1</v>
      </c>
      <c r="AW1305" s="7" t="s">
        <v>786</v>
      </c>
      <c r="AX1305" s="27">
        <v>430</v>
      </c>
      <c r="BC1305" s="7" t="s">
        <v>729</v>
      </c>
      <c r="BD1305" s="27">
        <v>58</v>
      </c>
      <c r="BJ1305" s="7" t="s">
        <v>668</v>
      </c>
      <c r="BK1305" s="40">
        <v>918</v>
      </c>
      <c r="BL1305" s="40">
        <v>108</v>
      </c>
      <c r="BN1305" t="str">
        <f t="shared" si="111"/>
        <v>Ethos Life</v>
      </c>
      <c r="BO1305">
        <f t="shared" si="108"/>
        <v>96</v>
      </c>
      <c r="BP1305">
        <f t="shared" si="109"/>
        <v>251</v>
      </c>
      <c r="BQ1305">
        <f t="shared" si="110"/>
        <v>347</v>
      </c>
    </row>
    <row r="1306" spans="26:69" hidden="1" x14ac:dyDescent="0.25">
      <c r="Z1306" s="7" t="s">
        <v>660</v>
      </c>
      <c r="AA1306" s="1">
        <v>0.3</v>
      </c>
      <c r="AI1306" s="7" t="s">
        <v>665</v>
      </c>
      <c r="AJ1306" s="40">
        <v>1</v>
      </c>
      <c r="AL1306" s="7" t="s">
        <v>666</v>
      </c>
      <c r="AM1306" s="27">
        <v>2</v>
      </c>
      <c r="AW1306" s="7" t="s">
        <v>787</v>
      </c>
      <c r="AX1306" s="27">
        <v>74</v>
      </c>
      <c r="BC1306" s="7" t="s">
        <v>730</v>
      </c>
      <c r="BD1306" s="27">
        <v>593</v>
      </c>
      <c r="BJ1306" s="7" t="s">
        <v>669</v>
      </c>
      <c r="BK1306" s="40">
        <v>322</v>
      </c>
      <c r="BL1306" s="40">
        <v>100</v>
      </c>
      <c r="BN1306" t="str">
        <f t="shared" si="111"/>
        <v>eToro</v>
      </c>
      <c r="BO1306">
        <f t="shared" si="108"/>
        <v>233</v>
      </c>
      <c r="BP1306">
        <f t="shared" si="109"/>
        <v>254</v>
      </c>
      <c r="BQ1306">
        <f t="shared" si="110"/>
        <v>487</v>
      </c>
    </row>
    <row r="1307" spans="26:69" hidden="1" x14ac:dyDescent="0.25">
      <c r="Z1307" s="7" t="s">
        <v>661</v>
      </c>
      <c r="AA1307" s="1">
        <v>0.25</v>
      </c>
      <c r="AI1307" s="7" t="s">
        <v>666</v>
      </c>
      <c r="AJ1307" s="40">
        <v>2</v>
      </c>
      <c r="AL1307" s="7" t="s">
        <v>667</v>
      </c>
      <c r="AM1307" s="27">
        <v>1</v>
      </c>
      <c r="AW1307" s="7" t="s">
        <v>789</v>
      </c>
      <c r="AX1307" s="27">
        <v>80</v>
      </c>
      <c r="BC1307" s="7" t="s">
        <v>731</v>
      </c>
      <c r="BD1307" s="27">
        <v>325</v>
      </c>
      <c r="BJ1307" s="7" t="s">
        <v>670</v>
      </c>
      <c r="BK1307" s="40">
        <v>69</v>
      </c>
      <c r="BL1307" s="40">
        <v>50</v>
      </c>
      <c r="BN1307" t="str">
        <f t="shared" si="111"/>
        <v>Eucalyptus</v>
      </c>
      <c r="BO1307">
        <f t="shared" si="108"/>
        <v>498</v>
      </c>
      <c r="BP1307">
        <f t="shared" si="109"/>
        <v>410</v>
      </c>
      <c r="BQ1307">
        <f t="shared" si="110"/>
        <v>908</v>
      </c>
    </row>
    <row r="1308" spans="26:69" hidden="1" x14ac:dyDescent="0.25">
      <c r="Z1308" s="7" t="s">
        <v>662</v>
      </c>
      <c r="AA1308" s="1">
        <v>0.27</v>
      </c>
      <c r="AI1308" s="7" t="s">
        <v>667</v>
      </c>
      <c r="AJ1308" s="40">
        <v>1</v>
      </c>
      <c r="AL1308" s="7" t="s">
        <v>668</v>
      </c>
      <c r="AM1308" s="27">
        <v>3</v>
      </c>
      <c r="AW1308" s="7" t="s">
        <v>791</v>
      </c>
      <c r="AX1308" s="27">
        <v>70</v>
      </c>
      <c r="BC1308" s="7" t="s">
        <v>732</v>
      </c>
      <c r="BD1308" s="27">
        <v>201</v>
      </c>
      <c r="BJ1308" s="7" t="s">
        <v>671</v>
      </c>
      <c r="BK1308" s="40">
        <v>889</v>
      </c>
      <c r="BL1308" s="40">
        <v>580</v>
      </c>
      <c r="BN1308" t="str">
        <f t="shared" si="111"/>
        <v>Eventbrite</v>
      </c>
      <c r="BO1308">
        <f t="shared" si="108"/>
        <v>100</v>
      </c>
      <c r="BP1308">
        <f t="shared" si="109"/>
        <v>57</v>
      </c>
      <c r="BQ1308">
        <f t="shared" si="110"/>
        <v>157</v>
      </c>
    </row>
    <row r="1309" spans="26:69" hidden="1" x14ac:dyDescent="0.25">
      <c r="Z1309" s="7" t="s">
        <v>663</v>
      </c>
      <c r="AA1309" s="1">
        <v>0.08</v>
      </c>
      <c r="AI1309" s="7" t="s">
        <v>668</v>
      </c>
      <c r="AJ1309" s="40">
        <v>3</v>
      </c>
      <c r="AL1309" s="7" t="s">
        <v>669</v>
      </c>
      <c r="AM1309" s="27">
        <v>1</v>
      </c>
      <c r="AW1309" s="7" t="s">
        <v>793</v>
      </c>
      <c r="AX1309" s="27">
        <v>140</v>
      </c>
      <c r="BC1309" s="7" t="s">
        <v>733</v>
      </c>
      <c r="BD1309" s="27">
        <v>166</v>
      </c>
      <c r="BJ1309" s="7" t="s">
        <v>672</v>
      </c>
      <c r="BK1309" s="40">
        <v>476</v>
      </c>
      <c r="BL1309" s="40">
        <v>200</v>
      </c>
      <c r="BN1309" t="str">
        <f t="shared" si="111"/>
        <v>EverBridge</v>
      </c>
      <c r="BO1309">
        <f t="shared" si="108"/>
        <v>174</v>
      </c>
      <c r="BP1309">
        <f t="shared" si="109"/>
        <v>147</v>
      </c>
      <c r="BQ1309">
        <f t="shared" si="110"/>
        <v>321</v>
      </c>
    </row>
    <row r="1310" spans="26:69" hidden="1" x14ac:dyDescent="0.25">
      <c r="Z1310" s="7" t="s">
        <v>664</v>
      </c>
      <c r="AA1310" s="1">
        <v>0.17</v>
      </c>
      <c r="AI1310" s="7" t="s">
        <v>669</v>
      </c>
      <c r="AJ1310" s="40">
        <v>1</v>
      </c>
      <c r="AL1310" s="7" t="s">
        <v>670</v>
      </c>
      <c r="AM1310" s="27">
        <v>1</v>
      </c>
      <c r="AW1310" s="7" t="s">
        <v>794</v>
      </c>
      <c r="AX1310" s="27">
        <v>12000</v>
      </c>
      <c r="BC1310" s="7" t="s">
        <v>734</v>
      </c>
      <c r="BD1310" s="27">
        <v>63</v>
      </c>
      <c r="BJ1310" s="7" t="s">
        <v>673</v>
      </c>
      <c r="BK1310" s="40">
        <v>194</v>
      </c>
      <c r="BL1310" s="40">
        <v>257</v>
      </c>
      <c r="BN1310" t="str">
        <f t="shared" si="111"/>
        <v>Everlane</v>
      </c>
      <c r="BO1310">
        <f t="shared" si="108"/>
        <v>327</v>
      </c>
      <c r="BP1310">
        <f t="shared" si="109"/>
        <v>119</v>
      </c>
      <c r="BQ1310">
        <f t="shared" si="110"/>
        <v>446</v>
      </c>
    </row>
    <row r="1311" spans="26:69" hidden="1" x14ac:dyDescent="0.25">
      <c r="Z1311" s="7" t="s">
        <v>665</v>
      </c>
      <c r="AA1311" s="1">
        <v>0</v>
      </c>
      <c r="AI1311" s="7" t="s">
        <v>670</v>
      </c>
      <c r="AJ1311" s="40">
        <v>1</v>
      </c>
      <c r="AL1311" s="7" t="s">
        <v>671</v>
      </c>
      <c r="AM1311" s="27">
        <v>2</v>
      </c>
      <c r="AW1311" s="7" t="s">
        <v>795</v>
      </c>
      <c r="AX1311" s="27">
        <v>200</v>
      </c>
      <c r="BC1311" s="7" t="s">
        <v>735</v>
      </c>
      <c r="BD1311" s="27">
        <v>133</v>
      </c>
      <c r="BJ1311" s="7" t="s">
        <v>674</v>
      </c>
      <c r="BK1311" s="40">
        <v>290</v>
      </c>
      <c r="BL1311" s="40">
        <v>129</v>
      </c>
      <c r="BN1311" t="str">
        <f t="shared" si="111"/>
        <v>Evernote</v>
      </c>
      <c r="BO1311">
        <f t="shared" si="108"/>
        <v>251</v>
      </c>
      <c r="BP1311">
        <f t="shared" si="109"/>
        <v>233</v>
      </c>
      <c r="BQ1311">
        <f t="shared" si="110"/>
        <v>484</v>
      </c>
    </row>
    <row r="1312" spans="26:69" hidden="1" x14ac:dyDescent="0.25">
      <c r="Z1312" s="7" t="s">
        <v>666</v>
      </c>
      <c r="AA1312" s="1">
        <v>0.21</v>
      </c>
      <c r="AI1312" s="7" t="s">
        <v>671</v>
      </c>
      <c r="AJ1312" s="40">
        <v>2</v>
      </c>
      <c r="AL1312" s="7" t="s">
        <v>672</v>
      </c>
      <c r="AM1312" s="27">
        <v>1</v>
      </c>
      <c r="AW1312" s="7" t="s">
        <v>796</v>
      </c>
      <c r="AX1312" s="27">
        <v>2300</v>
      </c>
      <c r="BC1312" s="7" t="s">
        <v>736</v>
      </c>
      <c r="BD1312" s="27">
        <v>76</v>
      </c>
      <c r="BJ1312" s="7" t="s">
        <v>675</v>
      </c>
      <c r="BK1312" s="40">
        <v>400</v>
      </c>
      <c r="BL1312" s="40">
        <v>40</v>
      </c>
      <c r="BN1312" t="str">
        <f t="shared" si="111"/>
        <v>EVgo</v>
      </c>
      <c r="BO1312">
        <f t="shared" si="108"/>
        <v>197</v>
      </c>
      <c r="BP1312">
        <f t="shared" si="109"/>
        <v>454</v>
      </c>
      <c r="BQ1312">
        <f t="shared" si="110"/>
        <v>651</v>
      </c>
    </row>
    <row r="1313" spans="26:69" hidden="1" x14ac:dyDescent="0.25">
      <c r="Z1313" s="7" t="s">
        <v>667</v>
      </c>
      <c r="AA1313" s="1">
        <v>0</v>
      </c>
      <c r="AI1313" s="7" t="s">
        <v>672</v>
      </c>
      <c r="AJ1313" s="40">
        <v>1</v>
      </c>
      <c r="AL1313" s="7" t="s">
        <v>673</v>
      </c>
      <c r="AM1313" s="27">
        <v>2</v>
      </c>
      <c r="AW1313" s="7" t="s">
        <v>797</v>
      </c>
      <c r="AX1313" s="27">
        <v>840</v>
      </c>
      <c r="BC1313" s="7" t="s">
        <v>737</v>
      </c>
      <c r="BD1313" s="27">
        <v>75</v>
      </c>
      <c r="BJ1313" s="7" t="s">
        <v>676</v>
      </c>
      <c r="BK1313" s="40">
        <v>60</v>
      </c>
      <c r="BL1313" s="40">
        <v>59</v>
      </c>
      <c r="BN1313" t="str">
        <f t="shared" si="111"/>
        <v>Exodus</v>
      </c>
      <c r="BO1313">
        <f t="shared" si="108"/>
        <v>513</v>
      </c>
      <c r="BP1313">
        <f t="shared" si="109"/>
        <v>393</v>
      </c>
      <c r="BQ1313">
        <f t="shared" si="110"/>
        <v>906</v>
      </c>
    </row>
    <row r="1314" spans="26:69" hidden="1" x14ac:dyDescent="0.25">
      <c r="Z1314" s="7" t="s">
        <v>668</v>
      </c>
      <c r="AA1314" s="1">
        <v>0.14000000000000001</v>
      </c>
      <c r="AI1314" s="7" t="s">
        <v>673</v>
      </c>
      <c r="AJ1314" s="40">
        <v>2</v>
      </c>
      <c r="AL1314" s="7" t="s">
        <v>674</v>
      </c>
      <c r="AM1314" s="27">
        <v>1</v>
      </c>
      <c r="AW1314" s="7" t="s">
        <v>798</v>
      </c>
      <c r="AX1314" s="27">
        <v>23</v>
      </c>
      <c r="BC1314" s="7" t="s">
        <v>738</v>
      </c>
      <c r="BD1314" s="27">
        <v>280</v>
      </c>
      <c r="BJ1314" s="7" t="s">
        <v>678</v>
      </c>
      <c r="BK1314" s="40">
        <v>87</v>
      </c>
      <c r="BL1314" s="40">
        <v>142</v>
      </c>
      <c r="BN1314" t="str">
        <f t="shared" si="111"/>
        <v>Exotel</v>
      </c>
      <c r="BO1314">
        <f t="shared" si="108"/>
        <v>464</v>
      </c>
      <c r="BP1314">
        <f t="shared" si="109"/>
        <v>210</v>
      </c>
      <c r="BQ1314">
        <f t="shared" si="110"/>
        <v>674</v>
      </c>
    </row>
    <row r="1315" spans="26:69" hidden="1" x14ac:dyDescent="0.25">
      <c r="Z1315" s="7" t="s">
        <v>669</v>
      </c>
      <c r="AA1315" s="1">
        <v>0.06</v>
      </c>
      <c r="AI1315" s="7" t="s">
        <v>674</v>
      </c>
      <c r="AJ1315" s="40">
        <v>1</v>
      </c>
      <c r="AL1315" s="7" t="s">
        <v>675</v>
      </c>
      <c r="AM1315" s="27">
        <v>1</v>
      </c>
      <c r="AW1315" s="7" t="s">
        <v>799</v>
      </c>
      <c r="AX1315" s="27">
        <v>300</v>
      </c>
      <c r="BC1315" s="7" t="s">
        <v>739</v>
      </c>
      <c r="BD1315" s="27">
        <v>214</v>
      </c>
      <c r="BJ1315" s="7" t="s">
        <v>679</v>
      </c>
      <c r="BK1315" s="40">
        <v>26</v>
      </c>
      <c r="BL1315" s="40">
        <v>7</v>
      </c>
      <c r="BN1315" t="str">
        <f t="shared" si="111"/>
        <v>Expert360</v>
      </c>
      <c r="BO1315">
        <f t="shared" si="108"/>
        <v>612</v>
      </c>
      <c r="BP1315">
        <f t="shared" si="109"/>
        <v>670</v>
      </c>
      <c r="BQ1315">
        <f t="shared" si="110"/>
        <v>1282</v>
      </c>
    </row>
    <row r="1316" spans="26:69" hidden="1" x14ac:dyDescent="0.25">
      <c r="Z1316" s="7" t="s">
        <v>670</v>
      </c>
      <c r="AA1316" s="1">
        <v>0.2</v>
      </c>
      <c r="AI1316" s="7" t="s">
        <v>675</v>
      </c>
      <c r="AJ1316" s="40">
        <v>1</v>
      </c>
      <c r="AL1316" s="7" t="s">
        <v>676</v>
      </c>
      <c r="AM1316" s="27">
        <v>1</v>
      </c>
      <c r="AW1316" s="7" t="s">
        <v>800</v>
      </c>
      <c r="AX1316" s="27">
        <v>1300</v>
      </c>
      <c r="BC1316" s="7" t="s">
        <v>740</v>
      </c>
      <c r="BD1316" s="27">
        <v>484</v>
      </c>
      <c r="BJ1316" s="7" t="s">
        <v>680</v>
      </c>
      <c r="BK1316" s="40">
        <v>100</v>
      </c>
      <c r="BL1316" s="40">
        <v>24</v>
      </c>
      <c r="BN1316" t="str">
        <f t="shared" si="111"/>
        <v>Exterro</v>
      </c>
      <c r="BO1316">
        <f t="shared" si="108"/>
        <v>439</v>
      </c>
      <c r="BP1316">
        <f t="shared" si="109"/>
        <v>564</v>
      </c>
      <c r="BQ1316">
        <f t="shared" si="110"/>
        <v>1003</v>
      </c>
    </row>
    <row r="1317" spans="26:69" hidden="1" x14ac:dyDescent="0.25">
      <c r="Z1317" s="7" t="s">
        <v>671</v>
      </c>
      <c r="AA1317" s="1">
        <v>0.45</v>
      </c>
      <c r="AI1317" s="7" t="s">
        <v>676</v>
      </c>
      <c r="AJ1317" s="40">
        <v>1</v>
      </c>
      <c r="AL1317" s="7" t="s">
        <v>678</v>
      </c>
      <c r="AM1317" s="27">
        <v>1</v>
      </c>
      <c r="AW1317" s="7" t="s">
        <v>801</v>
      </c>
      <c r="AX1317" s="27">
        <v>360</v>
      </c>
      <c r="BC1317" s="7" t="s">
        <v>741</v>
      </c>
      <c r="BD1317" s="27">
        <v>3</v>
      </c>
      <c r="BJ1317" s="7" t="s">
        <v>681</v>
      </c>
      <c r="BK1317" s="40">
        <v>319</v>
      </c>
      <c r="BL1317" s="40">
        <v>400</v>
      </c>
      <c r="BN1317" t="str">
        <f t="shared" si="111"/>
        <v>ezCater</v>
      </c>
      <c r="BO1317">
        <f t="shared" si="108"/>
        <v>235</v>
      </c>
      <c r="BP1317">
        <f t="shared" si="109"/>
        <v>83</v>
      </c>
      <c r="BQ1317">
        <f t="shared" si="110"/>
        <v>318</v>
      </c>
    </row>
    <row r="1318" spans="26:69" hidden="1" x14ac:dyDescent="0.25">
      <c r="Z1318" s="7" t="s">
        <v>672</v>
      </c>
      <c r="AA1318" s="1">
        <v>0</v>
      </c>
      <c r="AI1318" s="7" t="s">
        <v>678</v>
      </c>
      <c r="AJ1318" s="40">
        <v>1</v>
      </c>
      <c r="AL1318" s="7" t="s">
        <v>679</v>
      </c>
      <c r="AM1318" s="27">
        <v>1</v>
      </c>
      <c r="AW1318" s="7" t="s">
        <v>803</v>
      </c>
      <c r="AX1318" s="27">
        <v>75</v>
      </c>
      <c r="BC1318" s="7" t="s">
        <v>743</v>
      </c>
      <c r="BD1318" s="27">
        <v>34</v>
      </c>
      <c r="BJ1318" s="7" t="s">
        <v>682</v>
      </c>
      <c r="BK1318" s="40">
        <v>0</v>
      </c>
      <c r="BL1318" s="40">
        <v>100</v>
      </c>
      <c r="BN1318" t="str">
        <f t="shared" si="111"/>
        <v>F5</v>
      </c>
      <c r="BO1318">
        <f t="shared" si="108"/>
        <v>742</v>
      </c>
      <c r="BP1318">
        <f t="shared" si="109"/>
        <v>254</v>
      </c>
      <c r="BQ1318">
        <f t="shared" si="110"/>
        <v>996</v>
      </c>
    </row>
    <row r="1319" spans="26:69" hidden="1" x14ac:dyDescent="0.25">
      <c r="Z1319" s="7" t="s">
        <v>673</v>
      </c>
      <c r="AA1319" s="1">
        <v>0.17</v>
      </c>
      <c r="AI1319" s="7" t="s">
        <v>679</v>
      </c>
      <c r="AJ1319" s="40">
        <v>1</v>
      </c>
      <c r="AL1319" s="7" t="s">
        <v>680</v>
      </c>
      <c r="AM1319" s="27">
        <v>1</v>
      </c>
      <c r="AW1319" s="7" t="s">
        <v>805</v>
      </c>
      <c r="AX1319" s="27">
        <v>20</v>
      </c>
      <c r="BC1319" s="7" t="s">
        <v>744</v>
      </c>
      <c r="BD1319" s="27">
        <v>202</v>
      </c>
      <c r="BJ1319" s="7" t="s">
        <v>683</v>
      </c>
      <c r="BK1319" s="40">
        <v>48</v>
      </c>
      <c r="BL1319" s="40">
        <v>80</v>
      </c>
      <c r="BN1319" t="str">
        <f t="shared" si="111"/>
        <v>FabHotels</v>
      </c>
      <c r="BO1319">
        <f t="shared" si="108"/>
        <v>549</v>
      </c>
      <c r="BP1319">
        <f t="shared" si="109"/>
        <v>322</v>
      </c>
      <c r="BQ1319">
        <f t="shared" si="110"/>
        <v>871</v>
      </c>
    </row>
    <row r="1320" spans="26:69" hidden="1" x14ac:dyDescent="0.25">
      <c r="Z1320" s="7" t="s">
        <v>674</v>
      </c>
      <c r="AA1320" s="1">
        <v>0</v>
      </c>
      <c r="AI1320" s="7" t="s">
        <v>680</v>
      </c>
      <c r="AJ1320" s="40">
        <v>1</v>
      </c>
      <c r="AL1320" s="7" t="s">
        <v>681</v>
      </c>
      <c r="AM1320" s="27">
        <v>1</v>
      </c>
      <c r="AW1320" s="7" t="s">
        <v>806</v>
      </c>
      <c r="AX1320" s="27">
        <v>120</v>
      </c>
      <c r="BC1320" s="7" t="s">
        <v>747</v>
      </c>
      <c r="BD1320" s="27">
        <v>197</v>
      </c>
      <c r="BJ1320" s="7" t="s">
        <v>684</v>
      </c>
      <c r="BK1320" s="40">
        <v>336</v>
      </c>
      <c r="BL1320" s="40">
        <v>120</v>
      </c>
      <c r="BN1320" t="str">
        <f t="shared" si="111"/>
        <v>Fabric</v>
      </c>
      <c r="BO1320">
        <f t="shared" si="108"/>
        <v>224</v>
      </c>
      <c r="BP1320">
        <f t="shared" si="109"/>
        <v>238</v>
      </c>
      <c r="BQ1320">
        <f t="shared" si="110"/>
        <v>462</v>
      </c>
    </row>
    <row r="1321" spans="26:69" hidden="1" x14ac:dyDescent="0.25">
      <c r="Z1321" s="7" t="s">
        <v>675</v>
      </c>
      <c r="AA1321" s="1">
        <v>0</v>
      </c>
      <c r="AI1321" s="7" t="s">
        <v>681</v>
      </c>
      <c r="AJ1321" s="40">
        <v>1</v>
      </c>
      <c r="AL1321" s="7" t="s">
        <v>682</v>
      </c>
      <c r="AM1321" s="27">
        <v>1</v>
      </c>
      <c r="AW1321" s="7" t="s">
        <v>807</v>
      </c>
      <c r="AX1321" s="27">
        <v>104</v>
      </c>
      <c r="BC1321" s="7" t="s">
        <v>748</v>
      </c>
      <c r="BD1321" s="27">
        <v>1006</v>
      </c>
      <c r="BJ1321" s="7" t="s">
        <v>685</v>
      </c>
      <c r="BK1321" s="40">
        <v>502</v>
      </c>
      <c r="BL1321" s="40">
        <v>260</v>
      </c>
      <c r="BN1321" t="str">
        <f t="shared" si="111"/>
        <v>Facily</v>
      </c>
      <c r="BO1321">
        <f t="shared" si="108"/>
        <v>163</v>
      </c>
      <c r="BP1321">
        <f t="shared" si="109"/>
        <v>116</v>
      </c>
      <c r="BQ1321">
        <f t="shared" si="110"/>
        <v>279</v>
      </c>
    </row>
    <row r="1322" spans="26:69" hidden="1" x14ac:dyDescent="0.25">
      <c r="Z1322" s="7" t="s">
        <v>676</v>
      </c>
      <c r="AA1322" s="1">
        <v>0.22</v>
      </c>
      <c r="AI1322" s="7" t="s">
        <v>682</v>
      </c>
      <c r="AJ1322" s="40">
        <v>1</v>
      </c>
      <c r="AL1322" s="7" t="s">
        <v>683</v>
      </c>
      <c r="AM1322" s="27">
        <v>1</v>
      </c>
      <c r="AW1322" s="7" t="s">
        <v>808</v>
      </c>
      <c r="AX1322" s="27">
        <v>60</v>
      </c>
      <c r="BC1322" s="7" t="s">
        <v>749</v>
      </c>
      <c r="BD1322" s="27">
        <v>746</v>
      </c>
      <c r="BJ1322" s="7" t="s">
        <v>686</v>
      </c>
      <c r="BK1322" s="40">
        <v>1700</v>
      </c>
      <c r="BL1322" s="40">
        <v>84</v>
      </c>
      <c r="BN1322" t="str">
        <f t="shared" si="111"/>
        <v>Faire</v>
      </c>
      <c r="BO1322">
        <f t="shared" si="108"/>
        <v>49</v>
      </c>
      <c r="BP1322">
        <f t="shared" si="109"/>
        <v>316</v>
      </c>
      <c r="BQ1322">
        <f t="shared" si="110"/>
        <v>365</v>
      </c>
    </row>
    <row r="1323" spans="26:69" hidden="1" x14ac:dyDescent="0.25">
      <c r="Z1323" s="7" t="s">
        <v>678</v>
      </c>
      <c r="AA1323" s="1">
        <v>0.15</v>
      </c>
      <c r="AI1323" s="7" t="s">
        <v>683</v>
      </c>
      <c r="AJ1323" s="40">
        <v>1</v>
      </c>
      <c r="AL1323" s="7" t="s">
        <v>684</v>
      </c>
      <c r="AM1323" s="27">
        <v>1</v>
      </c>
      <c r="AW1323" s="7" t="s">
        <v>809</v>
      </c>
      <c r="AX1323" s="27">
        <v>50</v>
      </c>
      <c r="BC1323" s="7" t="s">
        <v>750</v>
      </c>
      <c r="BD1323" s="27">
        <v>42</v>
      </c>
      <c r="BJ1323" s="7" t="s">
        <v>687</v>
      </c>
      <c r="BK1323" s="40">
        <v>145</v>
      </c>
      <c r="BL1323" s="40">
        <v>0</v>
      </c>
      <c r="BN1323" t="str">
        <f t="shared" si="111"/>
        <v>Fandom</v>
      </c>
      <c r="BO1323">
        <f t="shared" si="108"/>
        <v>380</v>
      </c>
      <c r="BP1323">
        <f t="shared" si="109"/>
        <v>683</v>
      </c>
      <c r="BQ1323">
        <f t="shared" si="110"/>
        <v>1063</v>
      </c>
    </row>
    <row r="1324" spans="26:69" hidden="1" x14ac:dyDescent="0.25">
      <c r="Z1324" s="7" t="s">
        <v>679</v>
      </c>
      <c r="AA1324" s="1">
        <v>0</v>
      </c>
      <c r="AI1324" s="7" t="s">
        <v>684</v>
      </c>
      <c r="AJ1324" s="40">
        <v>1</v>
      </c>
      <c r="AL1324" s="7" t="s">
        <v>685</v>
      </c>
      <c r="AM1324" s="27">
        <v>1</v>
      </c>
      <c r="AW1324" s="7" t="s">
        <v>810</v>
      </c>
      <c r="AX1324" s="27">
        <v>3800</v>
      </c>
      <c r="BC1324" s="7" t="s">
        <v>751</v>
      </c>
      <c r="BD1324" s="27">
        <v>228</v>
      </c>
      <c r="BJ1324" s="7" t="s">
        <v>688</v>
      </c>
      <c r="BK1324" s="40">
        <v>0</v>
      </c>
      <c r="BL1324" s="40">
        <v>200</v>
      </c>
      <c r="BN1324" t="str">
        <f t="shared" si="111"/>
        <v>Fareportal</v>
      </c>
      <c r="BO1324">
        <f t="shared" si="108"/>
        <v>742</v>
      </c>
      <c r="BP1324">
        <f t="shared" si="109"/>
        <v>147</v>
      </c>
      <c r="BQ1324">
        <f t="shared" si="110"/>
        <v>889</v>
      </c>
    </row>
    <row r="1325" spans="26:69" hidden="1" x14ac:dyDescent="0.25">
      <c r="Z1325" s="7" t="s">
        <v>680</v>
      </c>
      <c r="AA1325" s="1">
        <v>0.03</v>
      </c>
      <c r="AI1325" s="7" t="s">
        <v>685</v>
      </c>
      <c r="AJ1325" s="40">
        <v>1</v>
      </c>
      <c r="AL1325" s="7" t="s">
        <v>686</v>
      </c>
      <c r="AM1325" s="27">
        <v>1</v>
      </c>
      <c r="AW1325" s="7" t="s">
        <v>812</v>
      </c>
      <c r="AX1325" s="27">
        <v>40</v>
      </c>
      <c r="BC1325" s="7" t="s">
        <v>753</v>
      </c>
      <c r="BD1325" s="27">
        <v>101</v>
      </c>
      <c r="BJ1325" s="7" t="s">
        <v>689</v>
      </c>
      <c r="BK1325" s="40">
        <v>300</v>
      </c>
      <c r="BL1325" s="40">
        <v>340</v>
      </c>
      <c r="BN1325" t="str">
        <f t="shared" si="111"/>
        <v>FarEye</v>
      </c>
      <c r="BO1325">
        <f t="shared" si="108"/>
        <v>243</v>
      </c>
      <c r="BP1325">
        <f t="shared" si="109"/>
        <v>96</v>
      </c>
      <c r="BQ1325">
        <f t="shared" si="110"/>
        <v>339</v>
      </c>
    </row>
    <row r="1326" spans="26:69" hidden="1" x14ac:dyDescent="0.25">
      <c r="Z1326" s="7" t="s">
        <v>681</v>
      </c>
      <c r="AA1326" s="1">
        <v>0.44</v>
      </c>
      <c r="AI1326" s="7" t="s">
        <v>686</v>
      </c>
      <c r="AJ1326" s="40">
        <v>1</v>
      </c>
      <c r="AL1326" s="7" t="s">
        <v>687</v>
      </c>
      <c r="AM1326" s="27">
        <v>1</v>
      </c>
      <c r="AW1326" s="7" t="s">
        <v>813</v>
      </c>
      <c r="AX1326" s="27">
        <v>130</v>
      </c>
      <c r="BC1326" s="7" t="s">
        <v>754</v>
      </c>
      <c r="BD1326" s="27">
        <v>76</v>
      </c>
      <c r="BJ1326" s="7" t="s">
        <v>690</v>
      </c>
      <c r="BK1326" s="40">
        <v>124</v>
      </c>
      <c r="BL1326" s="40">
        <v>0</v>
      </c>
      <c r="BN1326" t="str">
        <f t="shared" si="111"/>
        <v>Fast</v>
      </c>
      <c r="BO1326">
        <f t="shared" si="108"/>
        <v>405</v>
      </c>
      <c r="BP1326">
        <f t="shared" si="109"/>
        <v>683</v>
      </c>
      <c r="BQ1326">
        <f t="shared" si="110"/>
        <v>1088</v>
      </c>
    </row>
    <row r="1327" spans="26:69" hidden="1" x14ac:dyDescent="0.25">
      <c r="Z1327" s="7" t="s">
        <v>682</v>
      </c>
      <c r="AA1327" s="1">
        <v>0.01</v>
      </c>
      <c r="AI1327" s="7" t="s">
        <v>687</v>
      </c>
      <c r="AJ1327" s="40">
        <v>1</v>
      </c>
      <c r="AL1327" s="7" t="s">
        <v>688</v>
      </c>
      <c r="AM1327" s="27">
        <v>1</v>
      </c>
      <c r="AW1327" s="7" t="s">
        <v>815</v>
      </c>
      <c r="AX1327" s="27">
        <v>90</v>
      </c>
      <c r="BC1327" s="7" t="s">
        <v>756</v>
      </c>
      <c r="BD1327" s="27">
        <v>5</v>
      </c>
      <c r="BJ1327" s="7" t="s">
        <v>691</v>
      </c>
      <c r="BK1327" s="40">
        <v>1200</v>
      </c>
      <c r="BL1327" s="40">
        <v>315</v>
      </c>
      <c r="BN1327" t="str">
        <f t="shared" si="111"/>
        <v>Fate Therapeutics</v>
      </c>
      <c r="BO1327">
        <f t="shared" si="108"/>
        <v>72</v>
      </c>
      <c r="BP1327">
        <f t="shared" si="109"/>
        <v>100</v>
      </c>
      <c r="BQ1327">
        <f t="shared" si="110"/>
        <v>172</v>
      </c>
    </row>
    <row r="1328" spans="26:69" hidden="1" x14ac:dyDescent="0.25">
      <c r="Z1328" s="7" t="s">
        <v>683</v>
      </c>
      <c r="AA1328" s="1">
        <v>0.2</v>
      </c>
      <c r="AI1328" s="7" t="s">
        <v>688</v>
      </c>
      <c r="AJ1328" s="40">
        <v>1</v>
      </c>
      <c r="AL1328" s="7" t="s">
        <v>689</v>
      </c>
      <c r="AM1328" s="27">
        <v>2</v>
      </c>
      <c r="AW1328" s="7" t="s">
        <v>816</v>
      </c>
      <c r="AX1328" s="27">
        <v>126</v>
      </c>
      <c r="BC1328" s="7" t="s">
        <v>758</v>
      </c>
      <c r="BD1328" s="27">
        <v>148</v>
      </c>
      <c r="BJ1328" s="7" t="s">
        <v>692</v>
      </c>
      <c r="BK1328" s="40">
        <v>31</v>
      </c>
      <c r="BL1328" s="40">
        <v>170</v>
      </c>
      <c r="BN1328" t="str">
        <f t="shared" si="111"/>
        <v>Favo</v>
      </c>
      <c r="BO1328">
        <f t="shared" si="108"/>
        <v>599</v>
      </c>
      <c r="BP1328">
        <f t="shared" si="109"/>
        <v>176</v>
      </c>
      <c r="BQ1328">
        <f t="shared" si="110"/>
        <v>775</v>
      </c>
    </row>
    <row r="1329" spans="26:69" hidden="1" x14ac:dyDescent="0.25">
      <c r="Z1329" s="7" t="s">
        <v>684</v>
      </c>
      <c r="AA1329" s="1">
        <v>0.4</v>
      </c>
      <c r="AI1329" s="7" t="s">
        <v>689</v>
      </c>
      <c r="AJ1329" s="40">
        <v>2</v>
      </c>
      <c r="AL1329" s="7" t="s">
        <v>690</v>
      </c>
      <c r="AM1329" s="27">
        <v>1</v>
      </c>
      <c r="AW1329" s="7" t="s">
        <v>817</v>
      </c>
      <c r="AX1329" s="27">
        <v>467</v>
      </c>
      <c r="BC1329" s="7" t="s">
        <v>759</v>
      </c>
      <c r="BD1329" s="27">
        <v>1269</v>
      </c>
      <c r="BJ1329" s="7" t="s">
        <v>693</v>
      </c>
      <c r="BK1329" s="40">
        <v>81</v>
      </c>
      <c r="BL1329" s="40">
        <v>0</v>
      </c>
      <c r="BN1329" t="str">
        <f t="shared" si="111"/>
        <v>Faze Medicines</v>
      </c>
      <c r="BO1329">
        <f t="shared" si="108"/>
        <v>472</v>
      </c>
      <c r="BP1329">
        <f t="shared" si="109"/>
        <v>683</v>
      </c>
      <c r="BQ1329">
        <f t="shared" si="110"/>
        <v>1155</v>
      </c>
    </row>
    <row r="1330" spans="26:69" hidden="1" x14ac:dyDescent="0.25">
      <c r="Z1330" s="7" t="s">
        <v>685</v>
      </c>
      <c r="AA1330" s="1">
        <v>0.3</v>
      </c>
      <c r="AI1330" s="7" t="s">
        <v>690</v>
      </c>
      <c r="AJ1330" s="40">
        <v>1</v>
      </c>
      <c r="AL1330" s="7" t="s">
        <v>691</v>
      </c>
      <c r="AM1330" s="27">
        <v>1</v>
      </c>
      <c r="AW1330" s="7" t="s">
        <v>820</v>
      </c>
      <c r="AX1330" s="27">
        <v>158</v>
      </c>
      <c r="BC1330" s="7" t="s">
        <v>761</v>
      </c>
      <c r="BD1330" s="27">
        <v>120</v>
      </c>
      <c r="BJ1330" s="7" t="s">
        <v>694</v>
      </c>
      <c r="BK1330" s="40">
        <v>35</v>
      </c>
      <c r="BL1330" s="40">
        <v>100</v>
      </c>
      <c r="BN1330" t="str">
        <f t="shared" si="111"/>
        <v>Fifth Season</v>
      </c>
      <c r="BO1330">
        <f t="shared" si="108"/>
        <v>588</v>
      </c>
      <c r="BP1330">
        <f t="shared" si="109"/>
        <v>254</v>
      </c>
      <c r="BQ1330">
        <f t="shared" si="110"/>
        <v>842</v>
      </c>
    </row>
    <row r="1331" spans="26:69" hidden="1" x14ac:dyDescent="0.25">
      <c r="Z1331" s="7" t="s">
        <v>686</v>
      </c>
      <c r="AA1331" s="1">
        <v>7.0000000000000007E-2</v>
      </c>
      <c r="AI1331" s="7" t="s">
        <v>691</v>
      </c>
      <c r="AJ1331" s="40">
        <v>1</v>
      </c>
      <c r="AL1331" s="7" t="s">
        <v>692</v>
      </c>
      <c r="AM1331" s="27">
        <v>1</v>
      </c>
      <c r="AW1331" s="7" t="s">
        <v>821</v>
      </c>
      <c r="AX1331" s="27">
        <v>60</v>
      </c>
      <c r="BC1331" s="7" t="s">
        <v>762</v>
      </c>
      <c r="BD1331" s="27">
        <v>1351</v>
      </c>
      <c r="BJ1331" s="7" t="s">
        <v>695</v>
      </c>
      <c r="BK1331" s="40">
        <v>30</v>
      </c>
      <c r="BL1331" s="40">
        <v>0</v>
      </c>
      <c r="BN1331" t="str">
        <f t="shared" si="111"/>
        <v>Finder</v>
      </c>
      <c r="BO1331">
        <f t="shared" si="108"/>
        <v>601</v>
      </c>
      <c r="BP1331">
        <f t="shared" si="109"/>
        <v>683</v>
      </c>
      <c r="BQ1331">
        <f t="shared" si="110"/>
        <v>1284</v>
      </c>
    </row>
    <row r="1332" spans="26:69" hidden="1" x14ac:dyDescent="0.25">
      <c r="Z1332" s="7" t="s">
        <v>687</v>
      </c>
      <c r="AA1332" s="1">
        <v>0.14000000000000001</v>
      </c>
      <c r="AI1332" s="7" t="s">
        <v>692</v>
      </c>
      <c r="AJ1332" s="40">
        <v>1</v>
      </c>
      <c r="AL1332" s="7" t="s">
        <v>693</v>
      </c>
      <c r="AM1332" s="27">
        <v>1</v>
      </c>
      <c r="AW1332" s="7" t="s">
        <v>822</v>
      </c>
      <c r="AX1332" s="27">
        <v>58</v>
      </c>
      <c r="BC1332" s="7" t="s">
        <v>763</v>
      </c>
      <c r="BD1332" s="27">
        <v>3600</v>
      </c>
      <c r="BJ1332" s="7" t="s">
        <v>696</v>
      </c>
      <c r="BK1332" s="40">
        <v>49</v>
      </c>
      <c r="BL1332" s="40">
        <v>16</v>
      </c>
      <c r="BN1332" t="str">
        <f t="shared" si="111"/>
        <v>Finite State</v>
      </c>
      <c r="BO1332">
        <f t="shared" si="108"/>
        <v>546</v>
      </c>
      <c r="BP1332">
        <f t="shared" si="109"/>
        <v>617</v>
      </c>
      <c r="BQ1332">
        <f t="shared" si="110"/>
        <v>1163</v>
      </c>
    </row>
    <row r="1333" spans="26:69" hidden="1" x14ac:dyDescent="0.25">
      <c r="Z1333" s="7" t="s">
        <v>688</v>
      </c>
      <c r="AA1333" s="1">
        <v>0</v>
      </c>
      <c r="AI1333" s="7" t="s">
        <v>693</v>
      </c>
      <c r="AJ1333" s="40">
        <v>1</v>
      </c>
      <c r="AL1333" s="7" t="s">
        <v>694</v>
      </c>
      <c r="AM1333" s="27">
        <v>1</v>
      </c>
      <c r="AW1333" s="7" t="s">
        <v>823</v>
      </c>
      <c r="AX1333" s="27">
        <v>69</v>
      </c>
      <c r="BC1333" s="7" t="s">
        <v>766</v>
      </c>
      <c r="BD1333" s="27">
        <v>16</v>
      </c>
      <c r="BJ1333" s="7" t="s">
        <v>697</v>
      </c>
      <c r="BK1333" s="40">
        <v>22</v>
      </c>
      <c r="BL1333" s="40">
        <v>14</v>
      </c>
      <c r="BN1333" t="str">
        <f t="shared" si="111"/>
        <v>Finleap Connect</v>
      </c>
      <c r="BO1333">
        <f t="shared" si="108"/>
        <v>632</v>
      </c>
      <c r="BP1333">
        <f t="shared" si="109"/>
        <v>631</v>
      </c>
      <c r="BQ1333">
        <f t="shared" si="110"/>
        <v>1263</v>
      </c>
    </row>
    <row r="1334" spans="26:69" hidden="1" x14ac:dyDescent="0.25">
      <c r="Z1334" s="7" t="s">
        <v>689</v>
      </c>
      <c r="AA1334" s="1">
        <v>0.3</v>
      </c>
      <c r="AI1334" s="7" t="s">
        <v>694</v>
      </c>
      <c r="AJ1334" s="40">
        <v>1</v>
      </c>
      <c r="AL1334" s="7" t="s">
        <v>695</v>
      </c>
      <c r="AM1334" s="27">
        <v>1</v>
      </c>
      <c r="AW1334" s="7" t="s">
        <v>825</v>
      </c>
      <c r="AX1334" s="27">
        <v>5</v>
      </c>
      <c r="BC1334" s="7" t="s">
        <v>767</v>
      </c>
      <c r="BD1334" s="27">
        <v>49</v>
      </c>
      <c r="BJ1334" s="7" t="s">
        <v>699</v>
      </c>
      <c r="BK1334" s="40">
        <v>9</v>
      </c>
      <c r="BL1334" s="40">
        <v>0</v>
      </c>
      <c r="BN1334" t="str">
        <f t="shared" si="111"/>
        <v>Fipola</v>
      </c>
      <c r="BO1334">
        <f t="shared" si="108"/>
        <v>692</v>
      </c>
      <c r="BP1334">
        <f t="shared" si="109"/>
        <v>683</v>
      </c>
      <c r="BQ1334">
        <f t="shared" si="110"/>
        <v>1375</v>
      </c>
    </row>
    <row r="1335" spans="26:69" hidden="1" x14ac:dyDescent="0.25">
      <c r="Z1335" s="7" t="s">
        <v>690</v>
      </c>
      <c r="AA1335" s="1">
        <v>1</v>
      </c>
      <c r="AI1335" s="7" t="s">
        <v>695</v>
      </c>
      <c r="AJ1335" s="40">
        <v>1</v>
      </c>
      <c r="AL1335" s="7" t="s">
        <v>696</v>
      </c>
      <c r="AM1335" s="27">
        <v>1</v>
      </c>
      <c r="AW1335" s="7" t="s">
        <v>826</v>
      </c>
      <c r="AX1335" s="27">
        <v>50</v>
      </c>
      <c r="BC1335" s="7" t="s">
        <v>768</v>
      </c>
      <c r="BD1335" s="27">
        <v>656</v>
      </c>
      <c r="BJ1335" s="7" t="s">
        <v>700</v>
      </c>
      <c r="BK1335" s="40">
        <v>1000</v>
      </c>
      <c r="BL1335" s="40">
        <v>30</v>
      </c>
      <c r="BN1335" t="str">
        <f t="shared" si="111"/>
        <v>Fireblocks</v>
      </c>
      <c r="BO1335">
        <f t="shared" si="108"/>
        <v>88</v>
      </c>
      <c r="BP1335">
        <f t="shared" si="109"/>
        <v>512</v>
      </c>
      <c r="BQ1335">
        <f t="shared" si="110"/>
        <v>600</v>
      </c>
    </row>
    <row r="1336" spans="26:69" hidden="1" x14ac:dyDescent="0.25">
      <c r="Z1336" s="7" t="s">
        <v>691</v>
      </c>
      <c r="AA1336" s="1">
        <v>0.56999999999999995</v>
      </c>
      <c r="AI1336" s="7" t="s">
        <v>696</v>
      </c>
      <c r="AJ1336" s="40">
        <v>1</v>
      </c>
      <c r="AL1336" s="7" t="s">
        <v>697</v>
      </c>
      <c r="AM1336" s="27">
        <v>1</v>
      </c>
      <c r="AW1336" s="7" t="s">
        <v>827</v>
      </c>
      <c r="AX1336" s="27">
        <v>149</v>
      </c>
      <c r="BC1336" s="7" t="s">
        <v>769</v>
      </c>
      <c r="BD1336" s="27">
        <v>350</v>
      </c>
      <c r="BJ1336" s="7" t="s">
        <v>701</v>
      </c>
      <c r="BK1336" s="40">
        <v>269</v>
      </c>
      <c r="BL1336" s="40">
        <v>0</v>
      </c>
      <c r="BN1336" t="str">
        <f t="shared" si="111"/>
        <v>Firework</v>
      </c>
      <c r="BO1336">
        <f t="shared" si="108"/>
        <v>267</v>
      </c>
      <c r="BP1336">
        <f t="shared" si="109"/>
        <v>683</v>
      </c>
      <c r="BQ1336">
        <f t="shared" si="110"/>
        <v>950</v>
      </c>
    </row>
    <row r="1337" spans="26:69" hidden="1" x14ac:dyDescent="0.25">
      <c r="Z1337" s="7" t="s">
        <v>692</v>
      </c>
      <c r="AA1337" s="1">
        <v>0</v>
      </c>
      <c r="AI1337" s="7" t="s">
        <v>697</v>
      </c>
      <c r="AJ1337" s="40">
        <v>1</v>
      </c>
      <c r="AL1337" s="7" t="s">
        <v>699</v>
      </c>
      <c r="AM1337" s="27">
        <v>1</v>
      </c>
      <c r="AW1337" s="7" t="s">
        <v>828</v>
      </c>
      <c r="AX1337" s="27">
        <v>150</v>
      </c>
      <c r="BC1337" s="7" t="s">
        <v>770</v>
      </c>
      <c r="BD1337" s="27">
        <v>413</v>
      </c>
      <c r="BJ1337" s="7" t="s">
        <v>702</v>
      </c>
      <c r="BK1337" s="40">
        <v>50</v>
      </c>
      <c r="BL1337" s="40">
        <v>30</v>
      </c>
      <c r="BN1337" t="str">
        <f t="shared" si="111"/>
        <v>FiscalNote</v>
      </c>
      <c r="BO1337">
        <f t="shared" si="108"/>
        <v>542</v>
      </c>
      <c r="BP1337">
        <f t="shared" si="109"/>
        <v>512</v>
      </c>
      <c r="BQ1337">
        <f t="shared" si="110"/>
        <v>1054</v>
      </c>
    </row>
    <row r="1338" spans="26:69" hidden="1" x14ac:dyDescent="0.25">
      <c r="Z1338" s="7" t="s">
        <v>693</v>
      </c>
      <c r="AA1338" s="1">
        <v>1</v>
      </c>
      <c r="AI1338" s="7" t="s">
        <v>699</v>
      </c>
      <c r="AJ1338" s="40">
        <v>1</v>
      </c>
      <c r="AL1338" s="7" t="s">
        <v>700</v>
      </c>
      <c r="AM1338" s="27">
        <v>1</v>
      </c>
      <c r="AW1338" s="7" t="s">
        <v>829</v>
      </c>
      <c r="AX1338" s="27">
        <v>18</v>
      </c>
      <c r="BC1338" s="7" t="s">
        <v>771</v>
      </c>
      <c r="BD1338" s="27">
        <v>41</v>
      </c>
      <c r="BJ1338" s="7" t="s">
        <v>703</v>
      </c>
      <c r="BK1338" s="40">
        <v>13</v>
      </c>
      <c r="BL1338" s="40">
        <v>30</v>
      </c>
      <c r="BN1338" t="str">
        <f t="shared" si="111"/>
        <v>Fittr</v>
      </c>
      <c r="BO1338">
        <f t="shared" si="108"/>
        <v>675</v>
      </c>
      <c r="BP1338">
        <f t="shared" si="109"/>
        <v>512</v>
      </c>
      <c r="BQ1338">
        <f t="shared" si="110"/>
        <v>1187</v>
      </c>
    </row>
    <row r="1339" spans="26:69" hidden="1" x14ac:dyDescent="0.25">
      <c r="Z1339" s="7" t="s">
        <v>694</v>
      </c>
      <c r="AA1339" s="1">
        <v>1</v>
      </c>
      <c r="AI1339" s="7" t="s">
        <v>700</v>
      </c>
      <c r="AJ1339" s="40">
        <v>1</v>
      </c>
      <c r="AL1339" s="7" t="s">
        <v>701</v>
      </c>
      <c r="AM1339" s="27">
        <v>1</v>
      </c>
      <c r="AW1339" s="7" t="s">
        <v>830</v>
      </c>
      <c r="AX1339" s="27">
        <v>12</v>
      </c>
      <c r="BC1339" s="7" t="s">
        <v>773</v>
      </c>
      <c r="BD1339" s="27">
        <v>204</v>
      </c>
      <c r="BJ1339" s="7" t="s">
        <v>705</v>
      </c>
      <c r="BK1339" s="40">
        <v>111</v>
      </c>
      <c r="BL1339" s="40">
        <v>60</v>
      </c>
      <c r="BN1339" t="str">
        <f t="shared" si="111"/>
        <v>Fiverr</v>
      </c>
      <c r="BO1339">
        <f t="shared" si="108"/>
        <v>421</v>
      </c>
      <c r="BP1339">
        <f t="shared" si="109"/>
        <v>378</v>
      </c>
      <c r="BQ1339">
        <f t="shared" si="110"/>
        <v>799</v>
      </c>
    </row>
    <row r="1340" spans="26:69" hidden="1" x14ac:dyDescent="0.25">
      <c r="Z1340" s="7" t="s">
        <v>695</v>
      </c>
      <c r="AA1340" s="1">
        <v>0.15</v>
      </c>
      <c r="AI1340" s="7" t="s">
        <v>701</v>
      </c>
      <c r="AJ1340" s="40">
        <v>1</v>
      </c>
      <c r="AL1340" s="7" t="s">
        <v>702</v>
      </c>
      <c r="AM1340" s="27">
        <v>1</v>
      </c>
      <c r="AW1340" s="7" t="s">
        <v>831</v>
      </c>
      <c r="AX1340" s="27">
        <v>611</v>
      </c>
      <c r="BC1340" s="7" t="s">
        <v>774</v>
      </c>
      <c r="BD1340" s="27">
        <v>82</v>
      </c>
      <c r="BJ1340" s="7" t="s">
        <v>706</v>
      </c>
      <c r="BK1340" s="40">
        <v>0</v>
      </c>
      <c r="BL1340" s="40">
        <v>0</v>
      </c>
      <c r="BN1340" t="str">
        <f t="shared" si="111"/>
        <v>Fivetran</v>
      </c>
      <c r="BO1340">
        <f t="shared" si="108"/>
        <v>742</v>
      </c>
      <c r="BP1340">
        <f t="shared" si="109"/>
        <v>683</v>
      </c>
      <c r="BQ1340">
        <f t="shared" si="110"/>
        <v>1425</v>
      </c>
    </row>
    <row r="1341" spans="26:69" hidden="1" x14ac:dyDescent="0.25">
      <c r="Z1341" s="7" t="s">
        <v>696</v>
      </c>
      <c r="AA1341" s="1">
        <v>0.2</v>
      </c>
      <c r="AI1341" s="7" t="s">
        <v>702</v>
      </c>
      <c r="AJ1341" s="40">
        <v>1</v>
      </c>
      <c r="AL1341" s="7" t="s">
        <v>703</v>
      </c>
      <c r="AM1341" s="27">
        <v>1</v>
      </c>
      <c r="AW1341" s="7" t="s">
        <v>832</v>
      </c>
      <c r="AX1341" s="27">
        <v>16</v>
      </c>
      <c r="BC1341" s="7" t="s">
        <v>775</v>
      </c>
      <c r="BD1341" s="27">
        <v>30</v>
      </c>
      <c r="BJ1341" s="7" t="s">
        <v>707</v>
      </c>
      <c r="BK1341" s="40">
        <v>15</v>
      </c>
      <c r="BL1341" s="40">
        <v>100</v>
      </c>
      <c r="BN1341" t="str">
        <f t="shared" si="111"/>
        <v>Flatiron School</v>
      </c>
      <c r="BO1341">
        <f t="shared" si="108"/>
        <v>667</v>
      </c>
      <c r="BP1341">
        <f t="shared" si="109"/>
        <v>254</v>
      </c>
      <c r="BQ1341">
        <f t="shared" si="110"/>
        <v>921</v>
      </c>
    </row>
    <row r="1342" spans="26:69" hidden="1" x14ac:dyDescent="0.25">
      <c r="Z1342" s="7" t="s">
        <v>697</v>
      </c>
      <c r="AA1342" s="1">
        <v>0.1</v>
      </c>
      <c r="AI1342" s="7" t="s">
        <v>703</v>
      </c>
      <c r="AJ1342" s="40">
        <v>1</v>
      </c>
      <c r="AL1342" s="7" t="s">
        <v>705</v>
      </c>
      <c r="AM1342" s="27">
        <v>1</v>
      </c>
      <c r="AW1342" s="7" t="s">
        <v>833</v>
      </c>
      <c r="AX1342" s="27">
        <v>10</v>
      </c>
      <c r="BC1342" s="7" t="s">
        <v>777</v>
      </c>
      <c r="BD1342" s="27">
        <v>718</v>
      </c>
      <c r="BJ1342" s="7" t="s">
        <v>708</v>
      </c>
      <c r="BK1342" s="40">
        <v>2400</v>
      </c>
      <c r="BL1342" s="40">
        <v>640</v>
      </c>
      <c r="BN1342" t="str">
        <f t="shared" si="111"/>
        <v>Flexport</v>
      </c>
      <c r="BO1342">
        <f t="shared" si="108"/>
        <v>30</v>
      </c>
      <c r="BP1342">
        <f t="shared" si="109"/>
        <v>52</v>
      </c>
      <c r="BQ1342">
        <f t="shared" si="110"/>
        <v>82</v>
      </c>
    </row>
    <row r="1343" spans="26:69" hidden="1" x14ac:dyDescent="0.25">
      <c r="Z1343" s="7" t="s">
        <v>699</v>
      </c>
      <c r="AA1343" s="1">
        <v>1</v>
      </c>
      <c r="AI1343" s="7" t="s">
        <v>705</v>
      </c>
      <c r="AJ1343" s="40">
        <v>1</v>
      </c>
      <c r="AL1343" s="7" t="s">
        <v>706</v>
      </c>
      <c r="AM1343" s="27">
        <v>1</v>
      </c>
      <c r="AW1343" s="7" t="s">
        <v>834</v>
      </c>
      <c r="AX1343" s="27">
        <v>24</v>
      </c>
      <c r="BC1343" s="7" t="s">
        <v>778</v>
      </c>
      <c r="BD1343" s="27">
        <v>1200</v>
      </c>
      <c r="BJ1343" s="7" t="s">
        <v>709</v>
      </c>
      <c r="BK1343" s="40">
        <v>235</v>
      </c>
      <c r="BL1343" s="40">
        <v>24</v>
      </c>
      <c r="BN1343" t="str">
        <f t="shared" si="111"/>
        <v>Flipboard</v>
      </c>
      <c r="BO1343">
        <f t="shared" si="108"/>
        <v>291</v>
      </c>
      <c r="BP1343">
        <f t="shared" si="109"/>
        <v>564</v>
      </c>
      <c r="BQ1343">
        <f t="shared" si="110"/>
        <v>855</v>
      </c>
    </row>
    <row r="1344" spans="26:69" hidden="1" x14ac:dyDescent="0.25">
      <c r="Z1344" s="7" t="s">
        <v>700</v>
      </c>
      <c r="AA1344" s="1">
        <v>0.05</v>
      </c>
      <c r="AI1344" s="7" t="s">
        <v>706</v>
      </c>
      <c r="AJ1344" s="40">
        <v>1</v>
      </c>
      <c r="AL1344" s="7" t="s">
        <v>707</v>
      </c>
      <c r="AM1344" s="27">
        <v>1</v>
      </c>
      <c r="AW1344" s="7" t="s">
        <v>835</v>
      </c>
      <c r="AX1344" s="27">
        <v>73</v>
      </c>
      <c r="BC1344" s="7" t="s">
        <v>781</v>
      </c>
      <c r="BD1344" s="27">
        <v>97</v>
      </c>
      <c r="BJ1344" s="7" t="s">
        <v>710</v>
      </c>
      <c r="BK1344" s="40">
        <v>14</v>
      </c>
      <c r="BL1344" s="40">
        <v>37</v>
      </c>
      <c r="BN1344" t="str">
        <f t="shared" si="111"/>
        <v>Flockjay</v>
      </c>
      <c r="BO1344">
        <f t="shared" si="108"/>
        <v>671</v>
      </c>
      <c r="BP1344">
        <f t="shared" si="109"/>
        <v>488</v>
      </c>
      <c r="BQ1344">
        <f t="shared" si="110"/>
        <v>1159</v>
      </c>
    </row>
    <row r="1345" spans="26:69" hidden="1" x14ac:dyDescent="0.25">
      <c r="Z1345" s="7" t="s">
        <v>701</v>
      </c>
      <c r="AA1345" s="1">
        <v>0.1</v>
      </c>
      <c r="AI1345" s="7" t="s">
        <v>707</v>
      </c>
      <c r="AJ1345" s="40">
        <v>1</v>
      </c>
      <c r="AL1345" s="7" t="s">
        <v>708</v>
      </c>
      <c r="AM1345" s="27">
        <v>1</v>
      </c>
      <c r="AW1345" s="7" t="s">
        <v>836</v>
      </c>
      <c r="AX1345" s="27">
        <v>70</v>
      </c>
      <c r="BC1345" s="7" t="s">
        <v>782</v>
      </c>
      <c r="BD1345" s="27">
        <v>178</v>
      </c>
      <c r="BJ1345" s="7" t="s">
        <v>711</v>
      </c>
      <c r="BK1345" s="40">
        <v>45</v>
      </c>
      <c r="BL1345" s="40">
        <v>0</v>
      </c>
      <c r="BN1345" t="str">
        <f t="shared" si="111"/>
        <v>Flowhub</v>
      </c>
      <c r="BO1345">
        <f t="shared" si="108"/>
        <v>556</v>
      </c>
      <c r="BP1345">
        <f t="shared" si="109"/>
        <v>683</v>
      </c>
      <c r="BQ1345">
        <f t="shared" si="110"/>
        <v>1239</v>
      </c>
    </row>
    <row r="1346" spans="26:69" hidden="1" x14ac:dyDescent="0.25">
      <c r="Z1346" s="7" t="s">
        <v>702</v>
      </c>
      <c r="AA1346" s="1">
        <v>0</v>
      </c>
      <c r="AI1346" s="7" t="s">
        <v>708</v>
      </c>
      <c r="AJ1346" s="40">
        <v>1</v>
      </c>
      <c r="AL1346" s="7" t="s">
        <v>709</v>
      </c>
      <c r="AM1346" s="27">
        <v>1</v>
      </c>
      <c r="AW1346" s="7" t="s">
        <v>837</v>
      </c>
      <c r="AX1346" s="27">
        <v>25</v>
      </c>
      <c r="BC1346" s="7" t="s">
        <v>783</v>
      </c>
      <c r="BD1346" s="27">
        <v>800</v>
      </c>
      <c r="BJ1346" s="7" t="s">
        <v>712</v>
      </c>
      <c r="BK1346" s="40">
        <v>0</v>
      </c>
      <c r="BL1346" s="40">
        <v>0</v>
      </c>
      <c r="BN1346" t="str">
        <f t="shared" si="111"/>
        <v>Flowr</v>
      </c>
      <c r="BO1346">
        <f t="shared" si="108"/>
        <v>742</v>
      </c>
      <c r="BP1346">
        <f t="shared" si="109"/>
        <v>683</v>
      </c>
      <c r="BQ1346">
        <f t="shared" si="110"/>
        <v>1425</v>
      </c>
    </row>
    <row r="1347" spans="26:69" hidden="1" x14ac:dyDescent="0.25">
      <c r="Z1347" s="7" t="s">
        <v>703</v>
      </c>
      <c r="AA1347" s="1">
        <v>0.11</v>
      </c>
      <c r="AI1347" s="7" t="s">
        <v>709</v>
      </c>
      <c r="AJ1347" s="40">
        <v>1</v>
      </c>
      <c r="AL1347" s="7" t="s">
        <v>710</v>
      </c>
      <c r="AM1347" s="27">
        <v>1</v>
      </c>
      <c r="AW1347" s="7" t="s">
        <v>838</v>
      </c>
      <c r="AX1347" s="27">
        <v>51</v>
      </c>
      <c r="BC1347" s="7" t="s">
        <v>785</v>
      </c>
      <c r="BD1347" s="27">
        <v>75</v>
      </c>
      <c r="BJ1347" s="7" t="s">
        <v>713</v>
      </c>
      <c r="BK1347" s="40">
        <v>0</v>
      </c>
      <c r="BL1347" s="40">
        <v>83</v>
      </c>
      <c r="BN1347" t="str">
        <f t="shared" si="111"/>
        <v>Fluke</v>
      </c>
      <c r="BO1347">
        <f t="shared" si="108"/>
        <v>742</v>
      </c>
      <c r="BP1347">
        <f t="shared" si="109"/>
        <v>319</v>
      </c>
      <c r="BQ1347">
        <f t="shared" si="110"/>
        <v>1061</v>
      </c>
    </row>
    <row r="1348" spans="26:69" hidden="1" x14ac:dyDescent="0.25">
      <c r="Z1348" s="7" t="s">
        <v>705</v>
      </c>
      <c r="AA1348" s="1">
        <v>0.08</v>
      </c>
      <c r="AI1348" s="7" t="s">
        <v>710</v>
      </c>
      <c r="AJ1348" s="40">
        <v>1</v>
      </c>
      <c r="AL1348" s="7" t="s">
        <v>711</v>
      </c>
      <c r="AM1348" s="27">
        <v>1</v>
      </c>
      <c r="AW1348" s="7" t="s">
        <v>839</v>
      </c>
      <c r="AX1348" s="27">
        <v>100</v>
      </c>
      <c r="BC1348" s="7" t="s">
        <v>786</v>
      </c>
      <c r="BD1348" s="27">
        <v>4800</v>
      </c>
      <c r="BJ1348" s="7" t="s">
        <v>714</v>
      </c>
      <c r="BK1348" s="40">
        <v>9</v>
      </c>
      <c r="BL1348" s="40">
        <v>0</v>
      </c>
      <c r="BN1348" t="str">
        <f t="shared" si="111"/>
        <v>Flux Systems</v>
      </c>
      <c r="BO1348">
        <f t="shared" si="108"/>
        <v>692</v>
      </c>
      <c r="BP1348">
        <f t="shared" si="109"/>
        <v>683</v>
      </c>
      <c r="BQ1348">
        <f t="shared" si="110"/>
        <v>1375</v>
      </c>
    </row>
    <row r="1349" spans="26:69" hidden="1" x14ac:dyDescent="0.25">
      <c r="Z1349" s="7" t="s">
        <v>706</v>
      </c>
      <c r="AA1349" s="1">
        <v>0.05</v>
      </c>
      <c r="AI1349" s="7" t="s">
        <v>711</v>
      </c>
      <c r="AJ1349" s="40">
        <v>1</v>
      </c>
      <c r="AL1349" s="7" t="s">
        <v>712</v>
      </c>
      <c r="AM1349" s="27">
        <v>1</v>
      </c>
      <c r="AW1349" s="7" t="s">
        <v>841</v>
      </c>
      <c r="AX1349" s="27">
        <v>70</v>
      </c>
      <c r="BC1349" s="7" t="s">
        <v>787</v>
      </c>
      <c r="BD1349" s="27">
        <v>24</v>
      </c>
      <c r="BJ1349" s="7" t="s">
        <v>715</v>
      </c>
      <c r="BK1349" s="40">
        <v>620</v>
      </c>
      <c r="BL1349" s="40">
        <v>500</v>
      </c>
      <c r="BN1349" t="str">
        <f t="shared" si="111"/>
        <v>Flyhomes</v>
      </c>
      <c r="BO1349">
        <f t="shared" si="108"/>
        <v>137</v>
      </c>
      <c r="BP1349">
        <f t="shared" si="109"/>
        <v>66</v>
      </c>
      <c r="BQ1349">
        <f t="shared" si="110"/>
        <v>203</v>
      </c>
    </row>
    <row r="1350" spans="26:69" hidden="1" x14ac:dyDescent="0.25">
      <c r="Z1350" s="7" t="s">
        <v>707</v>
      </c>
      <c r="AA1350" s="1">
        <v>0</v>
      </c>
      <c r="AI1350" s="7" t="s">
        <v>712</v>
      </c>
      <c r="AJ1350" s="40">
        <v>1</v>
      </c>
      <c r="AL1350" s="7" t="s">
        <v>713</v>
      </c>
      <c r="AM1350" s="27">
        <v>1</v>
      </c>
      <c r="AW1350" s="7" t="s">
        <v>842</v>
      </c>
      <c r="AX1350" s="27">
        <v>200</v>
      </c>
      <c r="BC1350" s="7" t="s">
        <v>788</v>
      </c>
      <c r="BD1350" s="27">
        <v>54</v>
      </c>
      <c r="BJ1350" s="7" t="s">
        <v>716</v>
      </c>
      <c r="BK1350" s="40">
        <v>0</v>
      </c>
      <c r="BL1350" s="40">
        <v>200</v>
      </c>
      <c r="BN1350" t="str">
        <f t="shared" si="111"/>
        <v>Flymya</v>
      </c>
      <c r="BO1350">
        <f t="shared" si="108"/>
        <v>742</v>
      </c>
      <c r="BP1350">
        <f t="shared" si="109"/>
        <v>147</v>
      </c>
      <c r="BQ1350">
        <f t="shared" si="110"/>
        <v>889</v>
      </c>
    </row>
    <row r="1351" spans="26:69" hidden="1" x14ac:dyDescent="0.25">
      <c r="Z1351" s="7" t="s">
        <v>708</v>
      </c>
      <c r="AA1351" s="1">
        <v>0.2</v>
      </c>
      <c r="AI1351" s="7" t="s">
        <v>713</v>
      </c>
      <c r="AJ1351" s="40">
        <v>1</v>
      </c>
      <c r="AL1351" s="7" t="s">
        <v>714</v>
      </c>
      <c r="AM1351" s="27">
        <v>1</v>
      </c>
      <c r="AW1351" s="7" t="s">
        <v>843</v>
      </c>
      <c r="AX1351" s="27">
        <v>36</v>
      </c>
      <c r="BC1351" s="7" t="s">
        <v>789</v>
      </c>
      <c r="BD1351" s="27">
        <v>583</v>
      </c>
      <c r="BJ1351" s="7" t="s">
        <v>719</v>
      </c>
      <c r="BK1351" s="40">
        <v>4</v>
      </c>
      <c r="BL1351" s="40">
        <v>4</v>
      </c>
      <c r="BN1351" t="str">
        <f t="shared" si="111"/>
        <v>Flytedesk</v>
      </c>
      <c r="BO1351">
        <f t="shared" si="108"/>
        <v>713</v>
      </c>
      <c r="BP1351">
        <f t="shared" si="109"/>
        <v>681</v>
      </c>
      <c r="BQ1351">
        <f t="shared" si="110"/>
        <v>1394</v>
      </c>
    </row>
    <row r="1352" spans="26:69" hidden="1" x14ac:dyDescent="0.25">
      <c r="Z1352" s="7" t="s">
        <v>709</v>
      </c>
      <c r="AA1352" s="1">
        <v>0.21</v>
      </c>
      <c r="AI1352" s="7" t="s">
        <v>714</v>
      </c>
      <c r="AJ1352" s="40">
        <v>1</v>
      </c>
      <c r="AL1352" s="7" t="s">
        <v>715</v>
      </c>
      <c r="AM1352" s="27">
        <v>2</v>
      </c>
      <c r="AW1352" s="7" t="s">
        <v>844</v>
      </c>
      <c r="AX1352" s="27">
        <v>40</v>
      </c>
      <c r="BC1352" s="7" t="s">
        <v>791</v>
      </c>
      <c r="BD1352" s="27">
        <v>16</v>
      </c>
      <c r="BJ1352" s="7" t="s">
        <v>720</v>
      </c>
      <c r="BK1352" s="40">
        <v>120</v>
      </c>
      <c r="BL1352" s="40">
        <v>784</v>
      </c>
      <c r="BN1352" t="str">
        <f t="shared" si="111"/>
        <v>Flywheel Sports</v>
      </c>
      <c r="BO1352">
        <f t="shared" si="108"/>
        <v>407</v>
      </c>
      <c r="BP1352">
        <f t="shared" si="109"/>
        <v>43</v>
      </c>
      <c r="BQ1352">
        <f t="shared" si="110"/>
        <v>450</v>
      </c>
    </row>
    <row r="1353" spans="26:69" hidden="1" x14ac:dyDescent="0.25">
      <c r="Z1353" s="7" t="s">
        <v>710</v>
      </c>
      <c r="AA1353" s="1">
        <v>0.5</v>
      </c>
      <c r="AI1353" s="7" t="s">
        <v>715</v>
      </c>
      <c r="AJ1353" s="40">
        <v>2</v>
      </c>
      <c r="AL1353" s="7" t="s">
        <v>716</v>
      </c>
      <c r="AM1353" s="27">
        <v>1</v>
      </c>
      <c r="AW1353" s="7" t="s">
        <v>845</v>
      </c>
      <c r="AX1353" s="27">
        <v>80</v>
      </c>
      <c r="BC1353" s="7" t="s">
        <v>792</v>
      </c>
      <c r="BD1353" s="27">
        <v>6</v>
      </c>
      <c r="BJ1353" s="7" t="s">
        <v>721</v>
      </c>
      <c r="BK1353" s="40">
        <v>263</v>
      </c>
      <c r="BL1353" s="40">
        <v>60</v>
      </c>
      <c r="BN1353" t="str">
        <f t="shared" si="111"/>
        <v>Flywire</v>
      </c>
      <c r="BO1353">
        <f t="shared" ref="BO1353:BO1416" si="112">RANK($BK$839:$BK$1662,$BK$839:$BK$1662,0)</f>
        <v>269</v>
      </c>
      <c r="BP1353">
        <f t="shared" ref="BP1353:BP1416" si="113">RANK($BL$840:$BL$1662,$BL$840:$BL$1662,0)</f>
        <v>378</v>
      </c>
      <c r="BQ1353">
        <f t="shared" ref="BQ1353:BQ1416" si="114">BO1353+BP1353</f>
        <v>647</v>
      </c>
    </row>
    <row r="1354" spans="26:69" hidden="1" x14ac:dyDescent="0.25">
      <c r="Z1354" s="7" t="s">
        <v>711</v>
      </c>
      <c r="AA1354" s="1">
        <v>0.15</v>
      </c>
      <c r="AI1354" s="7" t="s">
        <v>716</v>
      </c>
      <c r="AJ1354" s="40">
        <v>1</v>
      </c>
      <c r="AL1354" s="7" t="s">
        <v>719</v>
      </c>
      <c r="AM1354" s="27">
        <v>1</v>
      </c>
      <c r="AW1354" s="7" t="s">
        <v>846</v>
      </c>
      <c r="AX1354" s="27">
        <v>18</v>
      </c>
      <c r="BC1354" s="7" t="s">
        <v>793</v>
      </c>
      <c r="BD1354" s="27">
        <v>910</v>
      </c>
      <c r="BJ1354" s="7" t="s">
        <v>722</v>
      </c>
      <c r="BK1354" s="40">
        <v>352</v>
      </c>
      <c r="BL1354" s="40">
        <v>41</v>
      </c>
      <c r="BN1354" t="str">
        <f t="shared" si="111"/>
        <v>Food52</v>
      </c>
      <c r="BO1354">
        <f t="shared" si="112"/>
        <v>214</v>
      </c>
      <c r="BP1354">
        <f t="shared" si="113"/>
        <v>451</v>
      </c>
      <c r="BQ1354">
        <f t="shared" si="114"/>
        <v>665</v>
      </c>
    </row>
    <row r="1355" spans="26:69" hidden="1" x14ac:dyDescent="0.25">
      <c r="Z1355" s="7" t="s">
        <v>712</v>
      </c>
      <c r="AA1355" s="1">
        <v>0.25</v>
      </c>
      <c r="AI1355" s="7" t="s">
        <v>719</v>
      </c>
      <c r="AJ1355" s="40">
        <v>1</v>
      </c>
      <c r="AL1355" s="7" t="s">
        <v>720</v>
      </c>
      <c r="AM1355" s="27">
        <v>1</v>
      </c>
      <c r="AW1355" s="7" t="s">
        <v>848</v>
      </c>
      <c r="AX1355" s="27">
        <v>113</v>
      </c>
      <c r="BC1355" s="7" t="s">
        <v>794</v>
      </c>
      <c r="BD1355" s="27">
        <v>26</v>
      </c>
      <c r="BJ1355" s="7" t="s">
        <v>723</v>
      </c>
      <c r="BK1355" s="40">
        <v>1498</v>
      </c>
      <c r="BL1355" s="40">
        <v>140</v>
      </c>
      <c r="BN1355" t="str">
        <f t="shared" si="111"/>
        <v>Foodpanda</v>
      </c>
      <c r="BO1355">
        <f t="shared" si="112"/>
        <v>58</v>
      </c>
      <c r="BP1355">
        <f t="shared" si="113"/>
        <v>212</v>
      </c>
      <c r="BQ1355">
        <f t="shared" si="114"/>
        <v>270</v>
      </c>
    </row>
    <row r="1356" spans="26:69" hidden="1" x14ac:dyDescent="0.25">
      <c r="Z1356" s="7" t="s">
        <v>713</v>
      </c>
      <c r="AA1356" s="1">
        <v>0.82</v>
      </c>
      <c r="AI1356" s="7" t="s">
        <v>720</v>
      </c>
      <c r="AJ1356" s="40">
        <v>1</v>
      </c>
      <c r="AL1356" s="7" t="s">
        <v>721</v>
      </c>
      <c r="AM1356" s="27">
        <v>1</v>
      </c>
      <c r="AW1356" s="7" t="s">
        <v>850</v>
      </c>
      <c r="AX1356" s="27">
        <v>159</v>
      </c>
      <c r="BC1356" s="7" t="s">
        <v>795</v>
      </c>
      <c r="BD1356" s="27">
        <v>288</v>
      </c>
      <c r="BJ1356" s="7" t="s">
        <v>726</v>
      </c>
      <c r="BK1356" s="40">
        <v>20</v>
      </c>
      <c r="BL1356" s="40">
        <v>87</v>
      </c>
      <c r="BN1356" t="str">
        <f t="shared" si="111"/>
        <v>Foodsby</v>
      </c>
      <c r="BO1356">
        <f t="shared" si="112"/>
        <v>640</v>
      </c>
      <c r="BP1356">
        <f t="shared" si="113"/>
        <v>310</v>
      </c>
      <c r="BQ1356">
        <f t="shared" si="114"/>
        <v>950</v>
      </c>
    </row>
    <row r="1357" spans="26:69" hidden="1" x14ac:dyDescent="0.25">
      <c r="Z1357" s="7" t="s">
        <v>714</v>
      </c>
      <c r="AA1357" s="1">
        <v>1</v>
      </c>
      <c r="AI1357" s="7" t="s">
        <v>721</v>
      </c>
      <c r="AJ1357" s="40">
        <v>1</v>
      </c>
      <c r="AL1357" s="7" t="s">
        <v>722</v>
      </c>
      <c r="AM1357" s="27">
        <v>2</v>
      </c>
      <c r="AW1357" s="7" t="s">
        <v>851</v>
      </c>
      <c r="AX1357" s="27">
        <v>250</v>
      </c>
      <c r="BC1357" s="7" t="s">
        <v>796</v>
      </c>
      <c r="BD1357" s="27">
        <v>13600</v>
      </c>
      <c r="BJ1357" s="7" t="s">
        <v>727</v>
      </c>
      <c r="BK1357" s="40">
        <v>125</v>
      </c>
      <c r="BL1357" s="40">
        <v>100</v>
      </c>
      <c r="BN1357" t="str">
        <f t="shared" si="111"/>
        <v>ForeScout</v>
      </c>
      <c r="BO1357">
        <f t="shared" si="112"/>
        <v>403</v>
      </c>
      <c r="BP1357">
        <f t="shared" si="113"/>
        <v>254</v>
      </c>
      <c r="BQ1357">
        <f t="shared" si="114"/>
        <v>657</v>
      </c>
    </row>
    <row r="1358" spans="26:69" hidden="1" x14ac:dyDescent="0.25">
      <c r="Z1358" s="7" t="s">
        <v>715</v>
      </c>
      <c r="AA1358" s="1">
        <v>0.4</v>
      </c>
      <c r="AI1358" s="7" t="s">
        <v>722</v>
      </c>
      <c r="AJ1358" s="40">
        <v>2</v>
      </c>
      <c r="AL1358" s="7" t="s">
        <v>723</v>
      </c>
      <c r="AM1358" s="27">
        <v>2</v>
      </c>
      <c r="AW1358" s="7" t="s">
        <v>852</v>
      </c>
      <c r="AX1358" s="27">
        <v>520</v>
      </c>
      <c r="BC1358" s="7" t="s">
        <v>797</v>
      </c>
      <c r="BD1358" s="27">
        <v>2600</v>
      </c>
      <c r="BJ1358" s="7" t="s">
        <v>728</v>
      </c>
      <c r="BK1358" s="40">
        <v>58</v>
      </c>
      <c r="BL1358" s="40">
        <v>0</v>
      </c>
      <c r="BN1358" t="str">
        <f t="shared" si="111"/>
        <v>Foresight Insurance</v>
      </c>
      <c r="BO1358">
        <f t="shared" si="112"/>
        <v>521</v>
      </c>
      <c r="BP1358">
        <f t="shared" si="113"/>
        <v>683</v>
      </c>
      <c r="BQ1358">
        <f t="shared" si="114"/>
        <v>1204</v>
      </c>
    </row>
    <row r="1359" spans="26:69" hidden="1" x14ac:dyDescent="0.25">
      <c r="Z1359" s="7" t="s">
        <v>716</v>
      </c>
      <c r="AA1359" s="1">
        <v>0.33</v>
      </c>
      <c r="AI1359" s="7" t="s">
        <v>723</v>
      </c>
      <c r="AJ1359" s="40">
        <v>2</v>
      </c>
      <c r="AL1359" s="7" t="s">
        <v>726</v>
      </c>
      <c r="AM1359" s="27">
        <v>1</v>
      </c>
      <c r="AW1359" s="7" t="s">
        <v>853</v>
      </c>
      <c r="AX1359" s="27">
        <v>380</v>
      </c>
      <c r="BC1359" s="7" t="s">
        <v>798</v>
      </c>
      <c r="BD1359" s="27">
        <v>47</v>
      </c>
      <c r="BJ1359" s="7" t="s">
        <v>729</v>
      </c>
      <c r="BK1359" s="40">
        <v>58</v>
      </c>
      <c r="BL1359" s="40">
        <v>15</v>
      </c>
      <c r="BN1359" t="str">
        <f t="shared" si="111"/>
        <v>Forma.ai</v>
      </c>
      <c r="BO1359">
        <f t="shared" si="112"/>
        <v>521</v>
      </c>
      <c r="BP1359">
        <f t="shared" si="113"/>
        <v>622</v>
      </c>
      <c r="BQ1359">
        <f t="shared" si="114"/>
        <v>1143</v>
      </c>
    </row>
    <row r="1360" spans="26:69" hidden="1" x14ac:dyDescent="0.25">
      <c r="Z1360" s="7" t="s">
        <v>719</v>
      </c>
      <c r="AA1360" s="1">
        <v>0.2</v>
      </c>
      <c r="AI1360" s="7" t="s">
        <v>726</v>
      </c>
      <c r="AJ1360" s="40">
        <v>1</v>
      </c>
      <c r="AL1360" s="7" t="s">
        <v>727</v>
      </c>
      <c r="AM1360" s="27">
        <v>1</v>
      </c>
      <c r="AW1360" s="7" t="s">
        <v>854</v>
      </c>
      <c r="AX1360" s="27">
        <v>8</v>
      </c>
      <c r="BC1360" s="7" t="s">
        <v>799</v>
      </c>
      <c r="BD1360" s="27">
        <v>1372</v>
      </c>
      <c r="BJ1360" s="7" t="s">
        <v>730</v>
      </c>
      <c r="BK1360" s="40">
        <v>593</v>
      </c>
      <c r="BL1360" s="40">
        <v>60</v>
      </c>
      <c r="BN1360" t="str">
        <f t="shared" si="111"/>
        <v>Forto</v>
      </c>
      <c r="BO1360">
        <f t="shared" si="112"/>
        <v>141</v>
      </c>
      <c r="BP1360">
        <f t="shared" si="113"/>
        <v>378</v>
      </c>
      <c r="BQ1360">
        <f t="shared" si="114"/>
        <v>519</v>
      </c>
    </row>
    <row r="1361" spans="26:69" hidden="1" x14ac:dyDescent="0.25">
      <c r="Z1361" s="7" t="s">
        <v>720</v>
      </c>
      <c r="AA1361" s="1">
        <v>0.98</v>
      </c>
      <c r="AI1361" s="7" t="s">
        <v>727</v>
      </c>
      <c r="AJ1361" s="40">
        <v>1</v>
      </c>
      <c r="AL1361" s="7" t="s">
        <v>728</v>
      </c>
      <c r="AM1361" s="27">
        <v>1</v>
      </c>
      <c r="AW1361" s="7" t="s">
        <v>855</v>
      </c>
      <c r="AX1361" s="27">
        <v>15</v>
      </c>
      <c r="BC1361" s="7" t="s">
        <v>800</v>
      </c>
      <c r="BD1361" s="27">
        <v>1300</v>
      </c>
      <c r="BJ1361" s="7" t="s">
        <v>731</v>
      </c>
      <c r="BK1361" s="40">
        <v>325</v>
      </c>
      <c r="BL1361" s="40">
        <v>10</v>
      </c>
      <c r="BN1361" t="str">
        <f t="shared" si="111"/>
        <v>Forward</v>
      </c>
      <c r="BO1361">
        <f t="shared" si="112"/>
        <v>231</v>
      </c>
      <c r="BP1361">
        <f t="shared" si="113"/>
        <v>653</v>
      </c>
      <c r="BQ1361">
        <f t="shared" si="114"/>
        <v>884</v>
      </c>
    </row>
    <row r="1362" spans="26:69" hidden="1" x14ac:dyDescent="0.25">
      <c r="Z1362" s="7" t="s">
        <v>721</v>
      </c>
      <c r="AA1362" s="1">
        <v>0.12</v>
      </c>
      <c r="AI1362" s="7" t="s">
        <v>728</v>
      </c>
      <c r="AJ1362" s="40">
        <v>1</v>
      </c>
      <c r="AL1362" s="7" t="s">
        <v>729</v>
      </c>
      <c r="AM1362" s="27">
        <v>1</v>
      </c>
      <c r="AW1362" s="7" t="s">
        <v>856</v>
      </c>
      <c r="AX1362" s="27">
        <v>227</v>
      </c>
      <c r="BC1362" s="7" t="s">
        <v>801</v>
      </c>
      <c r="BD1362" s="27">
        <v>9900</v>
      </c>
      <c r="BJ1362" s="7" t="s">
        <v>732</v>
      </c>
      <c r="BK1362" s="40">
        <v>201</v>
      </c>
      <c r="BL1362" s="40">
        <v>60</v>
      </c>
      <c r="BN1362" t="str">
        <f t="shared" si="111"/>
        <v>FourKites</v>
      </c>
      <c r="BO1362">
        <f t="shared" si="112"/>
        <v>321</v>
      </c>
      <c r="BP1362">
        <f t="shared" si="113"/>
        <v>378</v>
      </c>
      <c r="BQ1362">
        <f t="shared" si="114"/>
        <v>699</v>
      </c>
    </row>
    <row r="1363" spans="26:69" hidden="1" x14ac:dyDescent="0.25">
      <c r="Z1363" s="7" t="s">
        <v>722</v>
      </c>
      <c r="AA1363" s="1">
        <v>0.15</v>
      </c>
      <c r="AI1363" s="7" t="s">
        <v>729</v>
      </c>
      <c r="AJ1363" s="40">
        <v>1</v>
      </c>
      <c r="AL1363" s="7" t="s">
        <v>730</v>
      </c>
      <c r="AM1363" s="27">
        <v>1</v>
      </c>
      <c r="AW1363" s="7" t="s">
        <v>858</v>
      </c>
      <c r="AX1363" s="27">
        <v>250</v>
      </c>
      <c r="BC1363" s="7" t="s">
        <v>803</v>
      </c>
      <c r="BD1363" s="27">
        <v>17</v>
      </c>
      <c r="BJ1363" s="7" t="s">
        <v>733</v>
      </c>
      <c r="BK1363" s="40">
        <v>166</v>
      </c>
      <c r="BL1363" s="40">
        <v>26</v>
      </c>
      <c r="BN1363" t="str">
        <f t="shared" si="111"/>
        <v>Foxtrot</v>
      </c>
      <c r="BO1363">
        <f t="shared" si="112"/>
        <v>357</v>
      </c>
      <c r="BP1363">
        <f t="shared" si="113"/>
        <v>549</v>
      </c>
      <c r="BQ1363">
        <f t="shared" si="114"/>
        <v>906</v>
      </c>
    </row>
    <row r="1364" spans="26:69" hidden="1" x14ac:dyDescent="0.25">
      <c r="Z1364" s="7" t="s">
        <v>723</v>
      </c>
      <c r="AA1364" s="1">
        <v>0</v>
      </c>
      <c r="AI1364" s="7" t="s">
        <v>730</v>
      </c>
      <c r="AJ1364" s="40">
        <v>1</v>
      </c>
      <c r="AL1364" s="7" t="s">
        <v>731</v>
      </c>
      <c r="AM1364" s="27">
        <v>2</v>
      </c>
      <c r="AW1364" s="7" t="s">
        <v>859</v>
      </c>
      <c r="AX1364" s="27">
        <v>100</v>
      </c>
      <c r="BC1364" s="7" t="s">
        <v>805</v>
      </c>
      <c r="BD1364" s="27">
        <v>7</v>
      </c>
      <c r="BJ1364" s="7" t="s">
        <v>734</v>
      </c>
      <c r="BK1364" s="40">
        <v>63</v>
      </c>
      <c r="BL1364" s="40">
        <v>150</v>
      </c>
      <c r="BN1364" t="str">
        <f t="shared" ref="BN1364:BN1427" si="115">VLOOKUP(BJ1364,BJ1364:BL2175,1,0)</f>
        <v>Fraazo</v>
      </c>
      <c r="BO1364">
        <f t="shared" si="112"/>
        <v>507</v>
      </c>
      <c r="BP1364">
        <f t="shared" si="113"/>
        <v>193</v>
      </c>
      <c r="BQ1364">
        <f t="shared" si="114"/>
        <v>700</v>
      </c>
    </row>
    <row r="1365" spans="26:69" hidden="1" x14ac:dyDescent="0.25">
      <c r="Z1365" s="7" t="s">
        <v>726</v>
      </c>
      <c r="AA1365" s="1">
        <v>0.67</v>
      </c>
      <c r="AI1365" s="7" t="s">
        <v>731</v>
      </c>
      <c r="AJ1365" s="40">
        <v>2</v>
      </c>
      <c r="AL1365" s="7" t="s">
        <v>732</v>
      </c>
      <c r="AM1365" s="27">
        <v>1</v>
      </c>
      <c r="AW1365" s="7" t="s">
        <v>860</v>
      </c>
      <c r="AX1365" s="27">
        <v>45</v>
      </c>
      <c r="BC1365" s="7" t="s">
        <v>806</v>
      </c>
      <c r="BD1365" s="27">
        <v>110</v>
      </c>
      <c r="BJ1365" s="7" t="s">
        <v>735</v>
      </c>
      <c r="BK1365" s="40">
        <v>133</v>
      </c>
      <c r="BL1365" s="40">
        <v>45</v>
      </c>
      <c r="BN1365" t="str">
        <f t="shared" si="115"/>
        <v>Freetrade</v>
      </c>
      <c r="BO1365">
        <f t="shared" si="112"/>
        <v>391</v>
      </c>
      <c r="BP1365">
        <f t="shared" si="113"/>
        <v>441</v>
      </c>
      <c r="BQ1365">
        <f t="shared" si="114"/>
        <v>832</v>
      </c>
    </row>
    <row r="1366" spans="26:69" hidden="1" x14ac:dyDescent="0.25">
      <c r="Z1366" s="7" t="s">
        <v>727</v>
      </c>
      <c r="AA1366" s="1">
        <v>0.1</v>
      </c>
      <c r="AI1366" s="7" t="s">
        <v>732</v>
      </c>
      <c r="AJ1366" s="40">
        <v>1</v>
      </c>
      <c r="AL1366" s="7" t="s">
        <v>733</v>
      </c>
      <c r="AM1366" s="27">
        <v>1</v>
      </c>
      <c r="AW1366" s="7" t="s">
        <v>862</v>
      </c>
      <c r="AX1366" s="27">
        <v>160</v>
      </c>
      <c r="BC1366" s="7" t="s">
        <v>807</v>
      </c>
      <c r="BD1366" s="27">
        <v>556</v>
      </c>
      <c r="BJ1366" s="7" t="s">
        <v>736</v>
      </c>
      <c r="BK1366" s="40">
        <v>76</v>
      </c>
      <c r="BL1366" s="40">
        <v>0</v>
      </c>
      <c r="BN1366" t="str">
        <f t="shared" si="115"/>
        <v>Frequency Therapeutics</v>
      </c>
      <c r="BO1366">
        <f t="shared" si="112"/>
        <v>482</v>
      </c>
      <c r="BP1366">
        <f t="shared" si="113"/>
        <v>683</v>
      </c>
      <c r="BQ1366">
        <f t="shared" si="114"/>
        <v>1165</v>
      </c>
    </row>
    <row r="1367" spans="26:69" hidden="1" x14ac:dyDescent="0.25">
      <c r="Z1367" s="7" t="s">
        <v>728</v>
      </c>
      <c r="AA1367" s="1">
        <v>0.4</v>
      </c>
      <c r="AI1367" s="7" t="s">
        <v>733</v>
      </c>
      <c r="AJ1367" s="40">
        <v>1</v>
      </c>
      <c r="AL1367" s="7" t="s">
        <v>734</v>
      </c>
      <c r="AM1367" s="27">
        <v>1</v>
      </c>
      <c r="AW1367" s="7" t="s">
        <v>863</v>
      </c>
      <c r="AX1367" s="27">
        <v>500</v>
      </c>
      <c r="BC1367" s="7" t="s">
        <v>808</v>
      </c>
      <c r="BD1367" s="27">
        <v>145</v>
      </c>
      <c r="BJ1367" s="7" t="s">
        <v>737</v>
      </c>
      <c r="BK1367" s="40">
        <v>75</v>
      </c>
      <c r="BL1367" s="40">
        <v>38</v>
      </c>
      <c r="BN1367" t="str">
        <f t="shared" si="115"/>
        <v>Freshbooks</v>
      </c>
      <c r="BO1367">
        <f t="shared" si="112"/>
        <v>485</v>
      </c>
      <c r="BP1367">
        <f t="shared" si="113"/>
        <v>485</v>
      </c>
      <c r="BQ1367">
        <f t="shared" si="114"/>
        <v>970</v>
      </c>
    </row>
    <row r="1368" spans="26:69" hidden="1" x14ac:dyDescent="0.25">
      <c r="Z1368" s="7" t="s">
        <v>729</v>
      </c>
      <c r="AA1368" s="1">
        <v>0.09</v>
      </c>
      <c r="AI1368" s="7" t="s">
        <v>734</v>
      </c>
      <c r="AJ1368" s="40">
        <v>1</v>
      </c>
      <c r="AL1368" s="7" t="s">
        <v>735</v>
      </c>
      <c r="AM1368" s="27">
        <v>1</v>
      </c>
      <c r="AW1368" s="7" t="s">
        <v>864</v>
      </c>
      <c r="AX1368" s="27">
        <v>47</v>
      </c>
      <c r="BC1368" s="7" t="s">
        <v>809</v>
      </c>
      <c r="BD1368" s="27">
        <v>190</v>
      </c>
      <c r="BJ1368" s="7" t="s">
        <v>738</v>
      </c>
      <c r="BK1368" s="40">
        <v>280</v>
      </c>
      <c r="BL1368" s="40">
        <v>40</v>
      </c>
      <c r="BN1368" t="str">
        <f t="shared" si="115"/>
        <v>FreshDirect</v>
      </c>
      <c r="BO1368">
        <f t="shared" si="112"/>
        <v>257</v>
      </c>
      <c r="BP1368">
        <f t="shared" si="113"/>
        <v>454</v>
      </c>
      <c r="BQ1368">
        <f t="shared" si="114"/>
        <v>711</v>
      </c>
    </row>
    <row r="1369" spans="26:69" hidden="1" x14ac:dyDescent="0.25">
      <c r="Z1369" s="7" t="s">
        <v>730</v>
      </c>
      <c r="AA1369" s="1">
        <v>0.08</v>
      </c>
      <c r="AI1369" s="7" t="s">
        <v>735</v>
      </c>
      <c r="AJ1369" s="40">
        <v>1</v>
      </c>
      <c r="AL1369" s="7" t="s">
        <v>736</v>
      </c>
      <c r="AM1369" s="27">
        <v>1</v>
      </c>
      <c r="AW1369" s="7" t="s">
        <v>865</v>
      </c>
      <c r="AX1369" s="27">
        <v>10</v>
      </c>
      <c r="BC1369" s="7" t="s">
        <v>810</v>
      </c>
      <c r="BD1369" s="27">
        <v>4200</v>
      </c>
      <c r="BJ1369" s="7" t="s">
        <v>739</v>
      </c>
      <c r="BK1369" s="40">
        <v>214</v>
      </c>
      <c r="BL1369" s="40">
        <v>329</v>
      </c>
      <c r="BN1369" t="str">
        <f t="shared" si="115"/>
        <v>Freshly</v>
      </c>
      <c r="BO1369">
        <f t="shared" si="112"/>
        <v>309</v>
      </c>
      <c r="BP1369">
        <f t="shared" si="113"/>
        <v>99</v>
      </c>
      <c r="BQ1369">
        <f t="shared" si="114"/>
        <v>408</v>
      </c>
    </row>
    <row r="1370" spans="26:69" hidden="1" x14ac:dyDescent="0.25">
      <c r="Z1370" s="7" t="s">
        <v>731</v>
      </c>
      <c r="AA1370" s="1">
        <v>0.05</v>
      </c>
      <c r="AI1370" s="7" t="s">
        <v>736</v>
      </c>
      <c r="AJ1370" s="40">
        <v>1</v>
      </c>
      <c r="AL1370" s="7" t="s">
        <v>737</v>
      </c>
      <c r="AM1370" s="27">
        <v>1</v>
      </c>
      <c r="AW1370" s="7" t="s">
        <v>866</v>
      </c>
      <c r="AX1370" s="27">
        <v>26</v>
      </c>
      <c r="BC1370" s="7" t="s">
        <v>811</v>
      </c>
      <c r="BD1370" s="27">
        <v>474</v>
      </c>
      <c r="BJ1370" s="7" t="s">
        <v>740</v>
      </c>
      <c r="BK1370" s="40">
        <v>484</v>
      </c>
      <c r="BL1370" s="40">
        <v>90</v>
      </c>
      <c r="BN1370" t="str">
        <f t="shared" si="115"/>
        <v>Freshworks</v>
      </c>
      <c r="BO1370">
        <f t="shared" si="112"/>
        <v>169</v>
      </c>
      <c r="BP1370">
        <f t="shared" si="113"/>
        <v>298</v>
      </c>
      <c r="BQ1370">
        <f t="shared" si="114"/>
        <v>467</v>
      </c>
    </row>
    <row r="1371" spans="26:69" hidden="1" x14ac:dyDescent="0.25">
      <c r="Z1371" s="7" t="s">
        <v>732</v>
      </c>
      <c r="AA1371" s="1">
        <v>0.08</v>
      </c>
      <c r="AI1371" s="7" t="s">
        <v>737</v>
      </c>
      <c r="AJ1371" s="40">
        <v>1</v>
      </c>
      <c r="AL1371" s="7" t="s">
        <v>738</v>
      </c>
      <c r="AM1371" s="27">
        <v>1</v>
      </c>
      <c r="AW1371" s="7" t="s">
        <v>867</v>
      </c>
      <c r="AX1371" s="27">
        <v>30</v>
      </c>
      <c r="BC1371" s="7" t="s">
        <v>812</v>
      </c>
      <c r="BD1371" s="27">
        <v>2300</v>
      </c>
      <c r="BJ1371" s="7" t="s">
        <v>741</v>
      </c>
      <c r="BK1371" s="40">
        <v>3</v>
      </c>
      <c r="BL1371" s="40">
        <v>35</v>
      </c>
      <c r="BN1371" t="str">
        <f t="shared" si="115"/>
        <v>Frontdesk</v>
      </c>
      <c r="BO1371">
        <f t="shared" si="112"/>
        <v>719</v>
      </c>
      <c r="BP1371">
        <f t="shared" si="113"/>
        <v>494</v>
      </c>
      <c r="BQ1371">
        <f t="shared" si="114"/>
        <v>1213</v>
      </c>
    </row>
    <row r="1372" spans="26:69" hidden="1" x14ac:dyDescent="0.25">
      <c r="Z1372" s="7" t="s">
        <v>733</v>
      </c>
      <c r="AA1372" s="1">
        <v>0.04</v>
      </c>
      <c r="AI1372" s="7" t="s">
        <v>738</v>
      </c>
      <c r="AJ1372" s="40">
        <v>1</v>
      </c>
      <c r="AL1372" s="7" t="s">
        <v>739</v>
      </c>
      <c r="AM1372" s="27">
        <v>2</v>
      </c>
      <c r="AW1372" s="7" t="s">
        <v>868</v>
      </c>
      <c r="AX1372" s="27">
        <v>575</v>
      </c>
      <c r="BC1372" s="7" t="s">
        <v>813</v>
      </c>
      <c r="BD1372" s="27">
        <v>550</v>
      </c>
      <c r="BJ1372" s="7" t="s">
        <v>743</v>
      </c>
      <c r="BK1372" s="40">
        <v>34</v>
      </c>
      <c r="BL1372" s="40">
        <v>275</v>
      </c>
      <c r="BN1372" t="str">
        <f t="shared" si="115"/>
        <v>FrontRow</v>
      </c>
      <c r="BO1372">
        <f t="shared" si="112"/>
        <v>591</v>
      </c>
      <c r="BP1372">
        <f t="shared" si="113"/>
        <v>112</v>
      </c>
      <c r="BQ1372">
        <f t="shared" si="114"/>
        <v>703</v>
      </c>
    </row>
    <row r="1373" spans="26:69" hidden="1" x14ac:dyDescent="0.25">
      <c r="Z1373" s="7" t="s">
        <v>734</v>
      </c>
      <c r="AA1373" s="1">
        <v>0</v>
      </c>
      <c r="AI1373" s="7" t="s">
        <v>739</v>
      </c>
      <c r="AJ1373" s="40">
        <v>2</v>
      </c>
      <c r="AL1373" s="7" t="s">
        <v>740</v>
      </c>
      <c r="AM1373" s="27">
        <v>1</v>
      </c>
      <c r="AW1373" s="7" t="s">
        <v>870</v>
      </c>
      <c r="AX1373" s="27">
        <v>30</v>
      </c>
      <c r="BC1373" s="7" t="s">
        <v>814</v>
      </c>
      <c r="BD1373" s="27">
        <v>24</v>
      </c>
      <c r="BJ1373" s="7" t="s">
        <v>744</v>
      </c>
      <c r="BK1373" s="40">
        <v>202</v>
      </c>
      <c r="BL1373" s="40">
        <v>0</v>
      </c>
      <c r="BN1373" t="str">
        <f t="shared" si="115"/>
        <v>Frubana</v>
      </c>
      <c r="BO1373">
        <f t="shared" si="112"/>
        <v>318</v>
      </c>
      <c r="BP1373">
        <f t="shared" si="113"/>
        <v>683</v>
      </c>
      <c r="BQ1373">
        <f t="shared" si="114"/>
        <v>1001</v>
      </c>
    </row>
    <row r="1374" spans="26:69" hidden="1" x14ac:dyDescent="0.25">
      <c r="Z1374" s="7" t="s">
        <v>735</v>
      </c>
      <c r="AA1374" s="1">
        <v>0.15</v>
      </c>
      <c r="AI1374" s="7" t="s">
        <v>740</v>
      </c>
      <c r="AJ1374" s="40">
        <v>1</v>
      </c>
      <c r="AL1374" s="7" t="s">
        <v>741</v>
      </c>
      <c r="AM1374" s="27">
        <v>1</v>
      </c>
      <c r="AW1374" s="7" t="s">
        <v>871</v>
      </c>
      <c r="AX1374" s="27">
        <v>100</v>
      </c>
      <c r="BC1374" s="7" t="s">
        <v>815</v>
      </c>
      <c r="BD1374" s="27">
        <v>58</v>
      </c>
      <c r="BJ1374" s="7" t="s">
        <v>747</v>
      </c>
      <c r="BK1374" s="40">
        <v>197</v>
      </c>
      <c r="BL1374" s="40">
        <v>0</v>
      </c>
      <c r="BN1374" t="str">
        <f t="shared" si="115"/>
        <v>FullStory</v>
      </c>
      <c r="BO1374">
        <f t="shared" si="112"/>
        <v>325</v>
      </c>
      <c r="BP1374">
        <f t="shared" si="113"/>
        <v>683</v>
      </c>
      <c r="BQ1374">
        <f t="shared" si="114"/>
        <v>1008</v>
      </c>
    </row>
    <row r="1375" spans="26:69" hidden="1" x14ac:dyDescent="0.25">
      <c r="Z1375" s="7" t="s">
        <v>736</v>
      </c>
      <c r="AA1375" s="1">
        <v>0.5</v>
      </c>
      <c r="AI1375" s="7" t="s">
        <v>741</v>
      </c>
      <c r="AJ1375" s="40">
        <v>1</v>
      </c>
      <c r="AL1375" s="7" t="s">
        <v>743</v>
      </c>
      <c r="AM1375" s="27">
        <v>2</v>
      </c>
      <c r="AW1375" s="7" t="s">
        <v>872</v>
      </c>
      <c r="AX1375" s="27">
        <v>3900</v>
      </c>
      <c r="BC1375" s="7" t="s">
        <v>816</v>
      </c>
      <c r="BD1375" s="27">
        <v>746</v>
      </c>
      <c r="BJ1375" s="7" t="s">
        <v>748</v>
      </c>
      <c r="BK1375" s="40">
        <v>1006</v>
      </c>
      <c r="BL1375" s="40">
        <v>164</v>
      </c>
      <c r="BN1375" t="str">
        <f t="shared" si="115"/>
        <v>Fundbox</v>
      </c>
      <c r="BO1375">
        <f t="shared" si="112"/>
        <v>87</v>
      </c>
      <c r="BP1375">
        <f t="shared" si="113"/>
        <v>181</v>
      </c>
      <c r="BQ1375">
        <f t="shared" si="114"/>
        <v>268</v>
      </c>
    </row>
    <row r="1376" spans="26:69" hidden="1" x14ac:dyDescent="0.25">
      <c r="Z1376" s="7" t="s">
        <v>737</v>
      </c>
      <c r="AA1376" s="1">
        <v>0.09</v>
      </c>
      <c r="AI1376" s="7" t="s">
        <v>743</v>
      </c>
      <c r="AJ1376" s="40">
        <v>2</v>
      </c>
      <c r="AL1376" s="7" t="s">
        <v>744</v>
      </c>
      <c r="AM1376" s="27">
        <v>1</v>
      </c>
      <c r="AW1376" s="7" t="s">
        <v>873</v>
      </c>
      <c r="AX1376" s="27">
        <v>87</v>
      </c>
      <c r="BC1376" s="7" t="s">
        <v>817</v>
      </c>
      <c r="BD1376" s="27">
        <v>300</v>
      </c>
      <c r="BJ1376" s="7" t="s">
        <v>749</v>
      </c>
      <c r="BK1376" s="40">
        <v>746</v>
      </c>
      <c r="BL1376" s="40">
        <v>85</v>
      </c>
      <c r="BN1376" t="str">
        <f t="shared" si="115"/>
        <v>Funding Circle</v>
      </c>
      <c r="BO1376">
        <f t="shared" si="112"/>
        <v>115</v>
      </c>
      <c r="BP1376">
        <f t="shared" si="113"/>
        <v>314</v>
      </c>
      <c r="BQ1376">
        <f t="shared" si="114"/>
        <v>429</v>
      </c>
    </row>
    <row r="1377" spans="26:69" hidden="1" x14ac:dyDescent="0.25">
      <c r="Z1377" s="7" t="s">
        <v>738</v>
      </c>
      <c r="AA1377" s="1">
        <v>0</v>
      </c>
      <c r="AI1377" s="7" t="s">
        <v>744</v>
      </c>
      <c r="AJ1377" s="40">
        <v>1</v>
      </c>
      <c r="AL1377" s="7" t="s">
        <v>747</v>
      </c>
      <c r="AM1377" s="27">
        <v>1</v>
      </c>
      <c r="AW1377" s="7" t="s">
        <v>874</v>
      </c>
      <c r="AX1377" s="27">
        <v>130</v>
      </c>
      <c r="BC1377" s="7" t="s">
        <v>818</v>
      </c>
      <c r="BD1377" s="27">
        <v>11</v>
      </c>
      <c r="BJ1377" s="7" t="s">
        <v>750</v>
      </c>
      <c r="BK1377" s="40">
        <v>42</v>
      </c>
      <c r="BL1377" s="40">
        <v>65</v>
      </c>
      <c r="BN1377" t="str">
        <f t="shared" si="115"/>
        <v>Funding Societies</v>
      </c>
      <c r="BO1377">
        <f t="shared" si="112"/>
        <v>565</v>
      </c>
      <c r="BP1377">
        <f t="shared" si="113"/>
        <v>366</v>
      </c>
      <c r="BQ1377">
        <f t="shared" si="114"/>
        <v>931</v>
      </c>
    </row>
    <row r="1378" spans="26:69" hidden="1" x14ac:dyDescent="0.25">
      <c r="Z1378" s="7" t="s">
        <v>739</v>
      </c>
      <c r="AA1378" s="1">
        <v>0.25</v>
      </c>
      <c r="AI1378" s="7" t="s">
        <v>747</v>
      </c>
      <c r="AJ1378" s="40">
        <v>1</v>
      </c>
      <c r="AL1378" s="7" t="s">
        <v>748</v>
      </c>
      <c r="AM1378" s="27">
        <v>2</v>
      </c>
      <c r="AW1378" s="7" t="s">
        <v>875</v>
      </c>
      <c r="AX1378" s="27">
        <v>40</v>
      </c>
      <c r="BC1378" s="7" t="s">
        <v>819</v>
      </c>
      <c r="BD1378" s="27">
        <v>2</v>
      </c>
      <c r="BJ1378" s="7" t="s">
        <v>751</v>
      </c>
      <c r="BK1378" s="40">
        <v>228</v>
      </c>
      <c r="BL1378" s="40">
        <v>180</v>
      </c>
      <c r="BN1378" t="str">
        <f t="shared" si="115"/>
        <v>Furlenco</v>
      </c>
      <c r="BO1378">
        <f t="shared" si="112"/>
        <v>298</v>
      </c>
      <c r="BP1378">
        <f t="shared" si="113"/>
        <v>169</v>
      </c>
      <c r="BQ1378">
        <f t="shared" si="114"/>
        <v>467</v>
      </c>
    </row>
    <row r="1379" spans="26:69" hidden="1" x14ac:dyDescent="0.25">
      <c r="Z1379" s="7" t="s">
        <v>740</v>
      </c>
      <c r="AA1379" s="1">
        <v>0.02</v>
      </c>
      <c r="AI1379" s="7" t="s">
        <v>748</v>
      </c>
      <c r="AJ1379" s="40">
        <v>2</v>
      </c>
      <c r="AL1379" s="7" t="s">
        <v>749</v>
      </c>
      <c r="AM1379" s="27">
        <v>1</v>
      </c>
      <c r="AW1379" s="7" t="s">
        <v>876</v>
      </c>
      <c r="AX1379" s="27">
        <v>300</v>
      </c>
      <c r="BC1379" s="7" t="s">
        <v>820</v>
      </c>
      <c r="BD1379" s="27">
        <v>191</v>
      </c>
      <c r="BJ1379" s="7" t="s">
        <v>752</v>
      </c>
      <c r="BK1379" s="40">
        <v>0</v>
      </c>
      <c r="BL1379" s="40">
        <v>14</v>
      </c>
      <c r="BN1379" t="str">
        <f t="shared" si="115"/>
        <v>G/O Media Group</v>
      </c>
      <c r="BO1379">
        <f t="shared" si="112"/>
        <v>742</v>
      </c>
      <c r="BP1379">
        <f t="shared" si="113"/>
        <v>631</v>
      </c>
      <c r="BQ1379">
        <f t="shared" si="114"/>
        <v>1373</v>
      </c>
    </row>
    <row r="1380" spans="26:69" hidden="1" x14ac:dyDescent="0.25">
      <c r="Z1380" s="7" t="s">
        <v>741</v>
      </c>
      <c r="AA1380" s="1">
        <v>0.16</v>
      </c>
      <c r="AI1380" s="7" t="s">
        <v>749</v>
      </c>
      <c r="AJ1380" s="40">
        <v>1</v>
      </c>
      <c r="AL1380" s="7" t="s">
        <v>750</v>
      </c>
      <c r="AM1380" s="27">
        <v>1</v>
      </c>
      <c r="AW1380" s="7" t="s">
        <v>878</v>
      </c>
      <c r="AX1380" s="27">
        <v>50</v>
      </c>
      <c r="BC1380" s="7" t="s">
        <v>822</v>
      </c>
      <c r="BD1380" s="27">
        <v>58</v>
      </c>
      <c r="BJ1380" s="7" t="s">
        <v>753</v>
      </c>
      <c r="BK1380" s="40">
        <v>101</v>
      </c>
      <c r="BL1380" s="40">
        <v>17</v>
      </c>
      <c r="BN1380" t="str">
        <f t="shared" si="115"/>
        <v>G2</v>
      </c>
      <c r="BO1380">
        <f t="shared" si="112"/>
        <v>437</v>
      </c>
      <c r="BP1380">
        <f t="shared" si="113"/>
        <v>612</v>
      </c>
      <c r="BQ1380">
        <f t="shared" si="114"/>
        <v>1049</v>
      </c>
    </row>
    <row r="1381" spans="26:69" hidden="1" x14ac:dyDescent="0.25">
      <c r="Z1381" s="7" t="s">
        <v>743</v>
      </c>
      <c r="AA1381" s="1">
        <v>0.75</v>
      </c>
      <c r="AI1381" s="7" t="s">
        <v>750</v>
      </c>
      <c r="AJ1381" s="40">
        <v>1</v>
      </c>
      <c r="AL1381" s="7" t="s">
        <v>751</v>
      </c>
      <c r="AM1381" s="27">
        <v>1</v>
      </c>
      <c r="AW1381" s="7" t="s">
        <v>879</v>
      </c>
      <c r="AX1381" s="27">
        <v>355</v>
      </c>
      <c r="BC1381" s="7" t="s">
        <v>823</v>
      </c>
      <c r="BD1381" s="27">
        <v>349</v>
      </c>
      <c r="BJ1381" s="7" t="s">
        <v>754</v>
      </c>
      <c r="BK1381" s="40">
        <v>76</v>
      </c>
      <c r="BL1381" s="40">
        <v>30</v>
      </c>
      <c r="BN1381" t="str">
        <f t="shared" si="115"/>
        <v>Gather</v>
      </c>
      <c r="BO1381">
        <f t="shared" si="112"/>
        <v>482</v>
      </c>
      <c r="BP1381">
        <f t="shared" si="113"/>
        <v>512</v>
      </c>
      <c r="BQ1381">
        <f t="shared" si="114"/>
        <v>994</v>
      </c>
    </row>
    <row r="1382" spans="26:69" hidden="1" x14ac:dyDescent="0.25">
      <c r="Z1382" s="7" t="s">
        <v>744</v>
      </c>
      <c r="AA1382" s="1">
        <v>0.03</v>
      </c>
      <c r="AI1382" s="7" t="s">
        <v>751</v>
      </c>
      <c r="AJ1382" s="40">
        <v>1</v>
      </c>
      <c r="AL1382" s="7" t="s">
        <v>752</v>
      </c>
      <c r="AM1382" s="27">
        <v>1</v>
      </c>
      <c r="AW1382" s="7" t="s">
        <v>883</v>
      </c>
      <c r="AX1382" s="27">
        <v>10</v>
      </c>
      <c r="BC1382" s="7" t="s">
        <v>824</v>
      </c>
      <c r="BD1382" s="27">
        <v>7</v>
      </c>
      <c r="BJ1382" s="7" t="s">
        <v>755</v>
      </c>
      <c r="BK1382" s="40">
        <v>0</v>
      </c>
      <c r="BL1382" s="40">
        <v>0</v>
      </c>
      <c r="BN1382" t="str">
        <f t="shared" si="115"/>
        <v>Gatherly</v>
      </c>
      <c r="BO1382">
        <f t="shared" si="112"/>
        <v>742</v>
      </c>
      <c r="BP1382">
        <f t="shared" si="113"/>
        <v>683</v>
      </c>
      <c r="BQ1382">
        <f t="shared" si="114"/>
        <v>1425</v>
      </c>
    </row>
    <row r="1383" spans="26:69" hidden="1" x14ac:dyDescent="0.25">
      <c r="Z1383" s="7" t="s">
        <v>747</v>
      </c>
      <c r="AA1383" s="1">
        <v>0.12</v>
      </c>
      <c r="AI1383" s="7" t="s">
        <v>752</v>
      </c>
      <c r="AJ1383" s="40">
        <v>1</v>
      </c>
      <c r="AL1383" s="7" t="s">
        <v>753</v>
      </c>
      <c r="AM1383" s="27">
        <v>1</v>
      </c>
      <c r="AW1383" s="7" t="s">
        <v>884</v>
      </c>
      <c r="AX1383" s="27">
        <v>500</v>
      </c>
      <c r="BC1383" s="7" t="s">
        <v>825</v>
      </c>
      <c r="BD1383" s="27">
        <v>58</v>
      </c>
      <c r="BJ1383" s="7" t="s">
        <v>756</v>
      </c>
      <c r="BK1383" s="40">
        <v>5</v>
      </c>
      <c r="BL1383" s="40">
        <v>0</v>
      </c>
      <c r="BN1383" t="str">
        <f t="shared" si="115"/>
        <v>Gavelytics</v>
      </c>
      <c r="BO1383">
        <f t="shared" si="112"/>
        <v>711</v>
      </c>
      <c r="BP1383">
        <f t="shared" si="113"/>
        <v>683</v>
      </c>
      <c r="BQ1383">
        <f t="shared" si="114"/>
        <v>1394</v>
      </c>
    </row>
    <row r="1384" spans="26:69" hidden="1" x14ac:dyDescent="0.25">
      <c r="Z1384" s="7" t="s">
        <v>748</v>
      </c>
      <c r="AA1384" s="1">
        <v>0.42</v>
      </c>
      <c r="AI1384" s="7" t="s">
        <v>753</v>
      </c>
      <c r="AJ1384" s="40">
        <v>1</v>
      </c>
      <c r="AL1384" s="7" t="s">
        <v>754</v>
      </c>
      <c r="AM1384" s="27">
        <v>1</v>
      </c>
      <c r="AW1384" s="7" t="s">
        <v>885</v>
      </c>
      <c r="AX1384" s="27">
        <v>38</v>
      </c>
      <c r="BC1384" s="7" t="s">
        <v>826</v>
      </c>
      <c r="BD1384" s="27">
        <v>215</v>
      </c>
      <c r="BJ1384" s="7" t="s">
        <v>757</v>
      </c>
      <c r="BK1384" s="40">
        <v>0</v>
      </c>
      <c r="BL1384" s="40">
        <v>5</v>
      </c>
      <c r="BN1384" t="str">
        <f t="shared" si="115"/>
        <v>Geekwire</v>
      </c>
      <c r="BO1384">
        <f t="shared" si="112"/>
        <v>742</v>
      </c>
      <c r="BP1384">
        <f t="shared" si="113"/>
        <v>676</v>
      </c>
      <c r="BQ1384">
        <f t="shared" si="114"/>
        <v>1418</v>
      </c>
    </row>
    <row r="1385" spans="26:69" hidden="1" x14ac:dyDescent="0.25">
      <c r="Z1385" s="7" t="s">
        <v>749</v>
      </c>
      <c r="AA1385" s="1">
        <v>0</v>
      </c>
      <c r="AI1385" s="7" t="s">
        <v>754</v>
      </c>
      <c r="AJ1385" s="40">
        <v>1</v>
      </c>
      <c r="AL1385" s="7" t="s">
        <v>755</v>
      </c>
      <c r="AM1385" s="27">
        <v>1</v>
      </c>
      <c r="AW1385" s="7" t="s">
        <v>887</v>
      </c>
      <c r="AX1385" s="27">
        <v>20</v>
      </c>
      <c r="BC1385" s="7" t="s">
        <v>827</v>
      </c>
      <c r="BD1385" s="27">
        <v>244</v>
      </c>
      <c r="BJ1385" s="7" t="s">
        <v>758</v>
      </c>
      <c r="BK1385" s="40">
        <v>148</v>
      </c>
      <c r="BL1385" s="40">
        <v>100</v>
      </c>
      <c r="BN1385" t="str">
        <f t="shared" si="115"/>
        <v>Gem</v>
      </c>
      <c r="BO1385">
        <f t="shared" si="112"/>
        <v>377</v>
      </c>
      <c r="BP1385">
        <f t="shared" si="113"/>
        <v>254</v>
      </c>
      <c r="BQ1385">
        <f t="shared" si="114"/>
        <v>631</v>
      </c>
    </row>
    <row r="1386" spans="26:69" hidden="1" x14ac:dyDescent="0.25">
      <c r="Z1386" s="7" t="s">
        <v>750</v>
      </c>
      <c r="AA1386" s="1">
        <v>0.18</v>
      </c>
      <c r="AI1386" s="7" t="s">
        <v>755</v>
      </c>
      <c r="AJ1386" s="40">
        <v>1</v>
      </c>
      <c r="AL1386" s="7" t="s">
        <v>756</v>
      </c>
      <c r="AM1386" s="27">
        <v>1</v>
      </c>
      <c r="AW1386" s="7" t="s">
        <v>889</v>
      </c>
      <c r="AX1386" s="27">
        <v>30</v>
      </c>
      <c r="BC1386" s="7" t="s">
        <v>828</v>
      </c>
      <c r="BD1386" s="27">
        <v>100</v>
      </c>
      <c r="BJ1386" s="7" t="s">
        <v>759</v>
      </c>
      <c r="BK1386" s="40">
        <v>1269</v>
      </c>
      <c r="BL1386" s="40">
        <v>168</v>
      </c>
      <c r="BN1386" t="str">
        <f t="shared" si="115"/>
        <v>Gemini</v>
      </c>
      <c r="BO1386">
        <f t="shared" si="112"/>
        <v>67</v>
      </c>
      <c r="BP1386">
        <f t="shared" si="113"/>
        <v>179</v>
      </c>
      <c r="BQ1386">
        <f t="shared" si="114"/>
        <v>246</v>
      </c>
    </row>
    <row r="1387" spans="26:69" hidden="1" x14ac:dyDescent="0.25">
      <c r="Z1387" s="7" t="s">
        <v>751</v>
      </c>
      <c r="AA1387" s="1">
        <v>0</v>
      </c>
      <c r="AI1387" s="7" t="s">
        <v>756</v>
      </c>
      <c r="AJ1387" s="40">
        <v>1</v>
      </c>
      <c r="AL1387" s="7" t="s">
        <v>757</v>
      </c>
      <c r="AM1387" s="27">
        <v>1</v>
      </c>
      <c r="AW1387" s="7" t="s">
        <v>890</v>
      </c>
      <c r="AX1387" s="27">
        <v>50</v>
      </c>
      <c r="BC1387" s="7" t="s">
        <v>829</v>
      </c>
      <c r="BD1387" s="27">
        <v>20</v>
      </c>
      <c r="BJ1387" s="7" t="s">
        <v>760</v>
      </c>
      <c r="BK1387" s="40">
        <v>0</v>
      </c>
      <c r="BL1387" s="40">
        <v>112</v>
      </c>
      <c r="BN1387" t="str">
        <f t="shared" si="115"/>
        <v>Genesis</v>
      </c>
      <c r="BO1387">
        <f t="shared" si="112"/>
        <v>742</v>
      </c>
      <c r="BP1387">
        <f t="shared" si="113"/>
        <v>247</v>
      </c>
      <c r="BQ1387">
        <f t="shared" si="114"/>
        <v>989</v>
      </c>
    </row>
    <row r="1388" spans="26:69" hidden="1" x14ac:dyDescent="0.25">
      <c r="Z1388" s="7" t="s">
        <v>752</v>
      </c>
      <c r="AA1388" s="1">
        <v>0.05</v>
      </c>
      <c r="AI1388" s="7" t="s">
        <v>757</v>
      </c>
      <c r="AJ1388" s="40">
        <v>1</v>
      </c>
      <c r="AL1388" s="7" t="s">
        <v>758</v>
      </c>
      <c r="AM1388" s="27">
        <v>1</v>
      </c>
      <c r="AW1388" s="7" t="s">
        <v>891</v>
      </c>
      <c r="AX1388" s="27">
        <v>50</v>
      </c>
      <c r="BC1388" s="7" t="s">
        <v>830</v>
      </c>
      <c r="BD1388" s="27">
        <v>67</v>
      </c>
      <c r="BJ1388" s="7" t="s">
        <v>761</v>
      </c>
      <c r="BK1388" s="40">
        <v>120</v>
      </c>
      <c r="BL1388" s="40">
        <v>23</v>
      </c>
      <c r="BN1388" t="str">
        <f t="shared" si="115"/>
        <v>Genome Medical</v>
      </c>
      <c r="BO1388">
        <f t="shared" si="112"/>
        <v>407</v>
      </c>
      <c r="BP1388">
        <f t="shared" si="113"/>
        <v>570</v>
      </c>
      <c r="BQ1388">
        <f t="shared" si="114"/>
        <v>977</v>
      </c>
    </row>
    <row r="1389" spans="26:69" hidden="1" x14ac:dyDescent="0.25">
      <c r="Z1389" s="7" t="s">
        <v>753</v>
      </c>
      <c r="AA1389" s="1">
        <v>0.05</v>
      </c>
      <c r="AI1389" s="7" t="s">
        <v>758</v>
      </c>
      <c r="AJ1389" s="40">
        <v>1</v>
      </c>
      <c r="AL1389" s="7" t="s">
        <v>759</v>
      </c>
      <c r="AM1389" s="27">
        <v>3</v>
      </c>
      <c r="AW1389" s="7" t="s">
        <v>892</v>
      </c>
      <c r="AX1389" s="27">
        <v>140</v>
      </c>
      <c r="BC1389" s="7" t="s">
        <v>831</v>
      </c>
      <c r="BD1389" s="27">
        <v>367</v>
      </c>
      <c r="BJ1389" s="7" t="s">
        <v>762</v>
      </c>
      <c r="BK1389" s="40">
        <v>1351</v>
      </c>
      <c r="BL1389" s="40">
        <v>100</v>
      </c>
      <c r="BN1389" t="str">
        <f t="shared" si="115"/>
        <v>Getaround</v>
      </c>
      <c r="BO1389">
        <f t="shared" si="112"/>
        <v>63</v>
      </c>
      <c r="BP1389">
        <f t="shared" si="113"/>
        <v>254</v>
      </c>
      <c r="BQ1389">
        <f t="shared" si="114"/>
        <v>317</v>
      </c>
    </row>
    <row r="1390" spans="26:69" hidden="1" x14ac:dyDescent="0.25">
      <c r="Z1390" s="7" t="s">
        <v>754</v>
      </c>
      <c r="AA1390" s="1">
        <v>0.33</v>
      </c>
      <c r="AI1390" s="7" t="s">
        <v>759</v>
      </c>
      <c r="AJ1390" s="40">
        <v>3</v>
      </c>
      <c r="AL1390" s="7" t="s">
        <v>760</v>
      </c>
      <c r="AM1390" s="27">
        <v>2</v>
      </c>
      <c r="AW1390" s="7" t="s">
        <v>894</v>
      </c>
      <c r="AX1390" s="27">
        <v>9</v>
      </c>
      <c r="BC1390" s="7" t="s">
        <v>832</v>
      </c>
      <c r="BD1390" s="27">
        <v>6</v>
      </c>
      <c r="BJ1390" s="7" t="s">
        <v>763</v>
      </c>
      <c r="BK1390" s="40">
        <v>3600</v>
      </c>
      <c r="BL1390" s="40">
        <v>100</v>
      </c>
      <c r="BN1390" t="str">
        <f t="shared" si="115"/>
        <v>Getir</v>
      </c>
      <c r="BO1390">
        <f t="shared" si="112"/>
        <v>18</v>
      </c>
      <c r="BP1390">
        <f t="shared" si="113"/>
        <v>254</v>
      </c>
      <c r="BQ1390">
        <f t="shared" si="114"/>
        <v>272</v>
      </c>
    </row>
    <row r="1391" spans="26:69" hidden="1" x14ac:dyDescent="0.25">
      <c r="Z1391" s="7" t="s">
        <v>755</v>
      </c>
      <c r="AA1391" s="1">
        <v>0.5</v>
      </c>
      <c r="AI1391" s="7" t="s">
        <v>760</v>
      </c>
      <c r="AJ1391" s="40">
        <v>2</v>
      </c>
      <c r="AL1391" s="7" t="s">
        <v>761</v>
      </c>
      <c r="AM1391" s="27">
        <v>1</v>
      </c>
      <c r="AW1391" s="7" t="s">
        <v>895</v>
      </c>
      <c r="AX1391" s="27">
        <v>40</v>
      </c>
      <c r="BC1391" s="7" t="s">
        <v>834</v>
      </c>
      <c r="BD1391" s="27">
        <v>265</v>
      </c>
      <c r="BJ1391" s="7" t="s">
        <v>766</v>
      </c>
      <c r="BK1391" s="40">
        <v>16</v>
      </c>
      <c r="BL1391" s="40">
        <v>11</v>
      </c>
      <c r="BN1391" t="str">
        <f t="shared" si="115"/>
        <v>GetNinjas</v>
      </c>
      <c r="BO1391">
        <f t="shared" si="112"/>
        <v>659</v>
      </c>
      <c r="BP1391">
        <f t="shared" si="113"/>
        <v>650</v>
      </c>
      <c r="BQ1391">
        <f t="shared" si="114"/>
        <v>1309</v>
      </c>
    </row>
    <row r="1392" spans="26:69" hidden="1" x14ac:dyDescent="0.25">
      <c r="Z1392" s="7" t="s">
        <v>756</v>
      </c>
      <c r="AA1392" s="1">
        <v>1</v>
      </c>
      <c r="AI1392" s="7" t="s">
        <v>761</v>
      </c>
      <c r="AJ1392" s="40">
        <v>1</v>
      </c>
      <c r="AL1392" s="7" t="s">
        <v>762</v>
      </c>
      <c r="AM1392" s="27">
        <v>2</v>
      </c>
      <c r="AW1392" s="7" t="s">
        <v>896</v>
      </c>
      <c r="AX1392" s="27">
        <v>80</v>
      </c>
      <c r="BC1392" s="7" t="s">
        <v>836</v>
      </c>
      <c r="BD1392" s="27">
        <v>45</v>
      </c>
      <c r="BJ1392" s="7" t="s">
        <v>767</v>
      </c>
      <c r="BK1392" s="40">
        <v>49</v>
      </c>
      <c r="BL1392" s="40">
        <v>30</v>
      </c>
      <c r="BN1392" t="str">
        <f t="shared" si="115"/>
        <v>Getta</v>
      </c>
      <c r="BO1392">
        <f t="shared" si="112"/>
        <v>546</v>
      </c>
      <c r="BP1392">
        <f t="shared" si="113"/>
        <v>512</v>
      </c>
      <c r="BQ1392">
        <f t="shared" si="114"/>
        <v>1058</v>
      </c>
    </row>
    <row r="1393" spans="26:69" hidden="1" x14ac:dyDescent="0.25">
      <c r="Z1393" s="7" t="s">
        <v>757</v>
      </c>
      <c r="AA1393" s="1">
        <v>0.31</v>
      </c>
      <c r="AI1393" s="7" t="s">
        <v>762</v>
      </c>
      <c r="AJ1393" s="40">
        <v>2</v>
      </c>
      <c r="AL1393" s="7" t="s">
        <v>763</v>
      </c>
      <c r="AM1393" s="27">
        <v>2</v>
      </c>
      <c r="AW1393" s="7" t="s">
        <v>897</v>
      </c>
      <c r="AX1393" s="27">
        <v>90</v>
      </c>
      <c r="BC1393" s="7" t="s">
        <v>837</v>
      </c>
      <c r="BD1393" s="27">
        <v>475</v>
      </c>
      <c r="BJ1393" s="7" t="s">
        <v>768</v>
      </c>
      <c r="BK1393" s="40">
        <v>656</v>
      </c>
      <c r="BL1393" s="40">
        <v>90</v>
      </c>
      <c r="BN1393" t="str">
        <f t="shared" si="115"/>
        <v>GetYourGuide</v>
      </c>
      <c r="BO1393">
        <f t="shared" si="112"/>
        <v>132</v>
      </c>
      <c r="BP1393">
        <f t="shared" si="113"/>
        <v>298</v>
      </c>
      <c r="BQ1393">
        <f t="shared" si="114"/>
        <v>430</v>
      </c>
    </row>
    <row r="1394" spans="26:69" hidden="1" x14ac:dyDescent="0.25">
      <c r="Z1394" s="7" t="s">
        <v>758</v>
      </c>
      <c r="AA1394" s="1">
        <v>0.33</v>
      </c>
      <c r="AI1394" s="7" t="s">
        <v>763</v>
      </c>
      <c r="AJ1394" s="40">
        <v>2</v>
      </c>
      <c r="AL1394" s="7" t="s">
        <v>766</v>
      </c>
      <c r="AM1394" s="27">
        <v>1</v>
      </c>
      <c r="AW1394" s="7" t="s">
        <v>898</v>
      </c>
      <c r="AX1394" s="27">
        <v>550</v>
      </c>
      <c r="BC1394" s="7" t="s">
        <v>838</v>
      </c>
      <c r="BD1394" s="27">
        <v>9</v>
      </c>
      <c r="BJ1394" s="7" t="s">
        <v>769</v>
      </c>
      <c r="BK1394" s="40">
        <v>350</v>
      </c>
      <c r="BL1394" s="40">
        <v>0</v>
      </c>
      <c r="BN1394" t="str">
        <f t="shared" si="115"/>
        <v>GitHub</v>
      </c>
      <c r="BO1394">
        <f t="shared" si="112"/>
        <v>218</v>
      </c>
      <c r="BP1394">
        <f t="shared" si="113"/>
        <v>683</v>
      </c>
      <c r="BQ1394">
        <f t="shared" si="114"/>
        <v>901</v>
      </c>
    </row>
    <row r="1395" spans="26:69" hidden="1" x14ac:dyDescent="0.25">
      <c r="Z1395" s="7" t="s">
        <v>759</v>
      </c>
      <c r="AA1395" s="1">
        <v>0.1</v>
      </c>
      <c r="AI1395" s="7" t="s">
        <v>766</v>
      </c>
      <c r="AJ1395" s="40">
        <v>1</v>
      </c>
      <c r="AL1395" s="7" t="s">
        <v>767</v>
      </c>
      <c r="AM1395" s="27">
        <v>1</v>
      </c>
      <c r="AW1395" s="7" t="s">
        <v>899</v>
      </c>
      <c r="AX1395" s="27">
        <v>65</v>
      </c>
      <c r="BC1395" s="7" t="s">
        <v>839</v>
      </c>
      <c r="BD1395" s="27">
        <v>644</v>
      </c>
      <c r="BJ1395" s="7" t="s">
        <v>770</v>
      </c>
      <c r="BK1395" s="40">
        <v>413</v>
      </c>
      <c r="BL1395" s="40">
        <v>130</v>
      </c>
      <c r="BN1395" t="str">
        <f t="shared" si="115"/>
        <v>GitLab</v>
      </c>
      <c r="BO1395">
        <f t="shared" si="112"/>
        <v>190</v>
      </c>
      <c r="BP1395">
        <f t="shared" si="113"/>
        <v>226</v>
      </c>
      <c r="BQ1395">
        <f t="shared" si="114"/>
        <v>416</v>
      </c>
    </row>
    <row r="1396" spans="26:69" hidden="1" x14ac:dyDescent="0.25">
      <c r="Z1396" s="7" t="s">
        <v>760</v>
      </c>
      <c r="AA1396" s="1">
        <v>0.3</v>
      </c>
      <c r="AI1396" s="7" t="s">
        <v>767</v>
      </c>
      <c r="AJ1396" s="40">
        <v>1</v>
      </c>
      <c r="AL1396" s="7" t="s">
        <v>768</v>
      </c>
      <c r="AM1396" s="27">
        <v>1</v>
      </c>
      <c r="AW1396" s="7" t="s">
        <v>900</v>
      </c>
      <c r="AX1396" s="27">
        <v>450</v>
      </c>
      <c r="BC1396" s="7" t="s">
        <v>840</v>
      </c>
      <c r="BD1396" s="27">
        <v>41</v>
      </c>
      <c r="BJ1396" s="7" t="s">
        <v>771</v>
      </c>
      <c r="BK1396" s="40">
        <v>41</v>
      </c>
      <c r="BL1396" s="40">
        <v>21</v>
      </c>
      <c r="BN1396" t="str">
        <f t="shared" si="115"/>
        <v>Gitpod</v>
      </c>
      <c r="BO1396">
        <f t="shared" si="112"/>
        <v>568</v>
      </c>
      <c r="BP1396">
        <f t="shared" si="113"/>
        <v>587</v>
      </c>
      <c r="BQ1396">
        <f t="shared" si="114"/>
        <v>1155</v>
      </c>
    </row>
    <row r="1397" spans="26:69" hidden="1" x14ac:dyDescent="0.25">
      <c r="Z1397" s="7" t="s">
        <v>761</v>
      </c>
      <c r="AA1397" s="1">
        <v>0</v>
      </c>
      <c r="AI1397" s="7" t="s">
        <v>768</v>
      </c>
      <c r="AJ1397" s="40">
        <v>1</v>
      </c>
      <c r="AL1397" s="7" t="s">
        <v>769</v>
      </c>
      <c r="AM1397" s="27">
        <v>1</v>
      </c>
      <c r="AW1397" s="7" t="s">
        <v>901</v>
      </c>
      <c r="AX1397" s="27">
        <v>20</v>
      </c>
      <c r="BC1397" s="7" t="s">
        <v>841</v>
      </c>
      <c r="BD1397" s="27">
        <v>1300</v>
      </c>
      <c r="BJ1397" s="7" t="s">
        <v>773</v>
      </c>
      <c r="BK1397" s="40">
        <v>204</v>
      </c>
      <c r="BL1397" s="40">
        <v>300</v>
      </c>
      <c r="BN1397" t="str">
        <f t="shared" si="115"/>
        <v>Glassdoor</v>
      </c>
      <c r="BO1397">
        <f t="shared" si="112"/>
        <v>315</v>
      </c>
      <c r="BP1397">
        <f t="shared" si="113"/>
        <v>103</v>
      </c>
      <c r="BQ1397">
        <f t="shared" si="114"/>
        <v>418</v>
      </c>
    </row>
    <row r="1398" spans="26:69" hidden="1" x14ac:dyDescent="0.25">
      <c r="Z1398" s="7" t="s">
        <v>762</v>
      </c>
      <c r="AA1398" s="1">
        <v>0.25</v>
      </c>
      <c r="AI1398" s="7" t="s">
        <v>769</v>
      </c>
      <c r="AJ1398" s="40">
        <v>1</v>
      </c>
      <c r="AL1398" s="7" t="s">
        <v>770</v>
      </c>
      <c r="AM1398" s="27">
        <v>1</v>
      </c>
      <c r="AW1398" s="7" t="s">
        <v>902</v>
      </c>
      <c r="AX1398" s="27">
        <v>50</v>
      </c>
      <c r="BC1398" s="7" t="s">
        <v>843</v>
      </c>
      <c r="BD1398" s="27">
        <v>52</v>
      </c>
      <c r="BJ1398" s="7" t="s">
        <v>774</v>
      </c>
      <c r="BK1398" s="40">
        <v>82</v>
      </c>
      <c r="BL1398" s="40">
        <v>198</v>
      </c>
      <c r="BN1398" t="str">
        <f t="shared" si="115"/>
        <v>Glints</v>
      </c>
      <c r="BO1398">
        <f t="shared" si="112"/>
        <v>470</v>
      </c>
      <c r="BP1398">
        <f t="shared" si="113"/>
        <v>161</v>
      </c>
      <c r="BQ1398">
        <f t="shared" si="114"/>
        <v>631</v>
      </c>
    </row>
    <row r="1399" spans="26:69" hidden="1" x14ac:dyDescent="0.25">
      <c r="Z1399" s="7" t="s">
        <v>763</v>
      </c>
      <c r="AA1399" s="1">
        <v>0.14000000000000001</v>
      </c>
      <c r="AI1399" s="7" t="s">
        <v>770</v>
      </c>
      <c r="AJ1399" s="40">
        <v>1</v>
      </c>
      <c r="AL1399" s="7" t="s">
        <v>771</v>
      </c>
      <c r="AM1399" s="27">
        <v>1</v>
      </c>
      <c r="AW1399" s="7" t="s">
        <v>903</v>
      </c>
      <c r="AX1399" s="27">
        <v>335</v>
      </c>
      <c r="BC1399" s="7" t="s">
        <v>845</v>
      </c>
      <c r="BD1399" s="27">
        <v>82</v>
      </c>
      <c r="BJ1399" s="7" t="s">
        <v>775</v>
      </c>
      <c r="BK1399" s="40">
        <v>30</v>
      </c>
      <c r="BL1399" s="40">
        <v>18</v>
      </c>
      <c r="BN1399" t="str">
        <f t="shared" si="115"/>
        <v>Glitch</v>
      </c>
      <c r="BO1399">
        <f t="shared" si="112"/>
        <v>601</v>
      </c>
      <c r="BP1399">
        <f t="shared" si="113"/>
        <v>607</v>
      </c>
      <c r="BQ1399">
        <f t="shared" si="114"/>
        <v>1208</v>
      </c>
    </row>
    <row r="1400" spans="26:69" hidden="1" x14ac:dyDescent="0.25">
      <c r="Z1400" s="7" t="s">
        <v>766</v>
      </c>
      <c r="AA1400" s="1">
        <v>0.1</v>
      </c>
      <c r="AI1400" s="7" t="s">
        <v>771</v>
      </c>
      <c r="AJ1400" s="40">
        <v>1</v>
      </c>
      <c r="AL1400" s="7" t="s">
        <v>773</v>
      </c>
      <c r="AM1400" s="27">
        <v>1</v>
      </c>
      <c r="AW1400" s="7" t="s">
        <v>904</v>
      </c>
      <c r="AX1400" s="27">
        <v>40</v>
      </c>
      <c r="BC1400" s="7" t="s">
        <v>846</v>
      </c>
      <c r="BD1400" s="27">
        <v>4</v>
      </c>
      <c r="BJ1400" s="7" t="s">
        <v>776</v>
      </c>
      <c r="BK1400" s="40">
        <v>0</v>
      </c>
      <c r="BL1400" s="40">
        <v>0</v>
      </c>
      <c r="BN1400" t="str">
        <f t="shared" si="115"/>
        <v>GloriFi</v>
      </c>
      <c r="BO1400">
        <f t="shared" si="112"/>
        <v>742</v>
      </c>
      <c r="BP1400">
        <f t="shared" si="113"/>
        <v>683</v>
      </c>
      <c r="BQ1400">
        <f t="shared" si="114"/>
        <v>1425</v>
      </c>
    </row>
    <row r="1401" spans="26:69" hidden="1" x14ac:dyDescent="0.25">
      <c r="Z1401" s="7" t="s">
        <v>767</v>
      </c>
      <c r="AA1401" s="1">
        <v>0</v>
      </c>
      <c r="AI1401" s="7" t="s">
        <v>773</v>
      </c>
      <c r="AJ1401" s="40">
        <v>1</v>
      </c>
      <c r="AL1401" s="7" t="s">
        <v>774</v>
      </c>
      <c r="AM1401" s="27">
        <v>1</v>
      </c>
      <c r="AW1401" s="7" t="s">
        <v>905</v>
      </c>
      <c r="AX1401" s="27">
        <v>43</v>
      </c>
      <c r="BC1401" s="7" t="s">
        <v>847</v>
      </c>
      <c r="BD1401" s="27">
        <v>743</v>
      </c>
      <c r="BJ1401" s="7" t="s">
        <v>777</v>
      </c>
      <c r="BK1401" s="40">
        <v>718</v>
      </c>
      <c r="BL1401" s="40">
        <v>249</v>
      </c>
      <c r="BN1401" t="str">
        <f t="shared" si="115"/>
        <v>Glossier</v>
      </c>
      <c r="BO1401">
        <f t="shared" si="112"/>
        <v>122</v>
      </c>
      <c r="BP1401">
        <f t="shared" si="113"/>
        <v>128</v>
      </c>
      <c r="BQ1401">
        <f t="shared" si="114"/>
        <v>250</v>
      </c>
    </row>
    <row r="1402" spans="26:69" hidden="1" x14ac:dyDescent="0.25">
      <c r="Z1402" s="7" t="s">
        <v>768</v>
      </c>
      <c r="AA1402" s="1">
        <v>0.17</v>
      </c>
      <c r="AI1402" s="7" t="s">
        <v>774</v>
      </c>
      <c r="AJ1402" s="40">
        <v>1</v>
      </c>
      <c r="AL1402" s="7" t="s">
        <v>775</v>
      </c>
      <c r="AM1402" s="27">
        <v>1</v>
      </c>
      <c r="AW1402" s="7" t="s">
        <v>906</v>
      </c>
      <c r="AX1402" s="27">
        <v>239</v>
      </c>
      <c r="BC1402" s="7" t="s">
        <v>849</v>
      </c>
      <c r="BD1402" s="27">
        <v>661</v>
      </c>
      <c r="BJ1402" s="7" t="s">
        <v>778</v>
      </c>
      <c r="BK1402" s="40">
        <v>1200</v>
      </c>
      <c r="BL1402" s="40">
        <v>250</v>
      </c>
      <c r="BN1402" t="str">
        <f t="shared" si="115"/>
        <v>Glovo</v>
      </c>
      <c r="BO1402">
        <f t="shared" si="112"/>
        <v>72</v>
      </c>
      <c r="BP1402">
        <f t="shared" si="113"/>
        <v>121</v>
      </c>
      <c r="BQ1402">
        <f t="shared" si="114"/>
        <v>193</v>
      </c>
    </row>
    <row r="1403" spans="26:69" hidden="1" x14ac:dyDescent="0.25">
      <c r="Z1403" s="7" t="s">
        <v>769</v>
      </c>
      <c r="AA1403" s="1">
        <v>0.1</v>
      </c>
      <c r="AI1403" s="7" t="s">
        <v>775</v>
      </c>
      <c r="AJ1403" s="40">
        <v>1</v>
      </c>
      <c r="AL1403" s="7" t="s">
        <v>776</v>
      </c>
      <c r="AM1403" s="27">
        <v>1</v>
      </c>
      <c r="AW1403" s="7" t="s">
        <v>907</v>
      </c>
      <c r="AX1403" s="27">
        <v>1877</v>
      </c>
      <c r="BC1403" s="7" t="s">
        <v>850</v>
      </c>
      <c r="BD1403" s="27">
        <v>70</v>
      </c>
      <c r="BJ1403" s="7" t="s">
        <v>781</v>
      </c>
      <c r="BK1403" s="40">
        <v>97</v>
      </c>
      <c r="BL1403" s="40">
        <v>22</v>
      </c>
      <c r="BN1403" t="str">
        <f t="shared" si="115"/>
        <v>GoBear</v>
      </c>
      <c r="BO1403">
        <f t="shared" si="112"/>
        <v>446</v>
      </c>
      <c r="BP1403">
        <f t="shared" si="113"/>
        <v>581</v>
      </c>
      <c r="BQ1403">
        <f t="shared" si="114"/>
        <v>1027</v>
      </c>
    </row>
    <row r="1404" spans="26:69" hidden="1" x14ac:dyDescent="0.25">
      <c r="Z1404" s="7" t="s">
        <v>770</v>
      </c>
      <c r="AA1404" s="1">
        <v>7.0000000000000007E-2</v>
      </c>
      <c r="AI1404" s="7" t="s">
        <v>776</v>
      </c>
      <c r="AJ1404" s="40">
        <v>1</v>
      </c>
      <c r="AL1404" s="7" t="s">
        <v>777</v>
      </c>
      <c r="AM1404" s="27">
        <v>3</v>
      </c>
      <c r="AW1404" s="7" t="s">
        <v>908</v>
      </c>
      <c r="AX1404" s="27">
        <v>6</v>
      </c>
      <c r="BC1404" s="7" t="s">
        <v>851</v>
      </c>
      <c r="BD1404" s="27">
        <v>95</v>
      </c>
      <c r="BJ1404" s="7" t="s">
        <v>782</v>
      </c>
      <c r="BK1404" s="40">
        <v>178</v>
      </c>
      <c r="BL1404" s="40">
        <v>55</v>
      </c>
      <c r="BN1404" t="str">
        <f t="shared" si="115"/>
        <v>GoBolt</v>
      </c>
      <c r="BO1404">
        <f t="shared" si="112"/>
        <v>346</v>
      </c>
      <c r="BP1404">
        <f t="shared" si="113"/>
        <v>402</v>
      </c>
      <c r="BQ1404">
        <f t="shared" si="114"/>
        <v>748</v>
      </c>
    </row>
    <row r="1405" spans="26:69" hidden="1" x14ac:dyDescent="0.25">
      <c r="Z1405" s="7" t="s">
        <v>771</v>
      </c>
      <c r="AA1405" s="1">
        <v>0.28000000000000003</v>
      </c>
      <c r="AI1405" s="7" t="s">
        <v>777</v>
      </c>
      <c r="AJ1405" s="40">
        <v>3</v>
      </c>
      <c r="AL1405" s="7" t="s">
        <v>778</v>
      </c>
      <c r="AM1405" s="27">
        <v>1</v>
      </c>
      <c r="AW1405" s="7" t="s">
        <v>909</v>
      </c>
      <c r="AX1405" s="27">
        <v>150</v>
      </c>
      <c r="BC1405" s="7" t="s">
        <v>852</v>
      </c>
      <c r="BD1405" s="27">
        <v>900</v>
      </c>
      <c r="BJ1405" s="7" t="s">
        <v>783</v>
      </c>
      <c r="BK1405" s="40">
        <v>800</v>
      </c>
      <c r="BL1405" s="40">
        <v>981</v>
      </c>
      <c r="BN1405" t="str">
        <f t="shared" si="115"/>
        <v>GoDaddy</v>
      </c>
      <c r="BO1405">
        <f t="shared" si="112"/>
        <v>109</v>
      </c>
      <c r="BP1405">
        <f t="shared" si="113"/>
        <v>32</v>
      </c>
      <c r="BQ1405">
        <f t="shared" si="114"/>
        <v>141</v>
      </c>
    </row>
    <row r="1406" spans="26:69" hidden="1" x14ac:dyDescent="0.25">
      <c r="Z1406" s="7" t="s">
        <v>773</v>
      </c>
      <c r="AA1406" s="1">
        <v>0.3</v>
      </c>
      <c r="AI1406" s="7" t="s">
        <v>778</v>
      </c>
      <c r="AJ1406" s="40">
        <v>1</v>
      </c>
      <c r="AL1406" s="7" t="s">
        <v>781</v>
      </c>
      <c r="AM1406" s="27">
        <v>1</v>
      </c>
      <c r="AW1406" s="7" t="s">
        <v>910</v>
      </c>
      <c r="AX1406" s="27">
        <v>45</v>
      </c>
      <c r="BC1406" s="7" t="s">
        <v>853</v>
      </c>
      <c r="BD1406" s="27">
        <v>3000</v>
      </c>
      <c r="BJ1406" s="7" t="s">
        <v>784</v>
      </c>
      <c r="BK1406" s="40">
        <v>0</v>
      </c>
      <c r="BL1406" s="40">
        <v>94</v>
      </c>
      <c r="BN1406" t="str">
        <f t="shared" si="115"/>
        <v>GoFundMe</v>
      </c>
      <c r="BO1406">
        <f t="shared" si="112"/>
        <v>742</v>
      </c>
      <c r="BP1406">
        <f t="shared" si="113"/>
        <v>295</v>
      </c>
      <c r="BQ1406">
        <f t="shared" si="114"/>
        <v>1037</v>
      </c>
    </row>
    <row r="1407" spans="26:69" hidden="1" x14ac:dyDescent="0.25">
      <c r="Z1407" s="7" t="s">
        <v>774</v>
      </c>
      <c r="AA1407" s="1">
        <v>0.18</v>
      </c>
      <c r="AI1407" s="7" t="s">
        <v>781</v>
      </c>
      <c r="AJ1407" s="40">
        <v>1</v>
      </c>
      <c r="AL1407" s="7" t="s">
        <v>782</v>
      </c>
      <c r="AM1407" s="27">
        <v>1</v>
      </c>
      <c r="AW1407" s="7" t="s">
        <v>911</v>
      </c>
      <c r="AX1407" s="27">
        <v>190</v>
      </c>
      <c r="BC1407" s="7" t="s">
        <v>854</v>
      </c>
      <c r="BD1407" s="27">
        <v>45</v>
      </c>
      <c r="BJ1407" s="7" t="s">
        <v>785</v>
      </c>
      <c r="BK1407" s="40">
        <v>75</v>
      </c>
      <c r="BL1407" s="40">
        <v>800</v>
      </c>
      <c r="BN1407" t="str">
        <f t="shared" si="115"/>
        <v>GoHealth</v>
      </c>
      <c r="BO1407">
        <f t="shared" si="112"/>
        <v>485</v>
      </c>
      <c r="BP1407">
        <f t="shared" si="113"/>
        <v>39</v>
      </c>
      <c r="BQ1407">
        <f t="shared" si="114"/>
        <v>524</v>
      </c>
    </row>
    <row r="1408" spans="26:69" hidden="1" x14ac:dyDescent="0.25">
      <c r="Z1408" s="7" t="s">
        <v>775</v>
      </c>
      <c r="AA1408" s="1">
        <v>0.36</v>
      </c>
      <c r="AI1408" s="7" t="s">
        <v>782</v>
      </c>
      <c r="AJ1408" s="40">
        <v>1</v>
      </c>
      <c r="AL1408" s="7" t="s">
        <v>783</v>
      </c>
      <c r="AM1408" s="27">
        <v>2</v>
      </c>
      <c r="AW1408" s="7" t="s">
        <v>912</v>
      </c>
      <c r="AX1408" s="27">
        <v>26</v>
      </c>
      <c r="BC1408" s="7" t="s">
        <v>855</v>
      </c>
      <c r="BD1408" s="27">
        <v>30</v>
      </c>
      <c r="BJ1408" s="7" t="s">
        <v>786</v>
      </c>
      <c r="BK1408" s="40">
        <v>4800</v>
      </c>
      <c r="BL1408" s="40">
        <v>430</v>
      </c>
      <c r="BN1408" t="str">
        <f t="shared" si="115"/>
        <v>Gojek</v>
      </c>
      <c r="BO1408">
        <f t="shared" si="112"/>
        <v>11</v>
      </c>
      <c r="BP1408">
        <f t="shared" si="113"/>
        <v>81</v>
      </c>
      <c r="BQ1408">
        <f t="shared" si="114"/>
        <v>92</v>
      </c>
    </row>
    <row r="1409" spans="26:69" hidden="1" x14ac:dyDescent="0.25">
      <c r="Z1409" s="7" t="s">
        <v>776</v>
      </c>
      <c r="AA1409" s="1">
        <v>1</v>
      </c>
      <c r="AI1409" s="7" t="s">
        <v>783</v>
      </c>
      <c r="AJ1409" s="40">
        <v>2</v>
      </c>
      <c r="AL1409" s="7" t="s">
        <v>784</v>
      </c>
      <c r="AM1409" s="27">
        <v>1</v>
      </c>
      <c r="AW1409" s="7" t="s">
        <v>913</v>
      </c>
      <c r="AX1409" s="27">
        <v>544</v>
      </c>
      <c r="BC1409" s="7" t="s">
        <v>856</v>
      </c>
      <c r="BD1409" s="27">
        <v>127</v>
      </c>
      <c r="BJ1409" s="7" t="s">
        <v>787</v>
      </c>
      <c r="BK1409" s="40">
        <v>24</v>
      </c>
      <c r="BL1409" s="40">
        <v>74</v>
      </c>
      <c r="BN1409" t="str">
        <f t="shared" si="115"/>
        <v>Gokada</v>
      </c>
      <c r="BO1409">
        <f t="shared" si="112"/>
        <v>621</v>
      </c>
      <c r="BP1409">
        <f t="shared" si="113"/>
        <v>347</v>
      </c>
      <c r="BQ1409">
        <f t="shared" si="114"/>
        <v>968</v>
      </c>
    </row>
    <row r="1410" spans="26:69" hidden="1" x14ac:dyDescent="0.25">
      <c r="Z1410" s="7" t="s">
        <v>777</v>
      </c>
      <c r="AA1410" s="1">
        <v>0.38</v>
      </c>
      <c r="AI1410" s="7" t="s">
        <v>784</v>
      </c>
      <c r="AJ1410" s="40">
        <v>1</v>
      </c>
      <c r="AL1410" s="7" t="s">
        <v>785</v>
      </c>
      <c r="AM1410" s="27">
        <v>1</v>
      </c>
      <c r="AW1410" s="7" t="s">
        <v>914</v>
      </c>
      <c r="AX1410" s="27">
        <v>212</v>
      </c>
      <c r="BC1410" s="7" t="s">
        <v>858</v>
      </c>
      <c r="BD1410" s="27">
        <v>1226</v>
      </c>
      <c r="BJ1410" s="7" t="s">
        <v>788</v>
      </c>
      <c r="BK1410" s="40">
        <v>54</v>
      </c>
      <c r="BL1410" s="40">
        <v>0</v>
      </c>
      <c r="BN1410" t="str">
        <f t="shared" si="115"/>
        <v>GoMechanic</v>
      </c>
      <c r="BO1410">
        <f t="shared" si="112"/>
        <v>535</v>
      </c>
      <c r="BP1410">
        <f t="shared" si="113"/>
        <v>683</v>
      </c>
      <c r="BQ1410">
        <f t="shared" si="114"/>
        <v>1218</v>
      </c>
    </row>
    <row r="1411" spans="26:69" hidden="1" x14ac:dyDescent="0.25">
      <c r="Z1411" s="7" t="s">
        <v>778</v>
      </c>
      <c r="AA1411" s="1">
        <v>0.06</v>
      </c>
      <c r="AI1411" s="7" t="s">
        <v>785</v>
      </c>
      <c r="AJ1411" s="40">
        <v>1</v>
      </c>
      <c r="AL1411" s="7" t="s">
        <v>786</v>
      </c>
      <c r="AM1411" s="27">
        <v>1</v>
      </c>
      <c r="AW1411" s="7" t="s">
        <v>915</v>
      </c>
      <c r="AX1411" s="27">
        <v>19</v>
      </c>
      <c r="BC1411" s="7" t="s">
        <v>859</v>
      </c>
      <c r="BD1411" s="27">
        <v>4200</v>
      </c>
      <c r="BJ1411" s="7" t="s">
        <v>789</v>
      </c>
      <c r="BK1411" s="40">
        <v>583</v>
      </c>
      <c r="BL1411" s="40">
        <v>80</v>
      </c>
      <c r="BN1411" t="str">
        <f t="shared" si="115"/>
        <v>Gong</v>
      </c>
      <c r="BO1411">
        <f t="shared" si="112"/>
        <v>144</v>
      </c>
      <c r="BP1411">
        <f t="shared" si="113"/>
        <v>322</v>
      </c>
      <c r="BQ1411">
        <f t="shared" si="114"/>
        <v>466</v>
      </c>
    </row>
    <row r="1412" spans="26:69" hidden="1" x14ac:dyDescent="0.25">
      <c r="Z1412" s="7" t="s">
        <v>781</v>
      </c>
      <c r="AA1412" s="1">
        <v>0.11</v>
      </c>
      <c r="AI1412" s="7" t="s">
        <v>786</v>
      </c>
      <c r="AJ1412" s="40">
        <v>1</v>
      </c>
      <c r="AL1412" s="7" t="s">
        <v>787</v>
      </c>
      <c r="AM1412" s="27">
        <v>2</v>
      </c>
      <c r="AW1412" s="7" t="s">
        <v>916</v>
      </c>
      <c r="AX1412" s="27">
        <v>40</v>
      </c>
      <c r="BC1412" s="7" t="s">
        <v>860</v>
      </c>
      <c r="BD1412" s="27">
        <v>61</v>
      </c>
      <c r="BJ1412" s="7" t="s">
        <v>790</v>
      </c>
      <c r="BK1412" s="40">
        <v>0</v>
      </c>
      <c r="BL1412" s="40">
        <v>0</v>
      </c>
      <c r="BN1412" t="str">
        <f t="shared" si="115"/>
        <v>GoNuts</v>
      </c>
      <c r="BO1412">
        <f t="shared" si="112"/>
        <v>742</v>
      </c>
      <c r="BP1412">
        <f t="shared" si="113"/>
        <v>683</v>
      </c>
      <c r="BQ1412">
        <f t="shared" si="114"/>
        <v>1425</v>
      </c>
    </row>
    <row r="1413" spans="26:69" hidden="1" x14ac:dyDescent="0.25">
      <c r="Z1413" s="7" t="s">
        <v>782</v>
      </c>
      <c r="AA1413" s="1">
        <v>0.05</v>
      </c>
      <c r="AI1413" s="7" t="s">
        <v>787</v>
      </c>
      <c r="AJ1413" s="40">
        <v>2</v>
      </c>
      <c r="AL1413" s="7" t="s">
        <v>788</v>
      </c>
      <c r="AM1413" s="27">
        <v>1</v>
      </c>
      <c r="AW1413" s="7" t="s">
        <v>917</v>
      </c>
      <c r="AX1413" s="27">
        <v>57</v>
      </c>
      <c r="BC1413" s="7" t="s">
        <v>861</v>
      </c>
      <c r="BD1413" s="27">
        <v>13</v>
      </c>
      <c r="BJ1413" s="7" t="s">
        <v>791</v>
      </c>
      <c r="BK1413" s="40">
        <v>16</v>
      </c>
      <c r="BL1413" s="40">
        <v>70</v>
      </c>
      <c r="BN1413" t="str">
        <f t="shared" si="115"/>
        <v>Goodfood</v>
      </c>
      <c r="BO1413">
        <f t="shared" si="112"/>
        <v>659</v>
      </c>
      <c r="BP1413">
        <f t="shared" si="113"/>
        <v>350</v>
      </c>
      <c r="BQ1413">
        <f t="shared" si="114"/>
        <v>1009</v>
      </c>
    </row>
    <row r="1414" spans="26:69" hidden="1" x14ac:dyDescent="0.25">
      <c r="Z1414" s="7" t="s">
        <v>783</v>
      </c>
      <c r="AA1414" s="1">
        <v>0.08</v>
      </c>
      <c r="AI1414" s="7" t="s">
        <v>788</v>
      </c>
      <c r="AJ1414" s="40">
        <v>1</v>
      </c>
      <c r="AL1414" s="7" t="s">
        <v>789</v>
      </c>
      <c r="AM1414" s="27">
        <v>1</v>
      </c>
      <c r="AW1414" s="7" t="s">
        <v>919</v>
      </c>
      <c r="AX1414" s="27">
        <v>715</v>
      </c>
      <c r="BC1414" s="7" t="s">
        <v>862</v>
      </c>
      <c r="BD1414" s="27">
        <v>306</v>
      </c>
      <c r="BJ1414" s="7" t="s">
        <v>792</v>
      </c>
      <c r="BK1414" s="40">
        <v>6</v>
      </c>
      <c r="BL1414" s="40">
        <v>0</v>
      </c>
      <c r="BN1414" t="str">
        <f t="shared" si="115"/>
        <v>GoodGood</v>
      </c>
      <c r="BO1414">
        <f t="shared" si="112"/>
        <v>706</v>
      </c>
      <c r="BP1414">
        <f t="shared" si="113"/>
        <v>683</v>
      </c>
      <c r="BQ1414">
        <f t="shared" si="114"/>
        <v>1389</v>
      </c>
    </row>
    <row r="1415" spans="26:69" hidden="1" x14ac:dyDescent="0.25">
      <c r="Z1415" s="7" t="s">
        <v>784</v>
      </c>
      <c r="AA1415" s="1">
        <v>0.12</v>
      </c>
      <c r="AI1415" s="7" t="s">
        <v>789</v>
      </c>
      <c r="AJ1415" s="40">
        <v>1</v>
      </c>
      <c r="AL1415" s="7" t="s">
        <v>790</v>
      </c>
      <c r="AM1415" s="27">
        <v>1</v>
      </c>
      <c r="AW1415" s="7" t="s">
        <v>920</v>
      </c>
      <c r="AX1415" s="27">
        <v>22</v>
      </c>
      <c r="BC1415" s="7" t="s">
        <v>863</v>
      </c>
      <c r="BD1415" s="27">
        <v>100</v>
      </c>
      <c r="BJ1415" s="7" t="s">
        <v>793</v>
      </c>
      <c r="BK1415" s="40">
        <v>910</v>
      </c>
      <c r="BL1415" s="40">
        <v>140</v>
      </c>
      <c r="BN1415" t="str">
        <f t="shared" si="115"/>
        <v>GoodRx</v>
      </c>
      <c r="BO1415">
        <f t="shared" si="112"/>
        <v>97</v>
      </c>
      <c r="BP1415">
        <f t="shared" si="113"/>
        <v>212</v>
      </c>
      <c r="BQ1415">
        <f t="shared" si="114"/>
        <v>309</v>
      </c>
    </row>
    <row r="1416" spans="26:69" hidden="1" x14ac:dyDescent="0.25">
      <c r="Z1416" s="7" t="s">
        <v>785</v>
      </c>
      <c r="AA1416" s="1">
        <v>0.2</v>
      </c>
      <c r="AI1416" s="7" t="s">
        <v>790</v>
      </c>
      <c r="AJ1416" s="40">
        <v>1</v>
      </c>
      <c r="AL1416" s="7" t="s">
        <v>791</v>
      </c>
      <c r="AM1416" s="27">
        <v>1</v>
      </c>
      <c r="AW1416" s="7" t="s">
        <v>921</v>
      </c>
      <c r="AX1416" s="27">
        <v>1000</v>
      </c>
      <c r="BC1416" s="7" t="s">
        <v>864</v>
      </c>
      <c r="BD1416" s="27">
        <v>37</v>
      </c>
      <c r="BJ1416" s="7" t="s">
        <v>794</v>
      </c>
      <c r="BK1416" s="40">
        <v>26</v>
      </c>
      <c r="BL1416" s="40">
        <v>12000</v>
      </c>
      <c r="BN1416" t="str">
        <f t="shared" si="115"/>
        <v>Google</v>
      </c>
      <c r="BO1416">
        <f t="shared" si="112"/>
        <v>612</v>
      </c>
      <c r="BP1416">
        <f t="shared" si="113"/>
        <v>2</v>
      </c>
      <c r="BQ1416">
        <f t="shared" si="114"/>
        <v>614</v>
      </c>
    </row>
    <row r="1417" spans="26:69" hidden="1" x14ac:dyDescent="0.25">
      <c r="Z1417" s="7" t="s">
        <v>786</v>
      </c>
      <c r="AA1417" s="1">
        <v>0.09</v>
      </c>
      <c r="AI1417" s="7" t="s">
        <v>791</v>
      </c>
      <c r="AJ1417" s="40">
        <v>1</v>
      </c>
      <c r="AL1417" s="7" t="s">
        <v>792</v>
      </c>
      <c r="AM1417" s="27">
        <v>1</v>
      </c>
      <c r="AW1417" s="7" t="s">
        <v>922</v>
      </c>
      <c r="AX1417" s="27">
        <v>70</v>
      </c>
      <c r="BC1417" s="7" t="s">
        <v>865</v>
      </c>
      <c r="BD1417" s="27">
        <v>4</v>
      </c>
      <c r="BJ1417" s="7" t="s">
        <v>795</v>
      </c>
      <c r="BK1417" s="40">
        <v>288</v>
      </c>
      <c r="BL1417" s="40">
        <v>200</v>
      </c>
      <c r="BN1417" t="str">
        <f t="shared" si="115"/>
        <v>GoPro</v>
      </c>
      <c r="BO1417">
        <f t="shared" ref="BO1417:BO1480" si="116">RANK($BK$839:$BK$1662,$BK$839:$BK$1662,0)</f>
        <v>254</v>
      </c>
      <c r="BP1417">
        <f t="shared" ref="BP1417:BP1480" si="117">RANK($BL$840:$BL$1662,$BL$840:$BL$1662,0)</f>
        <v>147</v>
      </c>
      <c r="BQ1417">
        <f t="shared" ref="BQ1417:BQ1480" si="118">BO1417+BP1417</f>
        <v>401</v>
      </c>
    </row>
    <row r="1418" spans="26:69" x14ac:dyDescent="0.25">
      <c r="Z1418" s="7" t="s">
        <v>787</v>
      </c>
      <c r="AA1418" s="1">
        <v>0</v>
      </c>
      <c r="AI1418" s="7" t="s">
        <v>792</v>
      </c>
      <c r="AJ1418" s="40">
        <v>1</v>
      </c>
      <c r="AL1418" s="7" t="s">
        <v>793</v>
      </c>
      <c r="AM1418" s="27">
        <v>1</v>
      </c>
      <c r="AW1418" s="7" t="s">
        <v>924</v>
      </c>
      <c r="AX1418" s="27">
        <v>50</v>
      </c>
      <c r="BC1418" s="7" t="s">
        <v>866</v>
      </c>
      <c r="BD1418" s="27">
        <v>40</v>
      </c>
      <c r="BJ1418" s="7" t="s">
        <v>796</v>
      </c>
      <c r="BK1418" s="40">
        <v>13600</v>
      </c>
      <c r="BL1418" s="40">
        <v>2300</v>
      </c>
      <c r="BN1418" t="str">
        <f t="shared" si="115"/>
        <v>Gopuff</v>
      </c>
      <c r="BO1418">
        <f t="shared" si="116"/>
        <v>4</v>
      </c>
      <c r="BP1418">
        <f t="shared" si="117"/>
        <v>14</v>
      </c>
      <c r="BQ1418">
        <f t="shared" si="118"/>
        <v>18</v>
      </c>
    </row>
    <row r="1419" spans="26:69" hidden="1" x14ac:dyDescent="0.25">
      <c r="Z1419" s="7" t="s">
        <v>788</v>
      </c>
      <c r="AA1419" s="1">
        <v>0.7</v>
      </c>
      <c r="AI1419" s="7" t="s">
        <v>793</v>
      </c>
      <c r="AJ1419" s="40">
        <v>1</v>
      </c>
      <c r="AL1419" s="7" t="s">
        <v>794</v>
      </c>
      <c r="AM1419" s="27">
        <v>1</v>
      </c>
      <c r="AW1419" s="7" t="s">
        <v>925</v>
      </c>
      <c r="AX1419" s="27">
        <v>9</v>
      </c>
      <c r="BC1419" s="7" t="s">
        <v>867</v>
      </c>
      <c r="BD1419" s="27">
        <v>6</v>
      </c>
      <c r="BJ1419" s="7" t="s">
        <v>797</v>
      </c>
      <c r="BK1419" s="40">
        <v>2600</v>
      </c>
      <c r="BL1419" s="40">
        <v>840</v>
      </c>
      <c r="BN1419" t="str">
        <f t="shared" si="115"/>
        <v>Gorillas</v>
      </c>
      <c r="BO1419">
        <f t="shared" si="116"/>
        <v>26</v>
      </c>
      <c r="BP1419">
        <f t="shared" si="117"/>
        <v>38</v>
      </c>
      <c r="BQ1419">
        <f t="shared" si="118"/>
        <v>64</v>
      </c>
    </row>
    <row r="1420" spans="26:69" hidden="1" x14ac:dyDescent="0.25">
      <c r="Z1420" s="7" t="s">
        <v>789</v>
      </c>
      <c r="AA1420" s="1">
        <v>7.0000000000000007E-2</v>
      </c>
      <c r="AI1420" s="7" t="s">
        <v>794</v>
      </c>
      <c r="AJ1420" s="40">
        <v>1</v>
      </c>
      <c r="AL1420" s="7" t="s">
        <v>795</v>
      </c>
      <c r="AM1420" s="27">
        <v>1</v>
      </c>
      <c r="AW1420" s="7" t="s">
        <v>926</v>
      </c>
      <c r="AX1420" s="27">
        <v>25</v>
      </c>
      <c r="BC1420" s="7" t="s">
        <v>868</v>
      </c>
      <c r="BD1420" s="27">
        <v>4</v>
      </c>
      <c r="BJ1420" s="7" t="s">
        <v>798</v>
      </c>
      <c r="BK1420" s="40">
        <v>47</v>
      </c>
      <c r="BL1420" s="40">
        <v>23</v>
      </c>
      <c r="BN1420" t="str">
        <f t="shared" si="115"/>
        <v>GoSpotCheck</v>
      </c>
      <c r="BO1420">
        <f t="shared" si="116"/>
        <v>552</v>
      </c>
      <c r="BP1420">
        <f t="shared" si="117"/>
        <v>570</v>
      </c>
      <c r="BQ1420">
        <f t="shared" si="118"/>
        <v>1122</v>
      </c>
    </row>
    <row r="1421" spans="26:69" hidden="1" x14ac:dyDescent="0.25">
      <c r="Z1421" s="7" t="s">
        <v>790</v>
      </c>
      <c r="AA1421" s="1">
        <v>1</v>
      </c>
      <c r="AI1421" s="7" t="s">
        <v>795</v>
      </c>
      <c r="AJ1421" s="40">
        <v>1</v>
      </c>
      <c r="AL1421" s="7" t="s">
        <v>796</v>
      </c>
      <c r="AM1421" s="27">
        <v>4</v>
      </c>
      <c r="AW1421" s="7" t="s">
        <v>927</v>
      </c>
      <c r="AX1421" s="27">
        <v>225</v>
      </c>
      <c r="BC1421" s="7" t="s">
        <v>870</v>
      </c>
      <c r="BD1421" s="27">
        <v>538</v>
      </c>
      <c r="BJ1421" s="7" t="s">
        <v>799</v>
      </c>
      <c r="BK1421" s="40">
        <v>1372</v>
      </c>
      <c r="BL1421" s="40">
        <v>300</v>
      </c>
      <c r="BN1421" t="str">
        <f t="shared" si="115"/>
        <v>GoStudent</v>
      </c>
      <c r="BO1421">
        <f t="shared" si="116"/>
        <v>62</v>
      </c>
      <c r="BP1421">
        <f t="shared" si="117"/>
        <v>103</v>
      </c>
      <c r="BQ1421">
        <f t="shared" si="118"/>
        <v>165</v>
      </c>
    </row>
    <row r="1422" spans="26:69" hidden="1" x14ac:dyDescent="0.25">
      <c r="Z1422" s="7" t="s">
        <v>791</v>
      </c>
      <c r="AA1422" s="1">
        <v>0</v>
      </c>
      <c r="AI1422" s="7" t="s">
        <v>796</v>
      </c>
      <c r="AJ1422" s="40">
        <v>4</v>
      </c>
      <c r="AL1422" s="7" t="s">
        <v>797</v>
      </c>
      <c r="AM1422" s="27">
        <v>2</v>
      </c>
      <c r="AW1422" s="7" t="s">
        <v>928</v>
      </c>
      <c r="AX1422" s="27">
        <v>50</v>
      </c>
      <c r="BC1422" s="7" t="s">
        <v>871</v>
      </c>
      <c r="BD1422" s="27">
        <v>289</v>
      </c>
      <c r="BJ1422" s="7" t="s">
        <v>800</v>
      </c>
      <c r="BK1422" s="40">
        <v>1300</v>
      </c>
      <c r="BL1422" s="40">
        <v>1300</v>
      </c>
      <c r="BN1422" t="str">
        <f t="shared" si="115"/>
        <v>GoTo Group</v>
      </c>
      <c r="BO1422">
        <f t="shared" si="116"/>
        <v>64</v>
      </c>
      <c r="BP1422">
        <f t="shared" si="117"/>
        <v>21</v>
      </c>
      <c r="BQ1422">
        <f t="shared" si="118"/>
        <v>85</v>
      </c>
    </row>
    <row r="1423" spans="26:69" hidden="1" x14ac:dyDescent="0.25">
      <c r="Z1423" s="7" t="s">
        <v>792</v>
      </c>
      <c r="AA1423" s="1">
        <v>1</v>
      </c>
      <c r="AI1423" s="7" t="s">
        <v>797</v>
      </c>
      <c r="AJ1423" s="40">
        <v>2</v>
      </c>
      <c r="AL1423" s="7" t="s">
        <v>798</v>
      </c>
      <c r="AM1423" s="27">
        <v>1</v>
      </c>
      <c r="AW1423" s="7" t="s">
        <v>929</v>
      </c>
      <c r="AX1423" s="27">
        <v>145</v>
      </c>
      <c r="BC1423" s="7" t="s">
        <v>873</v>
      </c>
      <c r="BD1423" s="27">
        <v>85</v>
      </c>
      <c r="BJ1423" s="7" t="s">
        <v>801</v>
      </c>
      <c r="BK1423" s="40">
        <v>9900</v>
      </c>
      <c r="BL1423" s="40">
        <v>360</v>
      </c>
      <c r="BN1423" t="str">
        <f t="shared" si="115"/>
        <v>Grab</v>
      </c>
      <c r="BO1423">
        <f t="shared" si="116"/>
        <v>7</v>
      </c>
      <c r="BP1423">
        <f t="shared" si="117"/>
        <v>92</v>
      </c>
      <c r="BQ1423">
        <f t="shared" si="118"/>
        <v>99</v>
      </c>
    </row>
    <row r="1424" spans="26:69" hidden="1" x14ac:dyDescent="0.25">
      <c r="Z1424" s="7" t="s">
        <v>793</v>
      </c>
      <c r="AA1424" s="1">
        <v>0.16</v>
      </c>
      <c r="AI1424" s="7" t="s">
        <v>798</v>
      </c>
      <c r="AJ1424" s="40">
        <v>1</v>
      </c>
      <c r="AL1424" s="7" t="s">
        <v>799</v>
      </c>
      <c r="AM1424" s="27">
        <v>2</v>
      </c>
      <c r="AW1424" s="7" t="s">
        <v>930</v>
      </c>
      <c r="AX1424" s="27">
        <v>200</v>
      </c>
      <c r="BC1424" s="7" t="s">
        <v>874</v>
      </c>
      <c r="BD1424" s="27">
        <v>275</v>
      </c>
      <c r="BJ1424" s="7" t="s">
        <v>803</v>
      </c>
      <c r="BK1424" s="40">
        <v>17</v>
      </c>
      <c r="BL1424" s="40">
        <v>75</v>
      </c>
      <c r="BN1424" t="str">
        <f t="shared" si="115"/>
        <v>Gramophone</v>
      </c>
      <c r="BO1424">
        <f t="shared" si="116"/>
        <v>653</v>
      </c>
      <c r="BP1424">
        <f t="shared" si="117"/>
        <v>341</v>
      </c>
      <c r="BQ1424">
        <f t="shared" si="118"/>
        <v>994</v>
      </c>
    </row>
    <row r="1425" spans="26:69" hidden="1" x14ac:dyDescent="0.25">
      <c r="Z1425" s="7" t="s">
        <v>794</v>
      </c>
      <c r="AA1425" s="1">
        <v>0.06</v>
      </c>
      <c r="AI1425" s="7" t="s">
        <v>799</v>
      </c>
      <c r="AJ1425" s="40">
        <v>2</v>
      </c>
      <c r="AL1425" s="7" t="s">
        <v>800</v>
      </c>
      <c r="AM1425" s="27">
        <v>1</v>
      </c>
      <c r="AW1425" s="7" t="s">
        <v>931</v>
      </c>
      <c r="AX1425" s="27">
        <v>12</v>
      </c>
      <c r="BC1425" s="7" t="s">
        <v>875</v>
      </c>
      <c r="BD1425" s="27">
        <v>7</v>
      </c>
      <c r="BJ1425" s="7" t="s">
        <v>805</v>
      </c>
      <c r="BK1425" s="40">
        <v>7</v>
      </c>
      <c r="BL1425" s="40">
        <v>20</v>
      </c>
      <c r="BN1425" t="str">
        <f t="shared" si="115"/>
        <v>GrayMeta</v>
      </c>
      <c r="BO1425">
        <f t="shared" si="116"/>
        <v>701</v>
      </c>
      <c r="BP1425">
        <f t="shared" si="117"/>
        <v>588</v>
      </c>
      <c r="BQ1425">
        <f t="shared" si="118"/>
        <v>1289</v>
      </c>
    </row>
    <row r="1426" spans="26:69" hidden="1" x14ac:dyDescent="0.25">
      <c r="Z1426" s="7" t="s">
        <v>795</v>
      </c>
      <c r="AA1426" s="1">
        <v>0.2</v>
      </c>
      <c r="AI1426" s="7" t="s">
        <v>800</v>
      </c>
      <c r="AJ1426" s="40">
        <v>1</v>
      </c>
      <c r="AL1426" s="7" t="s">
        <v>801</v>
      </c>
      <c r="AM1426" s="27">
        <v>1</v>
      </c>
      <c r="AW1426" s="7" t="s">
        <v>932</v>
      </c>
      <c r="AX1426" s="27">
        <v>200</v>
      </c>
      <c r="BC1426" s="7" t="s">
        <v>876</v>
      </c>
      <c r="BD1426" s="27">
        <v>200</v>
      </c>
      <c r="BJ1426" s="7" t="s">
        <v>806</v>
      </c>
      <c r="BK1426" s="40">
        <v>110</v>
      </c>
      <c r="BL1426" s="40">
        <v>120</v>
      </c>
      <c r="BN1426" t="str">
        <f t="shared" si="115"/>
        <v>Greenhouse Software</v>
      </c>
      <c r="BO1426">
        <f t="shared" si="116"/>
        <v>422</v>
      </c>
      <c r="BP1426">
        <f t="shared" si="117"/>
        <v>238</v>
      </c>
      <c r="BQ1426">
        <f t="shared" si="118"/>
        <v>660</v>
      </c>
    </row>
    <row r="1427" spans="26:69" hidden="1" x14ac:dyDescent="0.25">
      <c r="Z1427" s="7" t="s">
        <v>796</v>
      </c>
      <c r="AA1427" s="1">
        <v>0.1</v>
      </c>
      <c r="AI1427" s="7" t="s">
        <v>801</v>
      </c>
      <c r="AJ1427" s="40">
        <v>1</v>
      </c>
      <c r="AL1427" s="7" t="s">
        <v>803</v>
      </c>
      <c r="AM1427" s="27">
        <v>1</v>
      </c>
      <c r="AW1427" s="7" t="s">
        <v>934</v>
      </c>
      <c r="AX1427" s="27">
        <v>208</v>
      </c>
      <c r="BC1427" s="7" t="s">
        <v>878</v>
      </c>
      <c r="BD1427" s="27">
        <v>348</v>
      </c>
      <c r="BJ1427" s="7" t="s">
        <v>807</v>
      </c>
      <c r="BK1427" s="40">
        <v>556</v>
      </c>
      <c r="BL1427" s="40">
        <v>104</v>
      </c>
      <c r="BN1427" t="str">
        <f t="shared" si="115"/>
        <v>Greenlight</v>
      </c>
      <c r="BO1427">
        <f t="shared" si="116"/>
        <v>150</v>
      </c>
      <c r="BP1427">
        <f t="shared" si="117"/>
        <v>252</v>
      </c>
      <c r="BQ1427">
        <f t="shared" si="118"/>
        <v>402</v>
      </c>
    </row>
    <row r="1428" spans="26:69" hidden="1" x14ac:dyDescent="0.25">
      <c r="Z1428" s="7" t="s">
        <v>797</v>
      </c>
      <c r="AA1428" s="1">
        <v>0.5</v>
      </c>
      <c r="AI1428" s="7" t="s">
        <v>803</v>
      </c>
      <c r="AJ1428" s="40">
        <v>1</v>
      </c>
      <c r="AL1428" s="7" t="s">
        <v>805</v>
      </c>
      <c r="AM1428" s="27">
        <v>1</v>
      </c>
      <c r="AW1428" s="7" t="s">
        <v>935</v>
      </c>
      <c r="AX1428" s="27">
        <v>20</v>
      </c>
      <c r="BC1428" s="7" t="s">
        <v>879</v>
      </c>
      <c r="BD1428" s="27">
        <v>2100</v>
      </c>
      <c r="BJ1428" s="7" t="s">
        <v>808</v>
      </c>
      <c r="BK1428" s="40">
        <v>145</v>
      </c>
      <c r="BL1428" s="40">
        <v>60</v>
      </c>
      <c r="BN1428" t="str">
        <f t="shared" ref="BN1428:BN1491" si="119">VLOOKUP(BJ1428,BJ1428:BL2239,1,0)</f>
        <v>Grin</v>
      </c>
      <c r="BO1428">
        <f t="shared" si="116"/>
        <v>380</v>
      </c>
      <c r="BP1428">
        <f t="shared" si="117"/>
        <v>378</v>
      </c>
      <c r="BQ1428">
        <f t="shared" si="118"/>
        <v>758</v>
      </c>
    </row>
    <row r="1429" spans="26:69" hidden="1" x14ac:dyDescent="0.25">
      <c r="Z1429" s="7" t="s">
        <v>798</v>
      </c>
      <c r="AA1429" s="1">
        <v>0.2</v>
      </c>
      <c r="AI1429" s="7" t="s">
        <v>805</v>
      </c>
      <c r="AJ1429" s="40">
        <v>1</v>
      </c>
      <c r="AL1429" s="7" t="s">
        <v>806</v>
      </c>
      <c r="AM1429" s="27">
        <v>1</v>
      </c>
      <c r="AW1429" s="7" t="s">
        <v>936</v>
      </c>
      <c r="AX1429" s="27">
        <v>35</v>
      </c>
      <c r="BC1429" s="7" t="s">
        <v>881</v>
      </c>
      <c r="BD1429" s="27">
        <v>9</v>
      </c>
      <c r="BJ1429" s="7" t="s">
        <v>809</v>
      </c>
      <c r="BK1429" s="40">
        <v>190</v>
      </c>
      <c r="BL1429" s="40">
        <v>50</v>
      </c>
      <c r="BN1429" t="str">
        <f t="shared" si="119"/>
        <v>Group Nine Media</v>
      </c>
      <c r="BO1429">
        <f t="shared" si="116"/>
        <v>330</v>
      </c>
      <c r="BP1429">
        <f t="shared" si="117"/>
        <v>410</v>
      </c>
      <c r="BQ1429">
        <f t="shared" si="118"/>
        <v>740</v>
      </c>
    </row>
    <row r="1430" spans="26:69" x14ac:dyDescent="0.25">
      <c r="Z1430" s="7" t="s">
        <v>799</v>
      </c>
      <c r="AA1430" s="1">
        <v>0</v>
      </c>
      <c r="AI1430" s="7" t="s">
        <v>806</v>
      </c>
      <c r="AJ1430" s="40">
        <v>1</v>
      </c>
      <c r="AL1430" s="7" t="s">
        <v>807</v>
      </c>
      <c r="AM1430" s="27">
        <v>1</v>
      </c>
      <c r="AW1430" s="7" t="s">
        <v>937</v>
      </c>
      <c r="AX1430" s="27">
        <v>50</v>
      </c>
      <c r="BC1430" s="7" t="s">
        <v>882</v>
      </c>
      <c r="BD1430" s="27">
        <v>74</v>
      </c>
      <c r="BJ1430" s="7" t="s">
        <v>810</v>
      </c>
      <c r="BK1430" s="40">
        <v>4200</v>
      </c>
      <c r="BL1430" s="40">
        <v>3800</v>
      </c>
      <c r="BN1430" t="str">
        <f t="shared" si="119"/>
        <v>Groupon</v>
      </c>
      <c r="BO1430">
        <f t="shared" si="116"/>
        <v>13</v>
      </c>
      <c r="BP1430">
        <f t="shared" si="117"/>
        <v>11</v>
      </c>
      <c r="BQ1430">
        <f t="shared" si="118"/>
        <v>24</v>
      </c>
    </row>
    <row r="1431" spans="26:69" hidden="1" x14ac:dyDescent="0.25">
      <c r="Z1431" s="7" t="s">
        <v>800</v>
      </c>
      <c r="AA1431" s="1">
        <v>0.12</v>
      </c>
      <c r="AI1431" s="7" t="s">
        <v>807</v>
      </c>
      <c r="AJ1431" s="40">
        <v>1</v>
      </c>
      <c r="AL1431" s="7" t="s">
        <v>808</v>
      </c>
      <c r="AM1431" s="27">
        <v>1</v>
      </c>
      <c r="AW1431" s="7" t="s">
        <v>938</v>
      </c>
      <c r="AX1431" s="27">
        <v>6</v>
      </c>
      <c r="BC1431" s="7" t="s">
        <v>883</v>
      </c>
      <c r="BD1431" s="27">
        <v>52</v>
      </c>
      <c r="BJ1431" s="7" t="s">
        <v>811</v>
      </c>
      <c r="BK1431" s="40">
        <v>474</v>
      </c>
      <c r="BL1431" s="40">
        <v>0</v>
      </c>
      <c r="BN1431" t="str">
        <f t="shared" si="119"/>
        <v>Grove Collaborative</v>
      </c>
      <c r="BO1431">
        <f t="shared" si="116"/>
        <v>176</v>
      </c>
      <c r="BP1431">
        <f t="shared" si="117"/>
        <v>683</v>
      </c>
      <c r="BQ1431">
        <f t="shared" si="118"/>
        <v>859</v>
      </c>
    </row>
    <row r="1432" spans="26:69" hidden="1" x14ac:dyDescent="0.25">
      <c r="Z1432" s="7" t="s">
        <v>801</v>
      </c>
      <c r="AA1432" s="1">
        <v>0.05</v>
      </c>
      <c r="AI1432" s="7" t="s">
        <v>808</v>
      </c>
      <c r="AJ1432" s="40">
        <v>1</v>
      </c>
      <c r="AL1432" s="7" t="s">
        <v>809</v>
      </c>
      <c r="AM1432" s="27">
        <v>1</v>
      </c>
      <c r="AW1432" s="7" t="s">
        <v>939</v>
      </c>
      <c r="AX1432" s="27">
        <v>39</v>
      </c>
      <c r="BC1432" s="7" t="s">
        <v>884</v>
      </c>
      <c r="BD1432" s="27">
        <v>28</v>
      </c>
      <c r="BJ1432" s="7" t="s">
        <v>812</v>
      </c>
      <c r="BK1432" s="40">
        <v>2300</v>
      </c>
      <c r="BL1432" s="40">
        <v>40</v>
      </c>
      <c r="BN1432" t="str">
        <f t="shared" si="119"/>
        <v>Grover</v>
      </c>
      <c r="BO1432">
        <f t="shared" si="116"/>
        <v>33</v>
      </c>
      <c r="BP1432">
        <f t="shared" si="117"/>
        <v>454</v>
      </c>
      <c r="BQ1432">
        <f t="shared" si="118"/>
        <v>487</v>
      </c>
    </row>
    <row r="1433" spans="26:69" hidden="1" x14ac:dyDescent="0.25">
      <c r="Z1433" s="7" t="s">
        <v>803</v>
      </c>
      <c r="AA1433" s="1">
        <v>0</v>
      </c>
      <c r="AI1433" s="7" t="s">
        <v>809</v>
      </c>
      <c r="AJ1433" s="40">
        <v>1</v>
      </c>
      <c r="AL1433" s="7" t="s">
        <v>810</v>
      </c>
      <c r="AM1433" s="27">
        <v>3</v>
      </c>
      <c r="AW1433" s="7" t="s">
        <v>940</v>
      </c>
      <c r="AX1433" s="27">
        <v>50</v>
      </c>
      <c r="BC1433" s="7" t="s">
        <v>885</v>
      </c>
      <c r="BD1433" s="27">
        <v>123</v>
      </c>
      <c r="BJ1433" s="7" t="s">
        <v>813</v>
      </c>
      <c r="BK1433" s="40">
        <v>550</v>
      </c>
      <c r="BL1433" s="40">
        <v>130</v>
      </c>
      <c r="BN1433" t="str">
        <f t="shared" si="119"/>
        <v>Guardant Health</v>
      </c>
      <c r="BO1433">
        <f t="shared" si="116"/>
        <v>152</v>
      </c>
      <c r="BP1433">
        <f t="shared" si="117"/>
        <v>226</v>
      </c>
      <c r="BQ1433">
        <f t="shared" si="118"/>
        <v>378</v>
      </c>
    </row>
    <row r="1434" spans="26:69" hidden="1" x14ac:dyDescent="0.25">
      <c r="Z1434" s="7" t="s">
        <v>805</v>
      </c>
      <c r="AA1434" s="1">
        <v>0.4</v>
      </c>
      <c r="AI1434" s="7" t="s">
        <v>810</v>
      </c>
      <c r="AJ1434" s="40">
        <v>3</v>
      </c>
      <c r="AL1434" s="7" t="s">
        <v>811</v>
      </c>
      <c r="AM1434" s="27">
        <v>1</v>
      </c>
      <c r="AW1434" s="7" t="s">
        <v>942</v>
      </c>
      <c r="AX1434" s="27">
        <v>900</v>
      </c>
      <c r="BC1434" s="7" t="s">
        <v>887</v>
      </c>
      <c r="BD1434" s="27">
        <v>558</v>
      </c>
      <c r="BJ1434" s="7" t="s">
        <v>814</v>
      </c>
      <c r="BK1434" s="40">
        <v>24</v>
      </c>
      <c r="BL1434" s="40">
        <v>0</v>
      </c>
      <c r="BN1434" t="str">
        <f t="shared" si="119"/>
        <v>Guidewire</v>
      </c>
      <c r="BO1434">
        <f t="shared" si="116"/>
        <v>621</v>
      </c>
      <c r="BP1434">
        <f t="shared" si="117"/>
        <v>683</v>
      </c>
      <c r="BQ1434">
        <f t="shared" si="118"/>
        <v>1304</v>
      </c>
    </row>
    <row r="1435" spans="26:69" hidden="1" x14ac:dyDescent="0.25">
      <c r="Z1435" s="7" t="s">
        <v>806</v>
      </c>
      <c r="AA1435" s="1">
        <v>0.28000000000000003</v>
      </c>
      <c r="AI1435" s="7" t="s">
        <v>811</v>
      </c>
      <c r="AJ1435" s="40">
        <v>1</v>
      </c>
      <c r="AL1435" s="7" t="s">
        <v>812</v>
      </c>
      <c r="AM1435" s="27">
        <v>1</v>
      </c>
      <c r="AW1435" s="7" t="s">
        <v>943</v>
      </c>
      <c r="AX1435" s="27">
        <v>100</v>
      </c>
      <c r="BC1435" s="7" t="s">
        <v>888</v>
      </c>
      <c r="BD1435" s="27">
        <v>361</v>
      </c>
      <c r="BJ1435" s="7" t="s">
        <v>815</v>
      </c>
      <c r="BK1435" s="40">
        <v>58</v>
      </c>
      <c r="BL1435" s="40">
        <v>90</v>
      </c>
      <c r="BN1435" t="str">
        <f t="shared" si="119"/>
        <v>GumGum</v>
      </c>
      <c r="BO1435">
        <f t="shared" si="116"/>
        <v>521</v>
      </c>
      <c r="BP1435">
        <f t="shared" si="117"/>
        <v>298</v>
      </c>
      <c r="BQ1435">
        <f t="shared" si="118"/>
        <v>819</v>
      </c>
    </row>
    <row r="1436" spans="26:69" hidden="1" x14ac:dyDescent="0.25">
      <c r="Z1436" s="7" t="s">
        <v>807</v>
      </c>
      <c r="AA1436" s="1">
        <v>0.21</v>
      </c>
      <c r="AI1436" s="7" t="s">
        <v>812</v>
      </c>
      <c r="AJ1436" s="40">
        <v>1</v>
      </c>
      <c r="AL1436" s="7" t="s">
        <v>813</v>
      </c>
      <c r="AM1436" s="27">
        <v>1</v>
      </c>
      <c r="AW1436" s="7" t="s">
        <v>944</v>
      </c>
      <c r="AX1436" s="27">
        <v>500</v>
      </c>
      <c r="BC1436" s="7" t="s">
        <v>889</v>
      </c>
      <c r="BD1436" s="27">
        <v>32</v>
      </c>
      <c r="BJ1436" s="7" t="s">
        <v>816</v>
      </c>
      <c r="BK1436" s="40">
        <v>746</v>
      </c>
      <c r="BL1436" s="40">
        <v>126</v>
      </c>
      <c r="BN1436" t="str">
        <f t="shared" si="119"/>
        <v>Gusto</v>
      </c>
      <c r="BO1436">
        <f t="shared" si="116"/>
        <v>115</v>
      </c>
      <c r="BP1436">
        <f t="shared" si="117"/>
        <v>234</v>
      </c>
      <c r="BQ1436">
        <f t="shared" si="118"/>
        <v>349</v>
      </c>
    </row>
    <row r="1437" spans="26:69" hidden="1" x14ac:dyDescent="0.25">
      <c r="Z1437" s="7" t="s">
        <v>808</v>
      </c>
      <c r="AA1437" s="1">
        <v>0.13</v>
      </c>
      <c r="AI1437" s="7" t="s">
        <v>813</v>
      </c>
      <c r="AJ1437" s="40">
        <v>1</v>
      </c>
      <c r="AL1437" s="7" t="s">
        <v>814</v>
      </c>
      <c r="AM1437" s="27">
        <v>1</v>
      </c>
      <c r="AW1437" s="7" t="s">
        <v>945</v>
      </c>
      <c r="AX1437" s="27">
        <v>100</v>
      </c>
      <c r="BC1437" s="7" t="s">
        <v>890</v>
      </c>
      <c r="BD1437" s="27">
        <v>229</v>
      </c>
      <c r="BJ1437" s="7" t="s">
        <v>817</v>
      </c>
      <c r="BK1437" s="40">
        <v>300</v>
      </c>
      <c r="BL1437" s="40">
        <v>467</v>
      </c>
      <c r="BN1437" t="str">
        <f t="shared" si="119"/>
        <v>Gympass</v>
      </c>
      <c r="BO1437">
        <f t="shared" si="116"/>
        <v>243</v>
      </c>
      <c r="BP1437">
        <f t="shared" si="117"/>
        <v>77</v>
      </c>
      <c r="BQ1437">
        <f t="shared" si="118"/>
        <v>320</v>
      </c>
    </row>
    <row r="1438" spans="26:69" hidden="1" x14ac:dyDescent="0.25">
      <c r="Z1438" s="7" t="s">
        <v>809</v>
      </c>
      <c r="AA1438" s="1">
        <v>7.0000000000000007E-2</v>
      </c>
      <c r="AI1438" s="7" t="s">
        <v>814</v>
      </c>
      <c r="AJ1438" s="40">
        <v>1</v>
      </c>
      <c r="AL1438" s="7" t="s">
        <v>815</v>
      </c>
      <c r="AM1438" s="27">
        <v>1</v>
      </c>
      <c r="AW1438" s="7" t="s">
        <v>946</v>
      </c>
      <c r="AX1438" s="27">
        <v>72</v>
      </c>
      <c r="BC1438" s="7" t="s">
        <v>891</v>
      </c>
      <c r="BD1438" s="27">
        <v>1900</v>
      </c>
      <c r="BJ1438" s="7" t="s">
        <v>818</v>
      </c>
      <c r="BK1438" s="40">
        <v>11</v>
      </c>
      <c r="BL1438" s="40">
        <v>0</v>
      </c>
      <c r="BN1438" t="str">
        <f t="shared" si="119"/>
        <v>HackerEarth</v>
      </c>
      <c r="BO1438">
        <f t="shared" si="116"/>
        <v>683</v>
      </c>
      <c r="BP1438">
        <f t="shared" si="117"/>
        <v>683</v>
      </c>
      <c r="BQ1438">
        <f t="shared" si="118"/>
        <v>1366</v>
      </c>
    </row>
    <row r="1439" spans="26:69" hidden="1" x14ac:dyDescent="0.25">
      <c r="Z1439" s="7" t="s">
        <v>810</v>
      </c>
      <c r="AA1439" s="1">
        <v>0.44</v>
      </c>
      <c r="AI1439" s="7" t="s">
        <v>815</v>
      </c>
      <c r="AJ1439" s="40">
        <v>1</v>
      </c>
      <c r="AL1439" s="7" t="s">
        <v>816</v>
      </c>
      <c r="AM1439" s="27">
        <v>1</v>
      </c>
      <c r="AW1439" s="7" t="s">
        <v>949</v>
      </c>
      <c r="AX1439" s="27">
        <v>390</v>
      </c>
      <c r="BC1439" s="7" t="s">
        <v>892</v>
      </c>
      <c r="BD1439" s="27">
        <v>1900</v>
      </c>
      <c r="BJ1439" s="7" t="s">
        <v>819</v>
      </c>
      <c r="BK1439" s="40">
        <v>2</v>
      </c>
      <c r="BL1439" s="40">
        <v>0</v>
      </c>
      <c r="BN1439" t="str">
        <f t="shared" si="119"/>
        <v>Halcyon Health</v>
      </c>
      <c r="BO1439">
        <f t="shared" si="116"/>
        <v>725</v>
      </c>
      <c r="BP1439">
        <f t="shared" si="117"/>
        <v>683</v>
      </c>
      <c r="BQ1439">
        <f t="shared" si="118"/>
        <v>1408</v>
      </c>
    </row>
    <row r="1440" spans="26:69" hidden="1" x14ac:dyDescent="0.25">
      <c r="Z1440" s="7" t="s">
        <v>811</v>
      </c>
      <c r="AA1440" s="1">
        <v>0.17</v>
      </c>
      <c r="AI1440" s="7" t="s">
        <v>816</v>
      </c>
      <c r="AJ1440" s="40">
        <v>1</v>
      </c>
      <c r="AL1440" s="7" t="s">
        <v>817</v>
      </c>
      <c r="AM1440" s="27">
        <v>1</v>
      </c>
      <c r="AW1440" s="7" t="s">
        <v>950</v>
      </c>
      <c r="AX1440" s="27">
        <v>1300</v>
      </c>
      <c r="BC1440" s="7" t="s">
        <v>893</v>
      </c>
      <c r="BD1440" s="27">
        <v>704</v>
      </c>
      <c r="BJ1440" s="7" t="s">
        <v>820</v>
      </c>
      <c r="BK1440" s="40">
        <v>191</v>
      </c>
      <c r="BL1440" s="40">
        <v>158</v>
      </c>
      <c r="BN1440" t="str">
        <f t="shared" si="119"/>
        <v>Happy Money</v>
      </c>
      <c r="BO1440">
        <f t="shared" si="116"/>
        <v>329</v>
      </c>
      <c r="BP1440">
        <f t="shared" si="117"/>
        <v>188</v>
      </c>
      <c r="BQ1440">
        <f t="shared" si="118"/>
        <v>517</v>
      </c>
    </row>
    <row r="1441" spans="26:69" hidden="1" x14ac:dyDescent="0.25">
      <c r="Z1441" s="7" t="s">
        <v>812</v>
      </c>
      <c r="AA1441" s="1">
        <v>0.1</v>
      </c>
      <c r="AI1441" s="7" t="s">
        <v>817</v>
      </c>
      <c r="AJ1441" s="40">
        <v>1</v>
      </c>
      <c r="AL1441" s="7" t="s">
        <v>818</v>
      </c>
      <c r="AM1441" s="27">
        <v>1</v>
      </c>
      <c r="AW1441" s="7" t="s">
        <v>951</v>
      </c>
      <c r="AX1441" s="27">
        <v>35</v>
      </c>
      <c r="BC1441" s="7" t="s">
        <v>12</v>
      </c>
      <c r="BD1441" s="27">
        <v>272</v>
      </c>
      <c r="BJ1441" s="7" t="s">
        <v>821</v>
      </c>
      <c r="BK1441" s="40">
        <v>0</v>
      </c>
      <c r="BL1441" s="40">
        <v>60</v>
      </c>
      <c r="BN1441" t="str">
        <f t="shared" si="119"/>
        <v>Harappa</v>
      </c>
      <c r="BO1441">
        <f t="shared" si="116"/>
        <v>742</v>
      </c>
      <c r="BP1441">
        <f t="shared" si="117"/>
        <v>378</v>
      </c>
      <c r="BQ1441">
        <f t="shared" si="118"/>
        <v>1120</v>
      </c>
    </row>
    <row r="1442" spans="26:69" hidden="1" x14ac:dyDescent="0.25">
      <c r="Z1442" s="7" t="s">
        <v>813</v>
      </c>
      <c r="AA1442" s="1">
        <v>7.0000000000000007E-2</v>
      </c>
      <c r="AI1442" s="7" t="s">
        <v>818</v>
      </c>
      <c r="AJ1442" s="40">
        <v>1</v>
      </c>
      <c r="AL1442" s="7" t="s">
        <v>819</v>
      </c>
      <c r="AM1442" s="27">
        <v>1</v>
      </c>
      <c r="AW1442" s="7" t="s">
        <v>952</v>
      </c>
      <c r="AX1442" s="27">
        <v>75</v>
      </c>
      <c r="BC1442" s="7" t="s">
        <v>894</v>
      </c>
      <c r="BD1442" s="27">
        <v>15</v>
      </c>
      <c r="BJ1442" s="7" t="s">
        <v>822</v>
      </c>
      <c r="BK1442" s="40">
        <v>58</v>
      </c>
      <c r="BL1442" s="40">
        <v>58</v>
      </c>
      <c r="BN1442" t="str">
        <f t="shared" si="119"/>
        <v>Hash</v>
      </c>
      <c r="BO1442">
        <f t="shared" si="116"/>
        <v>521</v>
      </c>
      <c r="BP1442">
        <f t="shared" si="117"/>
        <v>396</v>
      </c>
      <c r="BQ1442">
        <f t="shared" si="118"/>
        <v>917</v>
      </c>
    </row>
    <row r="1443" spans="26:69" hidden="1" x14ac:dyDescent="0.25">
      <c r="Z1443" s="7" t="s">
        <v>814</v>
      </c>
      <c r="AA1443" s="1">
        <v>0.02</v>
      </c>
      <c r="AI1443" s="7" t="s">
        <v>819</v>
      </c>
      <c r="AJ1443" s="40">
        <v>1</v>
      </c>
      <c r="AL1443" s="7" t="s">
        <v>820</v>
      </c>
      <c r="AM1443" s="27">
        <v>1</v>
      </c>
      <c r="AW1443" s="7" t="s">
        <v>957</v>
      </c>
      <c r="AX1443" s="27">
        <v>47</v>
      </c>
      <c r="BC1443" s="7" t="s">
        <v>895</v>
      </c>
      <c r="BD1443" s="27">
        <v>41</v>
      </c>
      <c r="BJ1443" s="7" t="s">
        <v>823</v>
      </c>
      <c r="BK1443" s="40">
        <v>349</v>
      </c>
      <c r="BL1443" s="40">
        <v>69</v>
      </c>
      <c r="BN1443" t="str">
        <f t="shared" si="119"/>
        <v>HashiCorp</v>
      </c>
      <c r="BO1443">
        <f t="shared" si="116"/>
        <v>219</v>
      </c>
      <c r="BP1443">
        <f t="shared" si="117"/>
        <v>364</v>
      </c>
      <c r="BQ1443">
        <f t="shared" si="118"/>
        <v>583</v>
      </c>
    </row>
    <row r="1444" spans="26:69" hidden="1" x14ac:dyDescent="0.25">
      <c r="Z1444" s="7" t="s">
        <v>815</v>
      </c>
      <c r="AA1444" s="1">
        <v>0.25</v>
      </c>
      <c r="AI1444" s="7" t="s">
        <v>820</v>
      </c>
      <c r="AJ1444" s="40">
        <v>1</v>
      </c>
      <c r="AL1444" s="7" t="s">
        <v>821</v>
      </c>
      <c r="AM1444" s="27">
        <v>1</v>
      </c>
      <c r="AW1444" s="7" t="s">
        <v>959</v>
      </c>
      <c r="AX1444" s="27">
        <v>3074</v>
      </c>
      <c r="BC1444" s="7" t="s">
        <v>896</v>
      </c>
      <c r="BD1444" s="27">
        <v>1200</v>
      </c>
      <c r="BJ1444" s="7" t="s">
        <v>824</v>
      </c>
      <c r="BK1444" s="40">
        <v>7</v>
      </c>
      <c r="BL1444" s="40">
        <v>0</v>
      </c>
      <c r="BN1444" t="str">
        <f t="shared" si="119"/>
        <v>Haus</v>
      </c>
      <c r="BO1444">
        <f t="shared" si="116"/>
        <v>701</v>
      </c>
      <c r="BP1444">
        <f t="shared" si="117"/>
        <v>683</v>
      </c>
      <c r="BQ1444">
        <f t="shared" si="118"/>
        <v>1384</v>
      </c>
    </row>
    <row r="1445" spans="26:69" hidden="1" x14ac:dyDescent="0.25">
      <c r="Z1445" s="7" t="s">
        <v>816</v>
      </c>
      <c r="AA1445" s="1">
        <v>0.05</v>
      </c>
      <c r="AI1445" s="7" t="s">
        <v>821</v>
      </c>
      <c r="AJ1445" s="40">
        <v>1</v>
      </c>
      <c r="AL1445" s="7" t="s">
        <v>822</v>
      </c>
      <c r="AM1445" s="27">
        <v>1</v>
      </c>
      <c r="AW1445" s="7" t="s">
        <v>960</v>
      </c>
      <c r="AX1445" s="27">
        <v>150</v>
      </c>
      <c r="BC1445" s="7" t="s">
        <v>897</v>
      </c>
      <c r="BD1445" s="27">
        <v>222</v>
      </c>
      <c r="BJ1445" s="7" t="s">
        <v>825</v>
      </c>
      <c r="BK1445" s="40">
        <v>58</v>
      </c>
      <c r="BL1445" s="40">
        <v>5</v>
      </c>
      <c r="BN1445" t="str">
        <f t="shared" si="119"/>
        <v>Havenly</v>
      </c>
      <c r="BO1445">
        <f t="shared" si="116"/>
        <v>521</v>
      </c>
      <c r="BP1445">
        <f t="shared" si="117"/>
        <v>676</v>
      </c>
      <c r="BQ1445">
        <f t="shared" si="118"/>
        <v>1197</v>
      </c>
    </row>
    <row r="1446" spans="26:69" hidden="1" x14ac:dyDescent="0.25">
      <c r="Z1446" s="7" t="s">
        <v>817</v>
      </c>
      <c r="AA1446" s="1">
        <v>0.33</v>
      </c>
      <c r="AI1446" s="7" t="s">
        <v>822</v>
      </c>
      <c r="AJ1446" s="40">
        <v>1</v>
      </c>
      <c r="AL1446" s="7" t="s">
        <v>823</v>
      </c>
      <c r="AM1446" s="27">
        <v>1</v>
      </c>
      <c r="AW1446" s="7" t="s">
        <v>961</v>
      </c>
      <c r="AX1446" s="27">
        <v>160</v>
      </c>
      <c r="BC1446" s="7" t="s">
        <v>898</v>
      </c>
      <c r="BD1446" s="27">
        <v>1208</v>
      </c>
      <c r="BJ1446" s="7" t="s">
        <v>826</v>
      </c>
      <c r="BK1446" s="40">
        <v>215</v>
      </c>
      <c r="BL1446" s="40">
        <v>50</v>
      </c>
      <c r="BN1446" t="str">
        <f t="shared" si="119"/>
        <v>Headspace</v>
      </c>
      <c r="BO1446">
        <f t="shared" si="116"/>
        <v>308</v>
      </c>
      <c r="BP1446">
        <f t="shared" si="117"/>
        <v>410</v>
      </c>
      <c r="BQ1446">
        <f t="shared" si="118"/>
        <v>718</v>
      </c>
    </row>
    <row r="1447" spans="26:69" hidden="1" x14ac:dyDescent="0.25">
      <c r="Z1447" s="7" t="s">
        <v>818</v>
      </c>
      <c r="AA1447" s="1">
        <v>0.08</v>
      </c>
      <c r="AI1447" s="7" t="s">
        <v>823</v>
      </c>
      <c r="AJ1447" s="40">
        <v>1</v>
      </c>
      <c r="AL1447" s="7" t="s">
        <v>824</v>
      </c>
      <c r="AM1447" s="27">
        <v>1</v>
      </c>
      <c r="AW1447" s="7" t="s">
        <v>963</v>
      </c>
      <c r="AX1447" s="27">
        <v>349</v>
      </c>
      <c r="BC1447" s="7" t="s">
        <v>899</v>
      </c>
      <c r="BD1447" s="27">
        <v>119</v>
      </c>
      <c r="BJ1447" s="7" t="s">
        <v>827</v>
      </c>
      <c r="BK1447" s="40">
        <v>244</v>
      </c>
      <c r="BL1447" s="40">
        <v>149</v>
      </c>
      <c r="BN1447" t="str">
        <f t="shared" si="119"/>
        <v>Healthcare.com</v>
      </c>
      <c r="BO1447">
        <f t="shared" si="116"/>
        <v>281</v>
      </c>
      <c r="BP1447">
        <f t="shared" si="117"/>
        <v>205</v>
      </c>
      <c r="BQ1447">
        <f t="shared" si="118"/>
        <v>486</v>
      </c>
    </row>
    <row r="1448" spans="26:69" hidden="1" x14ac:dyDescent="0.25">
      <c r="Z1448" s="7" t="s">
        <v>819</v>
      </c>
      <c r="AA1448" s="1">
        <v>1</v>
      </c>
      <c r="AI1448" s="7" t="s">
        <v>824</v>
      </c>
      <c r="AJ1448" s="40">
        <v>1</v>
      </c>
      <c r="AL1448" s="7" t="s">
        <v>825</v>
      </c>
      <c r="AM1448" s="27">
        <v>1</v>
      </c>
      <c r="AW1448" s="7" t="s">
        <v>964</v>
      </c>
      <c r="AX1448" s="27">
        <v>18</v>
      </c>
      <c r="BC1448" s="7" t="s">
        <v>901</v>
      </c>
      <c r="BD1448" s="27">
        <v>88</v>
      </c>
      <c r="BJ1448" s="7" t="s">
        <v>828</v>
      </c>
      <c r="BK1448" s="40">
        <v>100</v>
      </c>
      <c r="BL1448" s="40">
        <v>150</v>
      </c>
      <c r="BN1448" t="str">
        <f t="shared" si="119"/>
        <v>HealthifyMe</v>
      </c>
      <c r="BO1448">
        <f t="shared" si="116"/>
        <v>439</v>
      </c>
      <c r="BP1448">
        <f t="shared" si="117"/>
        <v>193</v>
      </c>
      <c r="BQ1448">
        <f t="shared" si="118"/>
        <v>632</v>
      </c>
    </row>
    <row r="1449" spans="26:69" hidden="1" x14ac:dyDescent="0.25">
      <c r="Z1449" s="7" t="s">
        <v>820</v>
      </c>
      <c r="AA1449" s="1">
        <v>0.34</v>
      </c>
      <c r="AI1449" s="7" t="s">
        <v>825</v>
      </c>
      <c r="AJ1449" s="40">
        <v>1</v>
      </c>
      <c r="AL1449" s="7" t="s">
        <v>826</v>
      </c>
      <c r="AM1449" s="27">
        <v>1</v>
      </c>
      <c r="AW1449" s="7" t="s">
        <v>965</v>
      </c>
      <c r="AX1449" s="27">
        <v>120</v>
      </c>
      <c r="BC1449" s="7" t="s">
        <v>902</v>
      </c>
      <c r="BD1449" s="27">
        <v>320</v>
      </c>
      <c r="BJ1449" s="7" t="s">
        <v>829</v>
      </c>
      <c r="BK1449" s="40">
        <v>20</v>
      </c>
      <c r="BL1449" s="40">
        <v>18</v>
      </c>
      <c r="BN1449" t="str">
        <f t="shared" si="119"/>
        <v>HealthMatch</v>
      </c>
      <c r="BO1449">
        <f t="shared" si="116"/>
        <v>640</v>
      </c>
      <c r="BP1449">
        <f t="shared" si="117"/>
        <v>607</v>
      </c>
      <c r="BQ1449">
        <f t="shared" si="118"/>
        <v>1247</v>
      </c>
    </row>
    <row r="1450" spans="26:69" hidden="1" x14ac:dyDescent="0.25">
      <c r="Z1450" s="7" t="s">
        <v>821</v>
      </c>
      <c r="AA1450" s="1">
        <v>0.3</v>
      </c>
      <c r="AI1450" s="7" t="s">
        <v>826</v>
      </c>
      <c r="AJ1450" s="40">
        <v>1</v>
      </c>
      <c r="AL1450" s="7" t="s">
        <v>827</v>
      </c>
      <c r="AM1450" s="27">
        <v>1</v>
      </c>
      <c r="AW1450" s="7" t="s">
        <v>966</v>
      </c>
      <c r="AX1450" s="27">
        <v>39</v>
      </c>
      <c r="BC1450" s="7" t="s">
        <v>903</v>
      </c>
      <c r="BD1450" s="27">
        <v>758</v>
      </c>
      <c r="BJ1450" s="7" t="s">
        <v>830</v>
      </c>
      <c r="BK1450" s="40">
        <v>67</v>
      </c>
      <c r="BL1450" s="40">
        <v>12</v>
      </c>
      <c r="BN1450" t="str">
        <f t="shared" si="119"/>
        <v>Hedvig</v>
      </c>
      <c r="BO1450">
        <f t="shared" si="116"/>
        <v>502</v>
      </c>
      <c r="BP1450">
        <f t="shared" si="117"/>
        <v>640</v>
      </c>
      <c r="BQ1450">
        <f t="shared" si="118"/>
        <v>1142</v>
      </c>
    </row>
    <row r="1451" spans="26:69" hidden="1" x14ac:dyDescent="0.25">
      <c r="Z1451" s="7" t="s">
        <v>822</v>
      </c>
      <c r="AA1451" s="1">
        <v>0.5</v>
      </c>
      <c r="AI1451" s="7" t="s">
        <v>827</v>
      </c>
      <c r="AJ1451" s="40">
        <v>1</v>
      </c>
      <c r="AL1451" s="7" t="s">
        <v>828</v>
      </c>
      <c r="AM1451" s="27">
        <v>1</v>
      </c>
      <c r="AW1451" s="7" t="s">
        <v>967</v>
      </c>
      <c r="AX1451" s="27">
        <v>25</v>
      </c>
      <c r="BC1451" s="7" t="s">
        <v>904</v>
      </c>
      <c r="BD1451" s="27">
        <v>295</v>
      </c>
      <c r="BJ1451" s="7" t="s">
        <v>831</v>
      </c>
      <c r="BK1451" s="40">
        <v>367</v>
      </c>
      <c r="BL1451" s="40">
        <v>611</v>
      </c>
      <c r="BN1451" t="str">
        <f t="shared" si="119"/>
        <v>HelloFresh</v>
      </c>
      <c r="BO1451">
        <f t="shared" si="116"/>
        <v>206</v>
      </c>
      <c r="BP1451">
        <f t="shared" si="117"/>
        <v>54</v>
      </c>
      <c r="BQ1451">
        <f t="shared" si="118"/>
        <v>260</v>
      </c>
    </row>
    <row r="1452" spans="26:69" hidden="1" x14ac:dyDescent="0.25">
      <c r="Z1452" s="7" t="s">
        <v>823</v>
      </c>
      <c r="AA1452" s="1">
        <v>0</v>
      </c>
      <c r="AI1452" s="7" t="s">
        <v>828</v>
      </c>
      <c r="AJ1452" s="40">
        <v>1</v>
      </c>
      <c r="AL1452" s="7" t="s">
        <v>829</v>
      </c>
      <c r="AM1452" s="27">
        <v>1</v>
      </c>
      <c r="AW1452" s="7" t="s">
        <v>968</v>
      </c>
      <c r="AX1452" s="27">
        <v>8</v>
      </c>
      <c r="BC1452" s="7" t="s">
        <v>905</v>
      </c>
      <c r="BD1452" s="27">
        <v>459</v>
      </c>
      <c r="BJ1452" s="7" t="s">
        <v>832</v>
      </c>
      <c r="BK1452" s="40">
        <v>6</v>
      </c>
      <c r="BL1452" s="40">
        <v>16</v>
      </c>
      <c r="BN1452" t="str">
        <f t="shared" si="119"/>
        <v>Help.com</v>
      </c>
      <c r="BO1452">
        <f t="shared" si="116"/>
        <v>706</v>
      </c>
      <c r="BP1452">
        <f t="shared" si="117"/>
        <v>617</v>
      </c>
      <c r="BQ1452">
        <f t="shared" si="118"/>
        <v>1323</v>
      </c>
    </row>
    <row r="1453" spans="26:69" hidden="1" x14ac:dyDescent="0.25">
      <c r="Z1453" s="7" t="s">
        <v>824</v>
      </c>
      <c r="AA1453" s="1">
        <v>1</v>
      </c>
      <c r="AI1453" s="7" t="s">
        <v>829</v>
      </c>
      <c r="AJ1453" s="40">
        <v>1</v>
      </c>
      <c r="AL1453" s="7" t="s">
        <v>830</v>
      </c>
      <c r="AM1453" s="27">
        <v>1</v>
      </c>
      <c r="AW1453" s="7" t="s">
        <v>970</v>
      </c>
      <c r="AX1453" s="27">
        <v>217</v>
      </c>
      <c r="BC1453" s="7" t="s">
        <v>906</v>
      </c>
      <c r="BD1453" s="27">
        <v>258</v>
      </c>
      <c r="BJ1453" s="7" t="s">
        <v>833</v>
      </c>
      <c r="BK1453" s="40">
        <v>0</v>
      </c>
      <c r="BL1453" s="40">
        <v>10</v>
      </c>
      <c r="BN1453" t="str">
        <f t="shared" si="119"/>
        <v>Her Campus Media</v>
      </c>
      <c r="BO1453">
        <f t="shared" si="116"/>
        <v>742</v>
      </c>
      <c r="BP1453">
        <f t="shared" si="117"/>
        <v>653</v>
      </c>
      <c r="BQ1453">
        <f t="shared" si="118"/>
        <v>1395</v>
      </c>
    </row>
    <row r="1454" spans="26:69" hidden="1" x14ac:dyDescent="0.25">
      <c r="Z1454" s="7" t="s">
        <v>825</v>
      </c>
      <c r="AA1454" s="1">
        <v>0</v>
      </c>
      <c r="AI1454" s="7" t="s">
        <v>830</v>
      </c>
      <c r="AJ1454" s="40">
        <v>1</v>
      </c>
      <c r="AL1454" s="7" t="s">
        <v>831</v>
      </c>
      <c r="AM1454" s="27">
        <v>1</v>
      </c>
      <c r="AW1454" s="7" t="s">
        <v>971</v>
      </c>
      <c r="AX1454" s="27">
        <v>170</v>
      </c>
      <c r="BC1454" s="7" t="s">
        <v>907</v>
      </c>
      <c r="BD1454" s="27">
        <v>2400</v>
      </c>
      <c r="BJ1454" s="7" t="s">
        <v>834</v>
      </c>
      <c r="BK1454" s="40">
        <v>265</v>
      </c>
      <c r="BL1454" s="40">
        <v>24</v>
      </c>
      <c r="BN1454" t="str">
        <f t="shared" si="119"/>
        <v>Heroes</v>
      </c>
      <c r="BO1454">
        <f t="shared" si="116"/>
        <v>268</v>
      </c>
      <c r="BP1454">
        <f t="shared" si="117"/>
        <v>564</v>
      </c>
      <c r="BQ1454">
        <f t="shared" si="118"/>
        <v>832</v>
      </c>
    </row>
    <row r="1455" spans="26:69" hidden="1" x14ac:dyDescent="0.25">
      <c r="Z1455" s="7" t="s">
        <v>826</v>
      </c>
      <c r="AA1455" s="1">
        <v>0.04</v>
      </c>
      <c r="AI1455" s="7" t="s">
        <v>831</v>
      </c>
      <c r="AJ1455" s="40">
        <v>1</v>
      </c>
      <c r="AL1455" s="7" t="s">
        <v>832</v>
      </c>
      <c r="AM1455" s="27">
        <v>1</v>
      </c>
      <c r="AW1455" s="7" t="s">
        <v>972</v>
      </c>
      <c r="AX1455" s="27">
        <v>40</v>
      </c>
      <c r="BC1455" s="7" t="s">
        <v>908</v>
      </c>
      <c r="BD1455" s="27">
        <v>8</v>
      </c>
      <c r="BJ1455" s="7" t="s">
        <v>835</v>
      </c>
      <c r="BK1455" s="40">
        <v>0</v>
      </c>
      <c r="BL1455" s="40">
        <v>73</v>
      </c>
      <c r="BN1455" t="str">
        <f t="shared" si="119"/>
        <v>Heycar</v>
      </c>
      <c r="BO1455">
        <f t="shared" si="116"/>
        <v>742</v>
      </c>
      <c r="BP1455">
        <f t="shared" si="117"/>
        <v>348</v>
      </c>
      <c r="BQ1455">
        <f t="shared" si="118"/>
        <v>1090</v>
      </c>
    </row>
    <row r="1456" spans="26:69" hidden="1" x14ac:dyDescent="0.25">
      <c r="Z1456" s="7" t="s">
        <v>827</v>
      </c>
      <c r="AA1456" s="1">
        <v>0</v>
      </c>
      <c r="AI1456" s="7" t="s">
        <v>832</v>
      </c>
      <c r="AJ1456" s="40">
        <v>1</v>
      </c>
      <c r="AL1456" s="7" t="s">
        <v>833</v>
      </c>
      <c r="AM1456" s="27">
        <v>1</v>
      </c>
      <c r="AW1456" s="7" t="s">
        <v>973</v>
      </c>
      <c r="AX1456" s="27">
        <v>800</v>
      </c>
      <c r="BC1456" s="7" t="s">
        <v>909</v>
      </c>
      <c r="BD1456" s="27">
        <v>89</v>
      </c>
      <c r="BJ1456" s="7" t="s">
        <v>836</v>
      </c>
      <c r="BK1456" s="40">
        <v>45</v>
      </c>
      <c r="BL1456" s="40">
        <v>70</v>
      </c>
      <c r="BN1456" t="str">
        <f t="shared" si="119"/>
        <v>Hibob</v>
      </c>
      <c r="BO1456">
        <f t="shared" si="116"/>
        <v>556</v>
      </c>
      <c r="BP1456">
        <f t="shared" si="117"/>
        <v>350</v>
      </c>
      <c r="BQ1456">
        <f t="shared" si="118"/>
        <v>906</v>
      </c>
    </row>
    <row r="1457" spans="26:69" hidden="1" x14ac:dyDescent="0.25">
      <c r="Z1457" s="7" t="s">
        <v>828</v>
      </c>
      <c r="AA1457" s="1">
        <v>0</v>
      </c>
      <c r="AI1457" s="7" t="s">
        <v>833</v>
      </c>
      <c r="AJ1457" s="40">
        <v>1</v>
      </c>
      <c r="AL1457" s="7" t="s">
        <v>834</v>
      </c>
      <c r="AM1457" s="27">
        <v>1</v>
      </c>
      <c r="AW1457" s="7" t="s">
        <v>974</v>
      </c>
      <c r="AX1457" s="27">
        <v>300</v>
      </c>
      <c r="BC1457" s="7" t="s">
        <v>911</v>
      </c>
      <c r="BD1457" s="27">
        <v>232</v>
      </c>
      <c r="BJ1457" s="7" t="s">
        <v>837</v>
      </c>
      <c r="BK1457" s="40">
        <v>475</v>
      </c>
      <c r="BL1457" s="40">
        <v>25</v>
      </c>
      <c r="BN1457" t="str">
        <f t="shared" si="119"/>
        <v>HighRadius</v>
      </c>
      <c r="BO1457">
        <f t="shared" si="116"/>
        <v>175</v>
      </c>
      <c r="BP1457">
        <f t="shared" si="117"/>
        <v>554</v>
      </c>
      <c r="BQ1457">
        <f t="shared" si="118"/>
        <v>729</v>
      </c>
    </row>
    <row r="1458" spans="26:69" hidden="1" x14ac:dyDescent="0.25">
      <c r="Z1458" s="7" t="s">
        <v>829</v>
      </c>
      <c r="AA1458" s="1">
        <v>0.5</v>
      </c>
      <c r="AI1458" s="7" t="s">
        <v>834</v>
      </c>
      <c r="AJ1458" s="40">
        <v>1</v>
      </c>
      <c r="AL1458" s="7" t="s">
        <v>835</v>
      </c>
      <c r="AM1458" s="27">
        <v>1</v>
      </c>
      <c r="AW1458" s="7" t="s">
        <v>975</v>
      </c>
      <c r="AX1458" s="27">
        <v>115</v>
      </c>
      <c r="BC1458" s="7" t="s">
        <v>912</v>
      </c>
      <c r="BD1458" s="27">
        <v>40</v>
      </c>
      <c r="BJ1458" s="7" t="s">
        <v>838</v>
      </c>
      <c r="BK1458" s="40">
        <v>9</v>
      </c>
      <c r="BL1458" s="40">
        <v>51</v>
      </c>
      <c r="BN1458" t="str">
        <f t="shared" si="119"/>
        <v>Highsnobiety</v>
      </c>
      <c r="BO1458">
        <f t="shared" si="116"/>
        <v>692</v>
      </c>
      <c r="BP1458">
        <f t="shared" si="117"/>
        <v>408</v>
      </c>
      <c r="BQ1458">
        <f t="shared" si="118"/>
        <v>1100</v>
      </c>
    </row>
    <row r="1459" spans="26:69" hidden="1" x14ac:dyDescent="0.25">
      <c r="Z1459" s="7" t="s">
        <v>830</v>
      </c>
      <c r="AA1459" s="1">
        <v>0</v>
      </c>
      <c r="AI1459" s="7" t="s">
        <v>835</v>
      </c>
      <c r="AJ1459" s="40">
        <v>1</v>
      </c>
      <c r="AL1459" s="7" t="s">
        <v>836</v>
      </c>
      <c r="AM1459" s="27">
        <v>1</v>
      </c>
      <c r="AW1459" s="7" t="s">
        <v>976</v>
      </c>
      <c r="AX1459" s="27">
        <v>147</v>
      </c>
      <c r="BC1459" s="7" t="s">
        <v>913</v>
      </c>
      <c r="BD1459" s="27">
        <v>24</v>
      </c>
      <c r="BJ1459" s="7" t="s">
        <v>839</v>
      </c>
      <c r="BK1459" s="40">
        <v>644</v>
      </c>
      <c r="BL1459" s="40">
        <v>100</v>
      </c>
      <c r="BN1459" t="str">
        <f t="shared" si="119"/>
        <v>Highspot</v>
      </c>
      <c r="BO1459">
        <f t="shared" si="116"/>
        <v>136</v>
      </c>
      <c r="BP1459">
        <f t="shared" si="117"/>
        <v>254</v>
      </c>
      <c r="BQ1459">
        <f t="shared" si="118"/>
        <v>390</v>
      </c>
    </row>
    <row r="1460" spans="26:69" hidden="1" x14ac:dyDescent="0.25">
      <c r="Z1460" s="7" t="s">
        <v>831</v>
      </c>
      <c r="AA1460" s="1">
        <v>0</v>
      </c>
      <c r="AI1460" s="7" t="s">
        <v>836</v>
      </c>
      <c r="AJ1460" s="40">
        <v>1</v>
      </c>
      <c r="AL1460" s="7" t="s">
        <v>837</v>
      </c>
      <c r="AM1460" s="27">
        <v>1</v>
      </c>
      <c r="AW1460" s="7" t="s">
        <v>977</v>
      </c>
      <c r="AX1460" s="27">
        <v>15</v>
      </c>
      <c r="BC1460" s="7" t="s">
        <v>914</v>
      </c>
      <c r="BD1460" s="27">
        <v>720</v>
      </c>
      <c r="BJ1460" s="7" t="s">
        <v>840</v>
      </c>
      <c r="BK1460" s="40">
        <v>41</v>
      </c>
      <c r="BL1460" s="40">
        <v>0</v>
      </c>
      <c r="BN1460" t="str">
        <f t="shared" si="119"/>
        <v>Hipcamp</v>
      </c>
      <c r="BO1460">
        <f t="shared" si="116"/>
        <v>568</v>
      </c>
      <c r="BP1460">
        <f t="shared" si="117"/>
        <v>683</v>
      </c>
      <c r="BQ1460">
        <f t="shared" si="118"/>
        <v>1251</v>
      </c>
    </row>
    <row r="1461" spans="26:69" hidden="1" x14ac:dyDescent="0.25">
      <c r="Z1461" s="7" t="s">
        <v>832</v>
      </c>
      <c r="AA1461" s="1">
        <v>1</v>
      </c>
      <c r="AI1461" s="7" t="s">
        <v>837</v>
      </c>
      <c r="AJ1461" s="40">
        <v>1</v>
      </c>
      <c r="AL1461" s="7" t="s">
        <v>838</v>
      </c>
      <c r="AM1461" s="27">
        <v>1</v>
      </c>
      <c r="AW1461" s="7" t="s">
        <v>978</v>
      </c>
      <c r="AX1461" s="27">
        <v>15</v>
      </c>
      <c r="BC1461" s="7" t="s">
        <v>917</v>
      </c>
      <c r="BD1461" s="27">
        <v>125</v>
      </c>
      <c r="BJ1461" s="7" t="s">
        <v>841</v>
      </c>
      <c r="BK1461" s="40">
        <v>1300</v>
      </c>
      <c r="BL1461" s="40">
        <v>70</v>
      </c>
      <c r="BN1461" t="str">
        <f t="shared" si="119"/>
        <v>Hippo Insurance</v>
      </c>
      <c r="BO1461">
        <f t="shared" si="116"/>
        <v>64</v>
      </c>
      <c r="BP1461">
        <f t="shared" si="117"/>
        <v>350</v>
      </c>
      <c r="BQ1461">
        <f t="shared" si="118"/>
        <v>414</v>
      </c>
    </row>
    <row r="1462" spans="26:69" hidden="1" x14ac:dyDescent="0.25">
      <c r="Z1462" s="7" t="s">
        <v>833</v>
      </c>
      <c r="AA1462" s="1">
        <v>0.18</v>
      </c>
      <c r="AI1462" s="7" t="s">
        <v>838</v>
      </c>
      <c r="AJ1462" s="40">
        <v>1</v>
      </c>
      <c r="AL1462" s="7" t="s">
        <v>839</v>
      </c>
      <c r="AM1462" s="27">
        <v>1</v>
      </c>
      <c r="AW1462" s="7" t="s">
        <v>979</v>
      </c>
      <c r="AX1462" s="27">
        <v>16</v>
      </c>
      <c r="BC1462" s="7" t="s">
        <v>919</v>
      </c>
      <c r="BD1462" s="27">
        <v>18</v>
      </c>
      <c r="BJ1462" s="7" t="s">
        <v>842</v>
      </c>
      <c r="BK1462" s="40">
        <v>0</v>
      </c>
      <c r="BL1462" s="40">
        <v>200</v>
      </c>
      <c r="BN1462" t="str">
        <f t="shared" si="119"/>
        <v>Hirect</v>
      </c>
      <c r="BO1462">
        <f t="shared" si="116"/>
        <v>742</v>
      </c>
      <c r="BP1462">
        <f t="shared" si="117"/>
        <v>147</v>
      </c>
      <c r="BQ1462">
        <f t="shared" si="118"/>
        <v>889</v>
      </c>
    </row>
    <row r="1463" spans="26:69" hidden="1" x14ac:dyDescent="0.25">
      <c r="Z1463" s="7" t="s">
        <v>834</v>
      </c>
      <c r="AA1463" s="1">
        <v>0.2</v>
      </c>
      <c r="AI1463" s="7" t="s">
        <v>839</v>
      </c>
      <c r="AJ1463" s="40">
        <v>1</v>
      </c>
      <c r="AL1463" s="7" t="s">
        <v>840</v>
      </c>
      <c r="AM1463" s="27">
        <v>1</v>
      </c>
      <c r="AW1463" s="7" t="s">
        <v>980</v>
      </c>
      <c r="AX1463" s="27">
        <v>70</v>
      </c>
      <c r="BC1463" s="7" t="s">
        <v>920</v>
      </c>
      <c r="BD1463" s="27">
        <v>712</v>
      </c>
      <c r="BJ1463" s="7" t="s">
        <v>843</v>
      </c>
      <c r="BK1463" s="40">
        <v>52</v>
      </c>
      <c r="BL1463" s="40">
        <v>36</v>
      </c>
      <c r="BN1463" t="str">
        <f t="shared" si="119"/>
        <v>Hireology</v>
      </c>
      <c r="BO1463">
        <f t="shared" si="116"/>
        <v>539</v>
      </c>
      <c r="BP1463">
        <f t="shared" si="117"/>
        <v>490</v>
      </c>
      <c r="BQ1463">
        <f t="shared" si="118"/>
        <v>1029</v>
      </c>
    </row>
    <row r="1464" spans="26:69" hidden="1" x14ac:dyDescent="0.25">
      <c r="Z1464" s="7" t="s">
        <v>835</v>
      </c>
      <c r="AA1464" s="1">
        <v>0</v>
      </c>
      <c r="AI1464" s="7" t="s">
        <v>840</v>
      </c>
      <c r="AJ1464" s="40">
        <v>1</v>
      </c>
      <c r="AL1464" s="7" t="s">
        <v>841</v>
      </c>
      <c r="AM1464" s="27">
        <v>1</v>
      </c>
      <c r="AW1464" s="7" t="s">
        <v>981</v>
      </c>
      <c r="AX1464" s="27">
        <v>101</v>
      </c>
      <c r="BC1464" s="7" t="s">
        <v>921</v>
      </c>
      <c r="BD1464" s="27">
        <v>2000</v>
      </c>
      <c r="BJ1464" s="7" t="s">
        <v>844</v>
      </c>
      <c r="BK1464" s="40">
        <v>0</v>
      </c>
      <c r="BL1464" s="40">
        <v>40</v>
      </c>
      <c r="BN1464" t="str">
        <f t="shared" si="119"/>
        <v>Hodlnaut</v>
      </c>
      <c r="BO1464">
        <f t="shared" si="116"/>
        <v>742</v>
      </c>
      <c r="BP1464">
        <f t="shared" si="117"/>
        <v>454</v>
      </c>
      <c r="BQ1464">
        <f t="shared" si="118"/>
        <v>1196</v>
      </c>
    </row>
    <row r="1465" spans="26:69" hidden="1" x14ac:dyDescent="0.25">
      <c r="Z1465" s="7" t="s">
        <v>836</v>
      </c>
      <c r="AA1465" s="1">
        <v>0.3</v>
      </c>
      <c r="AI1465" s="7" t="s">
        <v>841</v>
      </c>
      <c r="AJ1465" s="40">
        <v>1</v>
      </c>
      <c r="AL1465" s="7" t="s">
        <v>842</v>
      </c>
      <c r="AM1465" s="27">
        <v>1</v>
      </c>
      <c r="AW1465" s="7" t="s">
        <v>982</v>
      </c>
      <c r="AX1465" s="27">
        <v>180</v>
      </c>
      <c r="BC1465" s="7" t="s">
        <v>922</v>
      </c>
      <c r="BD1465" s="27">
        <v>23</v>
      </c>
      <c r="BJ1465" s="7" t="s">
        <v>845</v>
      </c>
      <c r="BK1465" s="40">
        <v>82</v>
      </c>
      <c r="BL1465" s="40">
        <v>80</v>
      </c>
      <c r="BN1465" t="str">
        <f t="shared" si="119"/>
        <v>Hologram</v>
      </c>
      <c r="BO1465">
        <f t="shared" si="116"/>
        <v>470</v>
      </c>
      <c r="BP1465">
        <f t="shared" si="117"/>
        <v>322</v>
      </c>
      <c r="BQ1465">
        <f t="shared" si="118"/>
        <v>792</v>
      </c>
    </row>
    <row r="1466" spans="26:69" hidden="1" x14ac:dyDescent="0.25">
      <c r="Z1466" s="7" t="s">
        <v>837</v>
      </c>
      <c r="AA1466" s="1">
        <v>0</v>
      </c>
      <c r="AI1466" s="7" t="s">
        <v>842</v>
      </c>
      <c r="AJ1466" s="40">
        <v>1</v>
      </c>
      <c r="AL1466" s="7" t="s">
        <v>843</v>
      </c>
      <c r="AM1466" s="27">
        <v>1</v>
      </c>
      <c r="AW1466" s="7" t="s">
        <v>983</v>
      </c>
      <c r="AX1466" s="27">
        <v>12</v>
      </c>
      <c r="BC1466" s="7" t="s">
        <v>924</v>
      </c>
      <c r="BD1466" s="27">
        <v>26</v>
      </c>
      <c r="BJ1466" s="7" t="s">
        <v>846</v>
      </c>
      <c r="BK1466" s="40">
        <v>4</v>
      </c>
      <c r="BL1466" s="40">
        <v>18</v>
      </c>
      <c r="BN1466" t="str">
        <f t="shared" si="119"/>
        <v>Homebot</v>
      </c>
      <c r="BO1466">
        <f t="shared" si="116"/>
        <v>713</v>
      </c>
      <c r="BP1466">
        <f t="shared" si="117"/>
        <v>607</v>
      </c>
      <c r="BQ1466">
        <f t="shared" si="118"/>
        <v>1320</v>
      </c>
    </row>
    <row r="1467" spans="26:69" hidden="1" x14ac:dyDescent="0.25">
      <c r="Z1467" s="7" t="s">
        <v>838</v>
      </c>
      <c r="AA1467" s="1">
        <v>0.25</v>
      </c>
      <c r="AI1467" s="7" t="s">
        <v>843</v>
      </c>
      <c r="AJ1467" s="40">
        <v>1</v>
      </c>
      <c r="AL1467" s="7" t="s">
        <v>844</v>
      </c>
      <c r="AM1467" s="27">
        <v>1</v>
      </c>
      <c r="AW1467" s="7" t="s">
        <v>984</v>
      </c>
      <c r="AX1467" s="27">
        <v>50</v>
      </c>
      <c r="BC1467" s="7" t="s">
        <v>925</v>
      </c>
      <c r="BD1467" s="27">
        <v>15</v>
      </c>
      <c r="BJ1467" s="7" t="s">
        <v>847</v>
      </c>
      <c r="BK1467" s="40">
        <v>743</v>
      </c>
      <c r="BL1467" s="40">
        <v>0</v>
      </c>
      <c r="BN1467" t="str">
        <f t="shared" si="119"/>
        <v>HomeLight</v>
      </c>
      <c r="BO1467">
        <f t="shared" si="116"/>
        <v>117</v>
      </c>
      <c r="BP1467">
        <f t="shared" si="117"/>
        <v>683</v>
      </c>
      <c r="BQ1467">
        <f t="shared" si="118"/>
        <v>800</v>
      </c>
    </row>
    <row r="1468" spans="26:69" hidden="1" x14ac:dyDescent="0.25">
      <c r="Z1468" s="7" t="s">
        <v>839</v>
      </c>
      <c r="AA1468" s="1">
        <v>0.1</v>
      </c>
      <c r="AI1468" s="7" t="s">
        <v>844</v>
      </c>
      <c r="AJ1468" s="40">
        <v>1</v>
      </c>
      <c r="AL1468" s="7" t="s">
        <v>845</v>
      </c>
      <c r="AM1468" s="27">
        <v>1</v>
      </c>
      <c r="AW1468" s="7" t="s">
        <v>985</v>
      </c>
      <c r="AX1468" s="27">
        <v>40</v>
      </c>
      <c r="BC1468" s="7" t="s">
        <v>926</v>
      </c>
      <c r="BD1468" s="27">
        <v>197</v>
      </c>
      <c r="BJ1468" s="7" t="s">
        <v>848</v>
      </c>
      <c r="BK1468" s="40">
        <v>0</v>
      </c>
      <c r="BL1468" s="40">
        <v>113</v>
      </c>
      <c r="BN1468" t="str">
        <f t="shared" si="119"/>
        <v>Homepoint</v>
      </c>
      <c r="BO1468">
        <f t="shared" si="116"/>
        <v>742</v>
      </c>
      <c r="BP1468">
        <f t="shared" si="117"/>
        <v>246</v>
      </c>
      <c r="BQ1468">
        <f t="shared" si="118"/>
        <v>988</v>
      </c>
    </row>
    <row r="1469" spans="26:69" hidden="1" x14ac:dyDescent="0.25">
      <c r="Z1469" s="7" t="s">
        <v>840</v>
      </c>
      <c r="AA1469" s="1">
        <v>0.6</v>
      </c>
      <c r="AI1469" s="7" t="s">
        <v>845</v>
      </c>
      <c r="AJ1469" s="40">
        <v>1</v>
      </c>
      <c r="AL1469" s="7" t="s">
        <v>846</v>
      </c>
      <c r="AM1469" s="27">
        <v>1</v>
      </c>
      <c r="AW1469" s="7" t="s">
        <v>986</v>
      </c>
      <c r="AX1469" s="27">
        <v>1100</v>
      </c>
      <c r="BC1469" s="7" t="s">
        <v>927</v>
      </c>
      <c r="BD1469" s="27">
        <v>60</v>
      </c>
      <c r="BJ1469" s="7" t="s">
        <v>849</v>
      </c>
      <c r="BK1469" s="40">
        <v>661</v>
      </c>
      <c r="BL1469" s="40">
        <v>0</v>
      </c>
      <c r="BN1469" t="str">
        <f t="shared" si="119"/>
        <v>Homeward</v>
      </c>
      <c r="BO1469">
        <f t="shared" si="116"/>
        <v>131</v>
      </c>
      <c r="BP1469">
        <f t="shared" si="117"/>
        <v>683</v>
      </c>
      <c r="BQ1469">
        <f t="shared" si="118"/>
        <v>814</v>
      </c>
    </row>
    <row r="1470" spans="26:69" hidden="1" x14ac:dyDescent="0.25">
      <c r="Z1470" s="7" t="s">
        <v>841</v>
      </c>
      <c r="AA1470" s="1">
        <v>0.1</v>
      </c>
      <c r="AI1470" s="7" t="s">
        <v>846</v>
      </c>
      <c r="AJ1470" s="40">
        <v>1</v>
      </c>
      <c r="AL1470" s="7" t="s">
        <v>847</v>
      </c>
      <c r="AM1470" s="27">
        <v>1</v>
      </c>
      <c r="AW1470" s="7" t="s">
        <v>987</v>
      </c>
      <c r="AX1470" s="27">
        <v>400</v>
      </c>
      <c r="BC1470" s="7" t="s">
        <v>928</v>
      </c>
      <c r="BD1470" s="27">
        <v>103</v>
      </c>
      <c r="BJ1470" s="7" t="s">
        <v>850</v>
      </c>
      <c r="BK1470" s="40">
        <v>70</v>
      </c>
      <c r="BL1470" s="40">
        <v>159</v>
      </c>
      <c r="BN1470" t="str">
        <f t="shared" si="119"/>
        <v>Homie</v>
      </c>
      <c r="BO1470">
        <f t="shared" si="116"/>
        <v>494</v>
      </c>
      <c r="BP1470">
        <f t="shared" si="117"/>
        <v>187</v>
      </c>
      <c r="BQ1470">
        <f t="shared" si="118"/>
        <v>681</v>
      </c>
    </row>
    <row r="1471" spans="26:69" hidden="1" x14ac:dyDescent="0.25">
      <c r="Z1471" s="7" t="s">
        <v>842</v>
      </c>
      <c r="AA1471" s="1">
        <v>0.4</v>
      </c>
      <c r="AI1471" s="7" t="s">
        <v>847</v>
      </c>
      <c r="AJ1471" s="40">
        <v>1</v>
      </c>
      <c r="AL1471" s="7" t="s">
        <v>848</v>
      </c>
      <c r="AM1471" s="27">
        <v>1</v>
      </c>
      <c r="AW1471" s="7" t="s">
        <v>988</v>
      </c>
      <c r="AX1471" s="27">
        <v>23</v>
      </c>
      <c r="BC1471" s="7" t="s">
        <v>929</v>
      </c>
      <c r="BD1471" s="27">
        <v>820</v>
      </c>
      <c r="BJ1471" s="7" t="s">
        <v>851</v>
      </c>
      <c r="BK1471" s="40">
        <v>95</v>
      </c>
      <c r="BL1471" s="40">
        <v>250</v>
      </c>
      <c r="BN1471" t="str">
        <f t="shared" si="119"/>
        <v>HOOQ</v>
      </c>
      <c r="BO1471">
        <f t="shared" si="116"/>
        <v>449</v>
      </c>
      <c r="BP1471">
        <f t="shared" si="117"/>
        <v>121</v>
      </c>
      <c r="BQ1471">
        <f t="shared" si="118"/>
        <v>570</v>
      </c>
    </row>
    <row r="1472" spans="26:69" hidden="1" x14ac:dyDescent="0.25">
      <c r="Z1472" s="7" t="s">
        <v>843</v>
      </c>
      <c r="AA1472" s="1">
        <v>0.17</v>
      </c>
      <c r="AI1472" s="7" t="s">
        <v>848</v>
      </c>
      <c r="AJ1472" s="40">
        <v>1</v>
      </c>
      <c r="AL1472" s="7" t="s">
        <v>849</v>
      </c>
      <c r="AM1472" s="27">
        <v>2</v>
      </c>
      <c r="AW1472" s="7" t="s">
        <v>989</v>
      </c>
      <c r="AX1472" s="27">
        <v>90</v>
      </c>
      <c r="BC1472" s="7" t="s">
        <v>930</v>
      </c>
      <c r="BD1472" s="27">
        <v>652</v>
      </c>
      <c r="BJ1472" s="7" t="s">
        <v>852</v>
      </c>
      <c r="BK1472" s="40">
        <v>900</v>
      </c>
      <c r="BL1472" s="40">
        <v>520</v>
      </c>
      <c r="BN1472" t="str">
        <f t="shared" si="119"/>
        <v>Hootsuite</v>
      </c>
      <c r="BO1472">
        <f t="shared" si="116"/>
        <v>98</v>
      </c>
      <c r="BP1472">
        <f t="shared" si="117"/>
        <v>65</v>
      </c>
      <c r="BQ1472">
        <f t="shared" si="118"/>
        <v>163</v>
      </c>
    </row>
    <row r="1473" spans="26:69" hidden="1" x14ac:dyDescent="0.25">
      <c r="Z1473" s="7" t="s">
        <v>844</v>
      </c>
      <c r="AA1473" s="1">
        <v>0.8</v>
      </c>
      <c r="AI1473" s="7" t="s">
        <v>849</v>
      </c>
      <c r="AJ1473" s="40">
        <v>2</v>
      </c>
      <c r="AL1473" s="7" t="s">
        <v>850</v>
      </c>
      <c r="AM1473" s="27">
        <v>2</v>
      </c>
      <c r="AW1473" s="7" t="s">
        <v>992</v>
      </c>
      <c r="AX1473" s="27">
        <v>70</v>
      </c>
      <c r="BC1473" s="7" t="s">
        <v>931</v>
      </c>
      <c r="BD1473" s="27">
        <v>233</v>
      </c>
      <c r="BJ1473" s="7" t="s">
        <v>853</v>
      </c>
      <c r="BK1473" s="40">
        <v>3000</v>
      </c>
      <c r="BL1473" s="40">
        <v>380</v>
      </c>
      <c r="BN1473" t="str">
        <f t="shared" si="119"/>
        <v>Hopin</v>
      </c>
      <c r="BO1473">
        <f t="shared" si="116"/>
        <v>21</v>
      </c>
      <c r="BP1473">
        <f t="shared" si="117"/>
        <v>90</v>
      </c>
      <c r="BQ1473">
        <f t="shared" si="118"/>
        <v>111</v>
      </c>
    </row>
    <row r="1474" spans="26:69" hidden="1" x14ac:dyDescent="0.25">
      <c r="Z1474" s="7" t="s">
        <v>845</v>
      </c>
      <c r="AA1474" s="1">
        <v>0.4</v>
      </c>
      <c r="AI1474" s="7" t="s">
        <v>850</v>
      </c>
      <c r="AJ1474" s="40">
        <v>2</v>
      </c>
      <c r="AL1474" s="7" t="s">
        <v>851</v>
      </c>
      <c r="AM1474" s="27">
        <v>1</v>
      </c>
      <c r="AW1474" s="7" t="s">
        <v>993</v>
      </c>
      <c r="AX1474" s="27">
        <v>36</v>
      </c>
      <c r="BC1474" s="7" t="s">
        <v>932</v>
      </c>
      <c r="BD1474" s="27">
        <v>5100</v>
      </c>
      <c r="BJ1474" s="7" t="s">
        <v>854</v>
      </c>
      <c r="BK1474" s="40">
        <v>45</v>
      </c>
      <c r="BL1474" s="40">
        <v>8</v>
      </c>
      <c r="BN1474" t="str">
        <f t="shared" si="119"/>
        <v>HopSkipDrive</v>
      </c>
      <c r="BO1474">
        <f t="shared" si="116"/>
        <v>556</v>
      </c>
      <c r="BP1474">
        <f t="shared" si="117"/>
        <v>666</v>
      </c>
      <c r="BQ1474">
        <f t="shared" si="118"/>
        <v>1222</v>
      </c>
    </row>
    <row r="1475" spans="26:69" hidden="1" x14ac:dyDescent="0.25">
      <c r="Z1475" s="7" t="s">
        <v>846</v>
      </c>
      <c r="AA1475" s="1">
        <v>0.13</v>
      </c>
      <c r="AI1475" s="7" t="s">
        <v>851</v>
      </c>
      <c r="AJ1475" s="40">
        <v>1</v>
      </c>
      <c r="AL1475" s="7" t="s">
        <v>852</v>
      </c>
      <c r="AM1475" s="27">
        <v>3</v>
      </c>
      <c r="AW1475" s="7" t="s">
        <v>994</v>
      </c>
      <c r="AX1475" s="27">
        <v>40</v>
      </c>
      <c r="BC1475" s="7" t="s">
        <v>933</v>
      </c>
      <c r="BD1475" s="27">
        <v>114</v>
      </c>
      <c r="BJ1475" s="7" t="s">
        <v>855</v>
      </c>
      <c r="BK1475" s="40">
        <v>30</v>
      </c>
      <c r="BL1475" s="40">
        <v>15</v>
      </c>
      <c r="BN1475" t="str">
        <f t="shared" si="119"/>
        <v>Horizn Studios</v>
      </c>
      <c r="BO1475">
        <f t="shared" si="116"/>
        <v>601</v>
      </c>
      <c r="BP1475">
        <f t="shared" si="117"/>
        <v>622</v>
      </c>
      <c r="BQ1475">
        <f t="shared" si="118"/>
        <v>1223</v>
      </c>
    </row>
    <row r="1476" spans="26:69" hidden="1" x14ac:dyDescent="0.25">
      <c r="Z1476" s="7" t="s">
        <v>847</v>
      </c>
      <c r="AA1476" s="1">
        <v>0.19</v>
      </c>
      <c r="AI1476" s="7" t="s">
        <v>852</v>
      </c>
      <c r="AJ1476" s="40">
        <v>3</v>
      </c>
      <c r="AL1476" s="7" t="s">
        <v>853</v>
      </c>
      <c r="AM1476" s="27">
        <v>3</v>
      </c>
      <c r="AW1476" s="7" t="s">
        <v>995</v>
      </c>
      <c r="AX1476" s="27">
        <v>300</v>
      </c>
      <c r="BC1476" s="7" t="s">
        <v>934</v>
      </c>
      <c r="BD1476" s="27">
        <v>44</v>
      </c>
      <c r="BJ1476" s="7" t="s">
        <v>856</v>
      </c>
      <c r="BK1476" s="40">
        <v>127</v>
      </c>
      <c r="BL1476" s="40">
        <v>227</v>
      </c>
      <c r="BN1476" t="str">
        <f t="shared" si="119"/>
        <v>Hotmart</v>
      </c>
      <c r="BO1476">
        <f t="shared" si="116"/>
        <v>399</v>
      </c>
      <c r="BP1476">
        <f t="shared" si="117"/>
        <v>133</v>
      </c>
      <c r="BQ1476">
        <f t="shared" si="118"/>
        <v>532</v>
      </c>
    </row>
    <row r="1477" spans="26:69" hidden="1" x14ac:dyDescent="0.25">
      <c r="Z1477" s="7" t="s">
        <v>848</v>
      </c>
      <c r="AA1477" s="1">
        <v>0</v>
      </c>
      <c r="AI1477" s="7" t="s">
        <v>853</v>
      </c>
      <c r="AJ1477" s="40">
        <v>3</v>
      </c>
      <c r="AL1477" s="7" t="s">
        <v>854</v>
      </c>
      <c r="AM1477" s="27">
        <v>1</v>
      </c>
      <c r="AW1477" s="7" t="s">
        <v>996</v>
      </c>
      <c r="AX1477" s="27">
        <v>13</v>
      </c>
      <c r="BC1477" s="7" t="s">
        <v>935</v>
      </c>
      <c r="BD1477" s="27">
        <v>68</v>
      </c>
      <c r="BJ1477" s="7" t="s">
        <v>858</v>
      </c>
      <c r="BK1477" s="40">
        <v>1226</v>
      </c>
      <c r="BL1477" s="40">
        <v>250</v>
      </c>
      <c r="BN1477" t="str">
        <f t="shared" si="119"/>
        <v>Houzz</v>
      </c>
      <c r="BO1477">
        <f t="shared" si="116"/>
        <v>69</v>
      </c>
      <c r="BP1477">
        <f t="shared" si="117"/>
        <v>121</v>
      </c>
      <c r="BQ1477">
        <f t="shared" si="118"/>
        <v>190</v>
      </c>
    </row>
    <row r="1478" spans="26:69" hidden="1" x14ac:dyDescent="0.25">
      <c r="Z1478" s="7" t="s">
        <v>849</v>
      </c>
      <c r="AA1478" s="1">
        <v>0.25</v>
      </c>
      <c r="AI1478" s="7" t="s">
        <v>854</v>
      </c>
      <c r="AJ1478" s="40">
        <v>1</v>
      </c>
      <c r="AL1478" s="7" t="s">
        <v>855</v>
      </c>
      <c r="AM1478" s="27">
        <v>1</v>
      </c>
      <c r="AW1478" s="7" t="s">
        <v>997</v>
      </c>
      <c r="AX1478" s="27">
        <v>1300</v>
      </c>
      <c r="BC1478" s="7" t="s">
        <v>936</v>
      </c>
      <c r="BD1478" s="27">
        <v>40</v>
      </c>
      <c r="BJ1478" s="7" t="s">
        <v>859</v>
      </c>
      <c r="BK1478" s="40">
        <v>4200</v>
      </c>
      <c r="BL1478" s="40">
        <v>100</v>
      </c>
      <c r="BN1478" t="str">
        <f t="shared" si="119"/>
        <v>HP</v>
      </c>
      <c r="BO1478">
        <f t="shared" si="116"/>
        <v>13</v>
      </c>
      <c r="BP1478">
        <f t="shared" si="117"/>
        <v>254</v>
      </c>
      <c r="BQ1478">
        <f t="shared" si="118"/>
        <v>267</v>
      </c>
    </row>
    <row r="1479" spans="26:69" hidden="1" x14ac:dyDescent="0.25">
      <c r="Z1479" s="7" t="s">
        <v>850</v>
      </c>
      <c r="AA1479" s="1">
        <v>0.28999999999999998</v>
      </c>
      <c r="AI1479" s="7" t="s">
        <v>855</v>
      </c>
      <c r="AJ1479" s="40">
        <v>1</v>
      </c>
      <c r="AL1479" s="7" t="s">
        <v>856</v>
      </c>
      <c r="AM1479" s="27">
        <v>1</v>
      </c>
      <c r="AW1479" s="7" t="s">
        <v>998</v>
      </c>
      <c r="AX1479" s="27">
        <v>84</v>
      </c>
      <c r="BC1479" s="7" t="s">
        <v>937</v>
      </c>
      <c r="BD1479" s="27">
        <v>28</v>
      </c>
      <c r="BJ1479" s="7" t="s">
        <v>860</v>
      </c>
      <c r="BK1479" s="40">
        <v>61</v>
      </c>
      <c r="BL1479" s="40">
        <v>45</v>
      </c>
      <c r="BN1479" t="str">
        <f t="shared" si="119"/>
        <v>Hubba</v>
      </c>
      <c r="BO1479">
        <f t="shared" si="116"/>
        <v>512</v>
      </c>
      <c r="BP1479">
        <f t="shared" si="117"/>
        <v>441</v>
      </c>
      <c r="BQ1479">
        <f t="shared" si="118"/>
        <v>953</v>
      </c>
    </row>
    <row r="1480" spans="26:69" hidden="1" x14ac:dyDescent="0.25">
      <c r="Z1480" s="7" t="s">
        <v>851</v>
      </c>
      <c r="AA1480" s="1">
        <v>1</v>
      </c>
      <c r="AI1480" s="7" t="s">
        <v>856</v>
      </c>
      <c r="AJ1480" s="40">
        <v>1</v>
      </c>
      <c r="AL1480" s="7" t="s">
        <v>858</v>
      </c>
      <c r="AM1480" s="27">
        <v>2</v>
      </c>
      <c r="AW1480" s="7" t="s">
        <v>999</v>
      </c>
      <c r="AX1480" s="27">
        <v>110</v>
      </c>
      <c r="BC1480" s="7" t="s">
        <v>938</v>
      </c>
      <c r="BD1480" s="27">
        <v>12</v>
      </c>
      <c r="BJ1480" s="7" t="s">
        <v>861</v>
      </c>
      <c r="BK1480" s="40">
        <v>13</v>
      </c>
      <c r="BL1480" s="40">
        <v>0</v>
      </c>
      <c r="BN1480" t="str">
        <f t="shared" si="119"/>
        <v>HubHaus</v>
      </c>
      <c r="BO1480">
        <f t="shared" si="116"/>
        <v>675</v>
      </c>
      <c r="BP1480">
        <f t="shared" si="117"/>
        <v>683</v>
      </c>
      <c r="BQ1480">
        <f t="shared" si="118"/>
        <v>1358</v>
      </c>
    </row>
    <row r="1481" spans="26:69" hidden="1" x14ac:dyDescent="0.25">
      <c r="Z1481" s="7" t="s">
        <v>852</v>
      </c>
      <c r="AA1481" s="1">
        <v>0.3</v>
      </c>
      <c r="AI1481" s="7" t="s">
        <v>858</v>
      </c>
      <c r="AJ1481" s="40">
        <v>2</v>
      </c>
      <c r="AL1481" s="7" t="s">
        <v>859</v>
      </c>
      <c r="AM1481" s="27">
        <v>1</v>
      </c>
      <c r="AW1481" s="7" t="s">
        <v>1002</v>
      </c>
      <c r="AX1481" s="27">
        <v>50</v>
      </c>
      <c r="BC1481" s="7" t="s">
        <v>939</v>
      </c>
      <c r="BD1481" s="27">
        <v>118</v>
      </c>
      <c r="BJ1481" s="7" t="s">
        <v>862</v>
      </c>
      <c r="BK1481" s="40">
        <v>306</v>
      </c>
      <c r="BL1481" s="40">
        <v>160</v>
      </c>
      <c r="BN1481" t="str">
        <f t="shared" si="119"/>
        <v>Hubilo</v>
      </c>
      <c r="BO1481">
        <f t="shared" ref="BO1481:BO1544" si="120">RANK($BK$839:$BK$1662,$BK$839:$BK$1662,0)</f>
        <v>242</v>
      </c>
      <c r="BP1481">
        <f t="shared" ref="BP1481:BP1544" si="121">RANK($BL$840:$BL$1662,$BL$840:$BL$1662,0)</f>
        <v>184</v>
      </c>
      <c r="BQ1481">
        <f t="shared" ref="BQ1481:BQ1544" si="122">BO1481+BP1481</f>
        <v>426</v>
      </c>
    </row>
    <row r="1482" spans="26:69" hidden="1" x14ac:dyDescent="0.25">
      <c r="Z1482" s="7" t="s">
        <v>853</v>
      </c>
      <c r="AA1482" s="1">
        <v>0.28999999999999998</v>
      </c>
      <c r="AI1482" s="7" t="s">
        <v>859</v>
      </c>
      <c r="AJ1482" s="40">
        <v>1</v>
      </c>
      <c r="AL1482" s="7" t="s">
        <v>860</v>
      </c>
      <c r="AM1482" s="27">
        <v>1</v>
      </c>
      <c r="AW1482" s="7" t="s">
        <v>1003</v>
      </c>
      <c r="AX1482" s="27">
        <v>335</v>
      </c>
      <c r="BC1482" s="7" t="s">
        <v>940</v>
      </c>
      <c r="BD1482" s="27">
        <v>430</v>
      </c>
      <c r="BJ1482" s="7" t="s">
        <v>863</v>
      </c>
      <c r="BK1482" s="40">
        <v>100</v>
      </c>
      <c r="BL1482" s="40">
        <v>500</v>
      </c>
      <c r="BN1482" t="str">
        <f t="shared" si="119"/>
        <v>HubSpot</v>
      </c>
      <c r="BO1482">
        <f t="shared" si="120"/>
        <v>439</v>
      </c>
      <c r="BP1482">
        <f t="shared" si="121"/>
        <v>66</v>
      </c>
      <c r="BQ1482">
        <f t="shared" si="122"/>
        <v>505</v>
      </c>
    </row>
    <row r="1483" spans="26:69" hidden="1" x14ac:dyDescent="0.25">
      <c r="Z1483" s="7" t="s">
        <v>854</v>
      </c>
      <c r="AA1483" s="1">
        <v>0.1</v>
      </c>
      <c r="AI1483" s="7" t="s">
        <v>860</v>
      </c>
      <c r="AJ1483" s="40">
        <v>1</v>
      </c>
      <c r="AL1483" s="7" t="s">
        <v>861</v>
      </c>
      <c r="AM1483" s="27">
        <v>1</v>
      </c>
      <c r="AW1483" s="7" t="s">
        <v>1004</v>
      </c>
      <c r="AX1483" s="27">
        <v>29</v>
      </c>
      <c r="BC1483" s="7" t="s">
        <v>941</v>
      </c>
      <c r="BD1483" s="27">
        <v>194</v>
      </c>
      <c r="BJ1483" s="7" t="s">
        <v>864</v>
      </c>
      <c r="BK1483" s="40">
        <v>37</v>
      </c>
      <c r="BL1483" s="40">
        <v>47</v>
      </c>
      <c r="BN1483" t="str">
        <f t="shared" si="119"/>
        <v>HuffPo</v>
      </c>
      <c r="BO1483">
        <f t="shared" si="120"/>
        <v>584</v>
      </c>
      <c r="BP1483">
        <f t="shared" si="121"/>
        <v>435</v>
      </c>
      <c r="BQ1483">
        <f t="shared" si="122"/>
        <v>1019</v>
      </c>
    </row>
    <row r="1484" spans="26:69" hidden="1" x14ac:dyDescent="0.25">
      <c r="Z1484" s="7" t="s">
        <v>855</v>
      </c>
      <c r="AA1484" s="1">
        <v>0.25</v>
      </c>
      <c r="AI1484" s="7" t="s">
        <v>861</v>
      </c>
      <c r="AJ1484" s="40">
        <v>1</v>
      </c>
      <c r="AL1484" s="7" t="s">
        <v>862</v>
      </c>
      <c r="AM1484" s="27">
        <v>2</v>
      </c>
      <c r="AW1484" s="7" t="s">
        <v>1005</v>
      </c>
      <c r="AX1484" s="27">
        <v>30</v>
      </c>
      <c r="BC1484" s="7" t="s">
        <v>942</v>
      </c>
      <c r="BD1484" s="27">
        <v>1200</v>
      </c>
      <c r="BJ1484" s="7" t="s">
        <v>865</v>
      </c>
      <c r="BK1484" s="40">
        <v>4</v>
      </c>
      <c r="BL1484" s="40">
        <v>10</v>
      </c>
      <c r="BN1484" t="str">
        <f t="shared" si="119"/>
        <v>Humble</v>
      </c>
      <c r="BO1484">
        <f t="shared" si="120"/>
        <v>713</v>
      </c>
      <c r="BP1484">
        <f t="shared" si="121"/>
        <v>653</v>
      </c>
      <c r="BQ1484">
        <f t="shared" si="122"/>
        <v>1366</v>
      </c>
    </row>
    <row r="1485" spans="26:69" hidden="1" x14ac:dyDescent="0.25">
      <c r="Z1485" s="7" t="s">
        <v>856</v>
      </c>
      <c r="AA1485" s="1">
        <v>0.12</v>
      </c>
      <c r="AI1485" s="7" t="s">
        <v>862</v>
      </c>
      <c r="AJ1485" s="40">
        <v>2</v>
      </c>
      <c r="AL1485" s="7" t="s">
        <v>863</v>
      </c>
      <c r="AM1485" s="27">
        <v>1</v>
      </c>
      <c r="AW1485" s="7" t="s">
        <v>1006</v>
      </c>
      <c r="AX1485" s="27">
        <v>45</v>
      </c>
      <c r="BC1485" s="7" t="s">
        <v>943</v>
      </c>
      <c r="BD1485" s="27">
        <v>205</v>
      </c>
      <c r="BJ1485" s="7" t="s">
        <v>866</v>
      </c>
      <c r="BK1485" s="40">
        <v>40</v>
      </c>
      <c r="BL1485" s="40">
        <v>26</v>
      </c>
      <c r="BN1485" t="str">
        <f t="shared" si="119"/>
        <v>Humu</v>
      </c>
      <c r="BO1485">
        <f t="shared" si="120"/>
        <v>575</v>
      </c>
      <c r="BP1485">
        <f t="shared" si="121"/>
        <v>549</v>
      </c>
      <c r="BQ1485">
        <f t="shared" si="122"/>
        <v>1124</v>
      </c>
    </row>
    <row r="1486" spans="26:69" hidden="1" x14ac:dyDescent="0.25">
      <c r="Z1486" s="7" t="s">
        <v>858</v>
      </c>
      <c r="AA1486" s="1">
        <v>0.1</v>
      </c>
      <c r="AI1486" s="7" t="s">
        <v>863</v>
      </c>
      <c r="AJ1486" s="40">
        <v>1</v>
      </c>
      <c r="AL1486" s="7" t="s">
        <v>864</v>
      </c>
      <c r="AM1486" s="27">
        <v>1</v>
      </c>
      <c r="AW1486" s="7" t="s">
        <v>1010</v>
      </c>
      <c r="AX1486" s="27">
        <v>140</v>
      </c>
      <c r="BC1486" s="7" t="s">
        <v>944</v>
      </c>
      <c r="BD1486" s="27">
        <v>11</v>
      </c>
      <c r="BJ1486" s="7" t="s">
        <v>867</v>
      </c>
      <c r="BK1486" s="40">
        <v>6</v>
      </c>
      <c r="BL1486" s="40">
        <v>30</v>
      </c>
      <c r="BN1486" t="str">
        <f t="shared" si="119"/>
        <v>Hunty</v>
      </c>
      <c r="BO1486">
        <f t="shared" si="120"/>
        <v>706</v>
      </c>
      <c r="BP1486">
        <f t="shared" si="121"/>
        <v>512</v>
      </c>
      <c r="BQ1486">
        <f t="shared" si="122"/>
        <v>1218</v>
      </c>
    </row>
    <row r="1487" spans="26:69" hidden="1" x14ac:dyDescent="0.25">
      <c r="Z1487" s="7" t="s">
        <v>859</v>
      </c>
      <c r="AA1487" s="1">
        <v>0</v>
      </c>
      <c r="AI1487" s="7" t="s">
        <v>864</v>
      </c>
      <c r="AJ1487" s="40">
        <v>1</v>
      </c>
      <c r="AL1487" s="7" t="s">
        <v>865</v>
      </c>
      <c r="AM1487" s="27">
        <v>1</v>
      </c>
      <c r="AW1487" s="7" t="s">
        <v>1011</v>
      </c>
      <c r="AX1487" s="27">
        <v>80</v>
      </c>
      <c r="BC1487" s="7" t="s">
        <v>945</v>
      </c>
      <c r="BD1487" s="27">
        <v>416</v>
      </c>
      <c r="BJ1487" s="7" t="s">
        <v>868</v>
      </c>
      <c r="BK1487" s="40">
        <v>4</v>
      </c>
      <c r="BL1487" s="40">
        <v>575</v>
      </c>
      <c r="BN1487" t="str">
        <f t="shared" si="119"/>
        <v>Huobi</v>
      </c>
      <c r="BO1487">
        <f t="shared" si="120"/>
        <v>713</v>
      </c>
      <c r="BP1487">
        <f t="shared" si="121"/>
        <v>58</v>
      </c>
      <c r="BQ1487">
        <f t="shared" si="122"/>
        <v>771</v>
      </c>
    </row>
    <row r="1488" spans="26:69" hidden="1" x14ac:dyDescent="0.25">
      <c r="Z1488" s="7" t="s">
        <v>860</v>
      </c>
      <c r="AA1488" s="1">
        <v>1</v>
      </c>
      <c r="AI1488" s="7" t="s">
        <v>865</v>
      </c>
      <c r="AJ1488" s="40">
        <v>1</v>
      </c>
      <c r="AL1488" s="7" t="s">
        <v>866</v>
      </c>
      <c r="AM1488" s="27">
        <v>1</v>
      </c>
      <c r="AW1488" s="7" t="s">
        <v>1012</v>
      </c>
      <c r="AX1488" s="27">
        <v>147</v>
      </c>
      <c r="BC1488" s="7" t="s">
        <v>946</v>
      </c>
      <c r="BD1488" s="27">
        <v>281</v>
      </c>
      <c r="BJ1488" s="7" t="s">
        <v>870</v>
      </c>
      <c r="BK1488" s="40">
        <v>538</v>
      </c>
      <c r="BL1488" s="40">
        <v>30</v>
      </c>
      <c r="BN1488" t="str">
        <f t="shared" si="119"/>
        <v>Hydrow</v>
      </c>
      <c r="BO1488">
        <f t="shared" si="120"/>
        <v>156</v>
      </c>
      <c r="BP1488">
        <f t="shared" si="121"/>
        <v>512</v>
      </c>
      <c r="BQ1488">
        <f t="shared" si="122"/>
        <v>668</v>
      </c>
    </row>
    <row r="1489" spans="26:69" hidden="1" x14ac:dyDescent="0.25">
      <c r="Z1489" s="7" t="s">
        <v>861</v>
      </c>
      <c r="AA1489" s="1">
        <v>1</v>
      </c>
      <c r="AI1489" s="7" t="s">
        <v>866</v>
      </c>
      <c r="AJ1489" s="40">
        <v>1</v>
      </c>
      <c r="AL1489" s="7" t="s">
        <v>867</v>
      </c>
      <c r="AM1489" s="27">
        <v>1</v>
      </c>
      <c r="AW1489" s="7" t="s">
        <v>1013</v>
      </c>
      <c r="AX1489" s="27">
        <v>27</v>
      </c>
      <c r="BC1489" s="7" t="s">
        <v>948</v>
      </c>
      <c r="BD1489" s="27">
        <v>108</v>
      </c>
      <c r="BJ1489" s="7" t="s">
        <v>871</v>
      </c>
      <c r="BK1489" s="40">
        <v>289</v>
      </c>
      <c r="BL1489" s="40">
        <v>100</v>
      </c>
      <c r="BN1489" t="str">
        <f t="shared" si="119"/>
        <v>Hyperscience</v>
      </c>
      <c r="BO1489">
        <f t="shared" si="120"/>
        <v>253</v>
      </c>
      <c r="BP1489">
        <f t="shared" si="121"/>
        <v>254</v>
      </c>
      <c r="BQ1489">
        <f t="shared" si="122"/>
        <v>507</v>
      </c>
    </row>
    <row r="1490" spans="26:69" hidden="1" x14ac:dyDescent="0.25">
      <c r="Z1490" s="7" t="s">
        <v>862</v>
      </c>
      <c r="AA1490" s="1">
        <v>0.35</v>
      </c>
      <c r="AI1490" s="7" t="s">
        <v>867</v>
      </c>
      <c r="AJ1490" s="40">
        <v>1</v>
      </c>
      <c r="AL1490" s="7" t="s">
        <v>868</v>
      </c>
      <c r="AM1490" s="27">
        <v>2</v>
      </c>
      <c r="AW1490" s="7" t="s">
        <v>1014</v>
      </c>
      <c r="AX1490" s="27">
        <v>23</v>
      </c>
      <c r="BC1490" s="7" t="s">
        <v>949</v>
      </c>
      <c r="BD1490" s="27">
        <v>2800</v>
      </c>
      <c r="BJ1490" s="7" t="s">
        <v>872</v>
      </c>
      <c r="BK1490" s="40">
        <v>0</v>
      </c>
      <c r="BL1490" s="40">
        <v>3900</v>
      </c>
      <c r="BN1490" t="str">
        <f t="shared" si="119"/>
        <v>IBM</v>
      </c>
      <c r="BO1490">
        <f t="shared" si="120"/>
        <v>742</v>
      </c>
      <c r="BP1490">
        <f t="shared" si="121"/>
        <v>9</v>
      </c>
      <c r="BQ1490">
        <f t="shared" si="122"/>
        <v>751</v>
      </c>
    </row>
    <row r="1491" spans="26:69" hidden="1" x14ac:dyDescent="0.25">
      <c r="Z1491" s="7" t="s">
        <v>863</v>
      </c>
      <c r="AA1491" s="1">
        <v>7.0000000000000007E-2</v>
      </c>
      <c r="AI1491" s="7" t="s">
        <v>868</v>
      </c>
      <c r="AJ1491" s="40">
        <v>2</v>
      </c>
      <c r="AL1491" s="7" t="s">
        <v>870</v>
      </c>
      <c r="AM1491" s="27">
        <v>2</v>
      </c>
      <c r="AW1491" s="7" t="s">
        <v>1015</v>
      </c>
      <c r="AX1491" s="27">
        <v>100</v>
      </c>
      <c r="BC1491" s="7" t="s">
        <v>950</v>
      </c>
      <c r="BD1491" s="27">
        <v>3000</v>
      </c>
      <c r="BJ1491" s="7" t="s">
        <v>873</v>
      </c>
      <c r="BK1491" s="40">
        <v>85</v>
      </c>
      <c r="BL1491" s="40">
        <v>87</v>
      </c>
      <c r="BN1491" t="str">
        <f t="shared" si="119"/>
        <v>Ibotta</v>
      </c>
      <c r="BO1491">
        <f t="shared" si="120"/>
        <v>465</v>
      </c>
      <c r="BP1491">
        <f t="shared" si="121"/>
        <v>310</v>
      </c>
      <c r="BQ1491">
        <f t="shared" si="122"/>
        <v>775</v>
      </c>
    </row>
    <row r="1492" spans="26:69" hidden="1" x14ac:dyDescent="0.25">
      <c r="Z1492" s="7" t="s">
        <v>864</v>
      </c>
      <c r="AA1492" s="1">
        <v>0</v>
      </c>
      <c r="AI1492" s="7" t="s">
        <v>870</v>
      </c>
      <c r="AJ1492" s="40">
        <v>2</v>
      </c>
      <c r="AL1492" s="7" t="s">
        <v>871</v>
      </c>
      <c r="AM1492" s="27">
        <v>1</v>
      </c>
      <c r="AW1492" s="7" t="s">
        <v>1016</v>
      </c>
      <c r="AX1492" s="27">
        <v>52</v>
      </c>
      <c r="BC1492" s="7" t="s">
        <v>951</v>
      </c>
      <c r="BD1492" s="27">
        <v>244</v>
      </c>
      <c r="BJ1492" s="7" t="s">
        <v>874</v>
      </c>
      <c r="BK1492" s="40">
        <v>275</v>
      </c>
      <c r="BL1492" s="40">
        <v>130</v>
      </c>
      <c r="BN1492" t="str">
        <f t="shared" ref="BN1492:BN1555" si="123">VLOOKUP(BJ1492,BJ1492:BL2303,1,0)</f>
        <v>ID.me</v>
      </c>
      <c r="BO1492">
        <f t="shared" si="120"/>
        <v>260</v>
      </c>
      <c r="BP1492">
        <f t="shared" si="121"/>
        <v>226</v>
      </c>
      <c r="BQ1492">
        <f t="shared" si="122"/>
        <v>486</v>
      </c>
    </row>
    <row r="1493" spans="26:69" hidden="1" x14ac:dyDescent="0.25">
      <c r="Z1493" s="7" t="s">
        <v>865</v>
      </c>
      <c r="AA1493" s="1">
        <v>0</v>
      </c>
      <c r="AI1493" s="7" t="s">
        <v>871</v>
      </c>
      <c r="AJ1493" s="40">
        <v>1</v>
      </c>
      <c r="AL1493" s="7" t="s">
        <v>872</v>
      </c>
      <c r="AM1493" s="27">
        <v>1</v>
      </c>
      <c r="AW1493" s="7" t="s">
        <v>1017</v>
      </c>
      <c r="AX1493" s="27">
        <v>100</v>
      </c>
      <c r="BC1493" s="7" t="s">
        <v>952</v>
      </c>
      <c r="BD1493" s="27">
        <v>332</v>
      </c>
      <c r="BJ1493" s="7" t="s">
        <v>875</v>
      </c>
      <c r="BK1493" s="40">
        <v>7</v>
      </c>
      <c r="BL1493" s="40">
        <v>40</v>
      </c>
      <c r="BN1493" t="str">
        <f t="shared" si="123"/>
        <v>Ideoclick</v>
      </c>
      <c r="BO1493">
        <f t="shared" si="120"/>
        <v>701</v>
      </c>
      <c r="BP1493">
        <f t="shared" si="121"/>
        <v>454</v>
      </c>
      <c r="BQ1493">
        <f t="shared" si="122"/>
        <v>1155</v>
      </c>
    </row>
    <row r="1494" spans="26:69" hidden="1" x14ac:dyDescent="0.25">
      <c r="Z1494" s="7" t="s">
        <v>866</v>
      </c>
      <c r="AA1494" s="1">
        <v>0</v>
      </c>
      <c r="AI1494" s="7" t="s">
        <v>872</v>
      </c>
      <c r="AJ1494" s="40">
        <v>1</v>
      </c>
      <c r="AL1494" s="7" t="s">
        <v>873</v>
      </c>
      <c r="AM1494" s="27">
        <v>1</v>
      </c>
      <c r="AW1494" s="7" t="s">
        <v>1018</v>
      </c>
      <c r="AX1494" s="27">
        <v>685</v>
      </c>
      <c r="BC1494" s="7" t="s">
        <v>954</v>
      </c>
      <c r="BD1494" s="27">
        <v>188</v>
      </c>
      <c r="BJ1494" s="7" t="s">
        <v>876</v>
      </c>
      <c r="BK1494" s="40">
        <v>200</v>
      </c>
      <c r="BL1494" s="40">
        <v>300</v>
      </c>
      <c r="BN1494" t="str">
        <f t="shared" si="123"/>
        <v>iFit</v>
      </c>
      <c r="BO1494">
        <f t="shared" si="120"/>
        <v>322</v>
      </c>
      <c r="BP1494">
        <f t="shared" si="121"/>
        <v>103</v>
      </c>
      <c r="BQ1494">
        <f t="shared" si="122"/>
        <v>425</v>
      </c>
    </row>
    <row r="1495" spans="26:69" hidden="1" x14ac:dyDescent="0.25">
      <c r="Z1495" s="7" t="s">
        <v>867</v>
      </c>
      <c r="AA1495" s="1">
        <v>0</v>
      </c>
      <c r="AI1495" s="7" t="s">
        <v>873</v>
      </c>
      <c r="AJ1495" s="40">
        <v>1</v>
      </c>
      <c r="AL1495" s="7" t="s">
        <v>874</v>
      </c>
      <c r="AM1495" s="27">
        <v>1</v>
      </c>
      <c r="AW1495" s="7" t="s">
        <v>1019</v>
      </c>
      <c r="AX1495" s="27">
        <v>500</v>
      </c>
      <c r="BC1495" s="7" t="s">
        <v>955</v>
      </c>
      <c r="BD1495" s="27">
        <v>17</v>
      </c>
      <c r="BJ1495" s="7" t="s">
        <v>878</v>
      </c>
      <c r="BK1495" s="40">
        <v>348</v>
      </c>
      <c r="BL1495" s="40">
        <v>50</v>
      </c>
      <c r="BN1495" t="str">
        <f t="shared" si="123"/>
        <v>Iflix</v>
      </c>
      <c r="BO1495">
        <f t="shared" si="120"/>
        <v>220</v>
      </c>
      <c r="BP1495">
        <f t="shared" si="121"/>
        <v>410</v>
      </c>
      <c r="BQ1495">
        <f t="shared" si="122"/>
        <v>630</v>
      </c>
    </row>
    <row r="1496" spans="26:69" hidden="1" x14ac:dyDescent="0.25">
      <c r="Z1496" s="7" t="s">
        <v>868</v>
      </c>
      <c r="AA1496" s="1">
        <v>0.3</v>
      </c>
      <c r="AI1496" s="7" t="s">
        <v>874</v>
      </c>
      <c r="AJ1496" s="40">
        <v>1</v>
      </c>
      <c r="AL1496" s="7" t="s">
        <v>875</v>
      </c>
      <c r="AM1496" s="27">
        <v>1</v>
      </c>
      <c r="AW1496" s="7" t="s">
        <v>1021</v>
      </c>
      <c r="AX1496" s="27">
        <v>200</v>
      </c>
      <c r="BC1496" s="7" t="s">
        <v>957</v>
      </c>
      <c r="BD1496" s="27">
        <v>169</v>
      </c>
      <c r="BJ1496" s="7" t="s">
        <v>879</v>
      </c>
      <c r="BK1496" s="40">
        <v>2100</v>
      </c>
      <c r="BL1496" s="40">
        <v>355</v>
      </c>
      <c r="BN1496" t="str">
        <f t="shared" si="123"/>
        <v>iFood</v>
      </c>
      <c r="BO1496">
        <f t="shared" si="120"/>
        <v>36</v>
      </c>
      <c r="BP1496">
        <f t="shared" si="121"/>
        <v>93</v>
      </c>
      <c r="BQ1496">
        <f t="shared" si="122"/>
        <v>129</v>
      </c>
    </row>
    <row r="1497" spans="26:69" hidden="1" x14ac:dyDescent="0.25">
      <c r="Z1497" s="7" t="s">
        <v>870</v>
      </c>
      <c r="AA1497" s="1">
        <v>0.35</v>
      </c>
      <c r="AI1497" s="7" t="s">
        <v>875</v>
      </c>
      <c r="AJ1497" s="40">
        <v>1</v>
      </c>
      <c r="AL1497" s="7" t="s">
        <v>876</v>
      </c>
      <c r="AM1497" s="27">
        <v>1</v>
      </c>
      <c r="AW1497" s="7" t="s">
        <v>1023</v>
      </c>
      <c r="AX1497" s="27">
        <v>18</v>
      </c>
      <c r="BC1497" s="7" t="s">
        <v>958</v>
      </c>
      <c r="BD1497" s="27">
        <v>91</v>
      </c>
      <c r="BJ1497" s="7" t="s">
        <v>881</v>
      </c>
      <c r="BK1497" s="40">
        <v>9</v>
      </c>
      <c r="BL1497" s="40">
        <v>0</v>
      </c>
      <c r="BN1497" t="str">
        <f t="shared" si="123"/>
        <v>Ignite</v>
      </c>
      <c r="BO1497">
        <f t="shared" si="120"/>
        <v>692</v>
      </c>
      <c r="BP1497">
        <f t="shared" si="121"/>
        <v>683</v>
      </c>
      <c r="BQ1497">
        <f t="shared" si="122"/>
        <v>1375</v>
      </c>
    </row>
    <row r="1498" spans="26:69" hidden="1" x14ac:dyDescent="0.25">
      <c r="Z1498" s="7" t="s">
        <v>871</v>
      </c>
      <c r="AA1498" s="1">
        <v>0.25</v>
      </c>
      <c r="AI1498" s="7" t="s">
        <v>876</v>
      </c>
      <c r="AJ1498" s="40">
        <v>1</v>
      </c>
      <c r="AL1498" s="7" t="s">
        <v>878</v>
      </c>
      <c r="AM1498" s="27">
        <v>1</v>
      </c>
      <c r="AW1498" s="7" t="s">
        <v>1024</v>
      </c>
      <c r="AX1498" s="27">
        <v>30</v>
      </c>
      <c r="BC1498" s="7" t="s">
        <v>959</v>
      </c>
      <c r="BD1498" s="27">
        <v>4100</v>
      </c>
      <c r="BJ1498" s="7" t="s">
        <v>882</v>
      </c>
      <c r="BK1498" s="40">
        <v>74</v>
      </c>
      <c r="BL1498" s="40">
        <v>0</v>
      </c>
      <c r="BN1498" t="str">
        <f t="shared" si="123"/>
        <v>Ignition</v>
      </c>
      <c r="BO1498">
        <f t="shared" si="120"/>
        <v>489</v>
      </c>
      <c r="BP1498">
        <f t="shared" si="121"/>
        <v>683</v>
      </c>
      <c r="BQ1498">
        <f t="shared" si="122"/>
        <v>1172</v>
      </c>
    </row>
    <row r="1499" spans="26:69" hidden="1" x14ac:dyDescent="0.25">
      <c r="Z1499" s="7" t="s">
        <v>872</v>
      </c>
      <c r="AA1499" s="1">
        <v>0.02</v>
      </c>
      <c r="AI1499" s="7" t="s">
        <v>878</v>
      </c>
      <c r="AJ1499" s="40">
        <v>1</v>
      </c>
      <c r="AL1499" s="7" t="s">
        <v>879</v>
      </c>
      <c r="AM1499" s="27">
        <v>1</v>
      </c>
      <c r="AW1499" s="7" t="s">
        <v>1025</v>
      </c>
      <c r="AX1499" s="27">
        <v>86</v>
      </c>
      <c r="BC1499" s="7" t="s">
        <v>960</v>
      </c>
      <c r="BD1499" s="27">
        <v>1600</v>
      </c>
      <c r="BJ1499" s="7" t="s">
        <v>883</v>
      </c>
      <c r="BK1499" s="40">
        <v>52</v>
      </c>
      <c r="BL1499" s="40">
        <v>10</v>
      </c>
      <c r="BN1499" t="str">
        <f t="shared" si="123"/>
        <v>Ike</v>
      </c>
      <c r="BO1499">
        <f t="shared" si="120"/>
        <v>539</v>
      </c>
      <c r="BP1499">
        <f t="shared" si="121"/>
        <v>653</v>
      </c>
      <c r="BQ1499">
        <f t="shared" si="122"/>
        <v>1192</v>
      </c>
    </row>
    <row r="1500" spans="26:69" hidden="1" x14ac:dyDescent="0.25">
      <c r="Z1500" s="7" t="s">
        <v>873</v>
      </c>
      <c r="AA1500" s="1">
        <v>0.15</v>
      </c>
      <c r="AI1500" s="7" t="s">
        <v>879</v>
      </c>
      <c r="AJ1500" s="40">
        <v>1</v>
      </c>
      <c r="AL1500" s="7" t="s">
        <v>881</v>
      </c>
      <c r="AM1500" s="27">
        <v>1</v>
      </c>
      <c r="AW1500" s="7" t="s">
        <v>1026</v>
      </c>
      <c r="AX1500" s="27">
        <v>150</v>
      </c>
      <c r="BC1500" s="7" t="s">
        <v>961</v>
      </c>
      <c r="BD1500" s="27">
        <v>229</v>
      </c>
      <c r="BJ1500" s="7" t="s">
        <v>884</v>
      </c>
      <c r="BK1500" s="40">
        <v>28</v>
      </c>
      <c r="BL1500" s="40">
        <v>500</v>
      </c>
      <c r="BN1500" t="str">
        <f t="shared" si="123"/>
        <v>Illumina</v>
      </c>
      <c r="BO1500">
        <f t="shared" si="120"/>
        <v>609</v>
      </c>
      <c r="BP1500">
        <f t="shared" si="121"/>
        <v>66</v>
      </c>
      <c r="BQ1500">
        <f t="shared" si="122"/>
        <v>675</v>
      </c>
    </row>
    <row r="1501" spans="26:69" hidden="1" x14ac:dyDescent="0.25">
      <c r="Z1501" s="7" t="s">
        <v>874</v>
      </c>
      <c r="AA1501" s="1">
        <v>0</v>
      </c>
      <c r="AI1501" s="7" t="s">
        <v>881</v>
      </c>
      <c r="AJ1501" s="40">
        <v>1</v>
      </c>
      <c r="AL1501" s="7" t="s">
        <v>882</v>
      </c>
      <c r="AM1501" s="27">
        <v>1</v>
      </c>
      <c r="AW1501" s="7" t="s">
        <v>1029</v>
      </c>
      <c r="AX1501" s="27">
        <v>130</v>
      </c>
      <c r="BC1501" s="7" t="s">
        <v>962</v>
      </c>
      <c r="BD1501" s="27">
        <v>8</v>
      </c>
      <c r="BJ1501" s="7" t="s">
        <v>885</v>
      </c>
      <c r="BK1501" s="40">
        <v>123</v>
      </c>
      <c r="BL1501" s="40">
        <v>38</v>
      </c>
      <c r="BN1501" t="str">
        <f t="shared" si="123"/>
        <v>Immersive Labs</v>
      </c>
      <c r="BO1501">
        <f t="shared" si="120"/>
        <v>406</v>
      </c>
      <c r="BP1501">
        <f t="shared" si="121"/>
        <v>485</v>
      </c>
      <c r="BQ1501">
        <f t="shared" si="122"/>
        <v>891</v>
      </c>
    </row>
    <row r="1502" spans="26:69" hidden="1" x14ac:dyDescent="0.25">
      <c r="Z1502" s="7" t="s">
        <v>875</v>
      </c>
      <c r="AA1502" s="1">
        <v>0</v>
      </c>
      <c r="AI1502" s="7" t="s">
        <v>882</v>
      </c>
      <c r="AJ1502" s="40">
        <v>1</v>
      </c>
      <c r="AL1502" s="7" t="s">
        <v>883</v>
      </c>
      <c r="AM1502" s="27">
        <v>1</v>
      </c>
      <c r="AW1502" s="7" t="s">
        <v>1030</v>
      </c>
      <c r="AX1502" s="27">
        <v>40</v>
      </c>
      <c r="BC1502" s="7" t="s">
        <v>963</v>
      </c>
      <c r="BD1502" s="27">
        <v>227</v>
      </c>
      <c r="BJ1502" s="7" t="s">
        <v>887</v>
      </c>
      <c r="BK1502" s="40">
        <v>558</v>
      </c>
      <c r="BL1502" s="40">
        <v>20</v>
      </c>
      <c r="BN1502" t="str">
        <f t="shared" si="123"/>
        <v>Immutable</v>
      </c>
      <c r="BO1502">
        <f t="shared" si="120"/>
        <v>149</v>
      </c>
      <c r="BP1502">
        <f t="shared" si="121"/>
        <v>588</v>
      </c>
      <c r="BQ1502">
        <f t="shared" si="122"/>
        <v>737</v>
      </c>
    </row>
    <row r="1503" spans="26:69" hidden="1" x14ac:dyDescent="0.25">
      <c r="Z1503" s="7" t="s">
        <v>876</v>
      </c>
      <c r="AA1503" s="1">
        <v>0.2</v>
      </c>
      <c r="AI1503" s="7" t="s">
        <v>883</v>
      </c>
      <c r="AJ1503" s="40">
        <v>1</v>
      </c>
      <c r="AL1503" s="7" t="s">
        <v>884</v>
      </c>
      <c r="AM1503" s="27">
        <v>1</v>
      </c>
      <c r="AW1503" s="7" t="s">
        <v>1031</v>
      </c>
      <c r="AX1503" s="27">
        <v>14</v>
      </c>
      <c r="BC1503" s="7" t="s">
        <v>964</v>
      </c>
      <c r="BD1503" s="27">
        <v>23</v>
      </c>
      <c r="BJ1503" s="7" t="s">
        <v>888</v>
      </c>
      <c r="BK1503" s="40">
        <v>361</v>
      </c>
      <c r="BL1503" s="40">
        <v>0</v>
      </c>
      <c r="BN1503" t="str">
        <f t="shared" si="123"/>
        <v>Impact.com</v>
      </c>
      <c r="BO1503">
        <f t="shared" si="120"/>
        <v>209</v>
      </c>
      <c r="BP1503">
        <f t="shared" si="121"/>
        <v>683</v>
      </c>
      <c r="BQ1503">
        <f t="shared" si="122"/>
        <v>892</v>
      </c>
    </row>
    <row r="1504" spans="26:69" hidden="1" x14ac:dyDescent="0.25">
      <c r="Z1504" s="7" t="s">
        <v>878</v>
      </c>
      <c r="AA1504" s="1">
        <v>0.12</v>
      </c>
      <c r="AI1504" s="7" t="s">
        <v>884</v>
      </c>
      <c r="AJ1504" s="40">
        <v>1</v>
      </c>
      <c r="AL1504" s="7" t="s">
        <v>885</v>
      </c>
      <c r="AM1504" s="27">
        <v>1</v>
      </c>
      <c r="AW1504" s="7" t="s">
        <v>1032</v>
      </c>
      <c r="AX1504" s="27">
        <v>40</v>
      </c>
      <c r="BC1504" s="7" t="s">
        <v>965</v>
      </c>
      <c r="BD1504" s="27">
        <v>138</v>
      </c>
      <c r="BJ1504" s="7" t="s">
        <v>889</v>
      </c>
      <c r="BK1504" s="40">
        <v>32</v>
      </c>
      <c r="BL1504" s="40">
        <v>30</v>
      </c>
      <c r="BN1504" t="str">
        <f t="shared" si="123"/>
        <v>Impala</v>
      </c>
      <c r="BO1504">
        <f t="shared" si="120"/>
        <v>595</v>
      </c>
      <c r="BP1504">
        <f t="shared" si="121"/>
        <v>512</v>
      </c>
      <c r="BQ1504">
        <f t="shared" si="122"/>
        <v>1107</v>
      </c>
    </row>
    <row r="1505" spans="26:69" hidden="1" x14ac:dyDescent="0.25">
      <c r="Z1505" s="7" t="s">
        <v>879</v>
      </c>
      <c r="AA1505" s="1">
        <v>0.06</v>
      </c>
      <c r="AI1505" s="7" t="s">
        <v>885</v>
      </c>
      <c r="AJ1505" s="40">
        <v>1</v>
      </c>
      <c r="AL1505" s="7" t="s">
        <v>887</v>
      </c>
      <c r="AM1505" s="27">
        <v>2</v>
      </c>
      <c r="AW1505" s="7" t="s">
        <v>1033</v>
      </c>
      <c r="AX1505" s="27">
        <v>80</v>
      </c>
      <c r="BC1505" s="7" t="s">
        <v>966</v>
      </c>
      <c r="BD1505" s="27">
        <v>240</v>
      </c>
      <c r="BJ1505" s="7" t="s">
        <v>890</v>
      </c>
      <c r="BK1505" s="40">
        <v>229</v>
      </c>
      <c r="BL1505" s="40">
        <v>50</v>
      </c>
      <c r="BN1505" t="str">
        <f t="shared" si="123"/>
        <v>Imperfect Foods</v>
      </c>
      <c r="BO1505">
        <f t="shared" si="120"/>
        <v>296</v>
      </c>
      <c r="BP1505">
        <f t="shared" si="121"/>
        <v>410</v>
      </c>
      <c r="BQ1505">
        <f t="shared" si="122"/>
        <v>706</v>
      </c>
    </row>
    <row r="1506" spans="26:69" hidden="1" x14ac:dyDescent="0.25">
      <c r="Z1506" s="7" t="s">
        <v>881</v>
      </c>
      <c r="AA1506" s="1">
        <v>0.5</v>
      </c>
      <c r="AI1506" s="7" t="s">
        <v>887</v>
      </c>
      <c r="AJ1506" s="40">
        <v>2</v>
      </c>
      <c r="AL1506" s="7" t="s">
        <v>888</v>
      </c>
      <c r="AM1506" s="27">
        <v>1</v>
      </c>
      <c r="AW1506" s="7" t="s">
        <v>1035</v>
      </c>
      <c r="AX1506" s="27">
        <v>300</v>
      </c>
      <c r="BC1506" s="7" t="s">
        <v>967</v>
      </c>
      <c r="BD1506" s="27">
        <v>10</v>
      </c>
      <c r="BJ1506" s="7" t="s">
        <v>891</v>
      </c>
      <c r="BK1506" s="40">
        <v>1900</v>
      </c>
      <c r="BL1506" s="40">
        <v>50</v>
      </c>
      <c r="BN1506" t="str">
        <f t="shared" si="123"/>
        <v>Impossible Foods</v>
      </c>
      <c r="BO1506">
        <f t="shared" si="120"/>
        <v>43</v>
      </c>
      <c r="BP1506">
        <f t="shared" si="121"/>
        <v>410</v>
      </c>
      <c r="BQ1506">
        <f t="shared" si="122"/>
        <v>453</v>
      </c>
    </row>
    <row r="1507" spans="26:69" hidden="1" x14ac:dyDescent="0.25">
      <c r="Z1507" s="7" t="s">
        <v>882</v>
      </c>
      <c r="AA1507" s="1">
        <v>0.1</v>
      </c>
      <c r="AI1507" s="7" t="s">
        <v>888</v>
      </c>
      <c r="AJ1507" s="40">
        <v>1</v>
      </c>
      <c r="AL1507" s="7" t="s">
        <v>889</v>
      </c>
      <c r="AM1507" s="27">
        <v>1</v>
      </c>
      <c r="AW1507" s="7" t="s">
        <v>1036</v>
      </c>
      <c r="AX1507" s="27">
        <v>80</v>
      </c>
      <c r="BC1507" s="7" t="s">
        <v>968</v>
      </c>
      <c r="BD1507" s="27">
        <v>10</v>
      </c>
      <c r="BJ1507" s="7" t="s">
        <v>892</v>
      </c>
      <c r="BK1507" s="40">
        <v>1900</v>
      </c>
      <c r="BL1507" s="40">
        <v>140</v>
      </c>
      <c r="BN1507" t="str">
        <f t="shared" si="123"/>
        <v>Impossible Foods copy</v>
      </c>
      <c r="BO1507">
        <f t="shared" si="120"/>
        <v>43</v>
      </c>
      <c r="BP1507">
        <f t="shared" si="121"/>
        <v>212</v>
      </c>
      <c r="BQ1507">
        <f t="shared" si="122"/>
        <v>255</v>
      </c>
    </row>
    <row r="1508" spans="26:69" hidden="1" x14ac:dyDescent="0.25">
      <c r="Z1508" s="7" t="s">
        <v>883</v>
      </c>
      <c r="AA1508" s="1">
        <v>0.14000000000000001</v>
      </c>
      <c r="AI1508" s="7" t="s">
        <v>889</v>
      </c>
      <c r="AJ1508" s="40">
        <v>1</v>
      </c>
      <c r="AL1508" s="7" t="s">
        <v>890</v>
      </c>
      <c r="AM1508" s="27">
        <v>1</v>
      </c>
      <c r="AW1508" s="7" t="s">
        <v>1038</v>
      </c>
      <c r="AX1508" s="27">
        <v>13</v>
      </c>
      <c r="BC1508" s="7" t="s">
        <v>969</v>
      </c>
      <c r="BD1508" s="27">
        <v>21</v>
      </c>
      <c r="BJ1508" s="7" t="s">
        <v>893</v>
      </c>
      <c r="BK1508" s="40">
        <v>704</v>
      </c>
      <c r="BL1508" s="40">
        <v>0</v>
      </c>
      <c r="BN1508" t="str">
        <f t="shared" si="123"/>
        <v>Improbable</v>
      </c>
      <c r="BO1508">
        <f t="shared" si="120"/>
        <v>127</v>
      </c>
      <c r="BP1508">
        <f t="shared" si="121"/>
        <v>683</v>
      </c>
      <c r="BQ1508">
        <f t="shared" si="122"/>
        <v>810</v>
      </c>
    </row>
    <row r="1509" spans="26:69" hidden="1" x14ac:dyDescent="0.25">
      <c r="Z1509" s="7" t="s">
        <v>884</v>
      </c>
      <c r="AA1509" s="1">
        <v>0.05</v>
      </c>
      <c r="AI1509" s="7" t="s">
        <v>890</v>
      </c>
      <c r="AJ1509" s="40">
        <v>1</v>
      </c>
      <c r="AL1509" s="7" t="s">
        <v>891</v>
      </c>
      <c r="AM1509" s="27">
        <v>1</v>
      </c>
      <c r="AW1509" s="7" t="s">
        <v>1039</v>
      </c>
      <c r="AX1509" s="27">
        <v>960</v>
      </c>
      <c r="BC1509" s="7" t="s">
        <v>970</v>
      </c>
      <c r="BD1509" s="27">
        <v>893</v>
      </c>
      <c r="BJ1509" s="7" t="s">
        <v>12</v>
      </c>
      <c r="BK1509" s="40">
        <v>272</v>
      </c>
      <c r="BL1509" s="40">
        <v>0</v>
      </c>
      <c r="BN1509" t="str">
        <f t="shared" si="123"/>
        <v>Included Health</v>
      </c>
      <c r="BO1509">
        <f t="shared" si="120"/>
        <v>264</v>
      </c>
      <c r="BP1509">
        <f t="shared" si="121"/>
        <v>683</v>
      </c>
      <c r="BQ1509">
        <f t="shared" si="122"/>
        <v>947</v>
      </c>
    </row>
    <row r="1510" spans="26:69" hidden="1" x14ac:dyDescent="0.25">
      <c r="Z1510" s="7" t="s">
        <v>885</v>
      </c>
      <c r="AA1510" s="1">
        <v>0.1</v>
      </c>
      <c r="AI1510" s="7" t="s">
        <v>891</v>
      </c>
      <c r="AJ1510" s="40">
        <v>1</v>
      </c>
      <c r="AL1510" s="7" t="s">
        <v>892</v>
      </c>
      <c r="AM1510" s="27">
        <v>1</v>
      </c>
      <c r="AW1510" s="7" t="s">
        <v>1040</v>
      </c>
      <c r="AX1510" s="27">
        <v>35</v>
      </c>
      <c r="BC1510" s="7" t="s">
        <v>971</v>
      </c>
      <c r="BD1510" s="27">
        <v>2</v>
      </c>
      <c r="BJ1510" s="7" t="s">
        <v>894</v>
      </c>
      <c r="BK1510" s="40">
        <v>15</v>
      </c>
      <c r="BL1510" s="40">
        <v>9</v>
      </c>
      <c r="BN1510" t="str">
        <f t="shared" si="123"/>
        <v>Incredible Health</v>
      </c>
      <c r="BO1510">
        <f t="shared" si="120"/>
        <v>667</v>
      </c>
      <c r="BP1510">
        <f t="shared" si="121"/>
        <v>662</v>
      </c>
      <c r="BQ1510">
        <f t="shared" si="122"/>
        <v>1329</v>
      </c>
    </row>
    <row r="1511" spans="26:69" hidden="1" x14ac:dyDescent="0.25">
      <c r="Z1511" s="7" t="s">
        <v>887</v>
      </c>
      <c r="AA1511" s="1">
        <v>0.11</v>
      </c>
      <c r="AI1511" s="7" t="s">
        <v>892</v>
      </c>
      <c r="AJ1511" s="40">
        <v>1</v>
      </c>
      <c r="AL1511" s="7" t="s">
        <v>893</v>
      </c>
      <c r="AM1511" s="27">
        <v>1</v>
      </c>
      <c r="AW1511" s="7" t="s">
        <v>1041</v>
      </c>
      <c r="AX1511" s="27">
        <v>50</v>
      </c>
      <c r="BC1511" s="7" t="s">
        <v>972</v>
      </c>
      <c r="BD1511" s="27">
        <v>11</v>
      </c>
      <c r="BJ1511" s="7" t="s">
        <v>895</v>
      </c>
      <c r="BK1511" s="40">
        <v>41</v>
      </c>
      <c r="BL1511" s="40">
        <v>40</v>
      </c>
      <c r="BN1511" t="str">
        <f t="shared" si="123"/>
        <v>InDebted</v>
      </c>
      <c r="BO1511">
        <f t="shared" si="120"/>
        <v>568</v>
      </c>
      <c r="BP1511">
        <f t="shared" si="121"/>
        <v>454</v>
      </c>
      <c r="BQ1511">
        <f t="shared" si="122"/>
        <v>1022</v>
      </c>
    </row>
    <row r="1512" spans="26:69" hidden="1" x14ac:dyDescent="0.25">
      <c r="Z1512" s="7" t="s">
        <v>888</v>
      </c>
      <c r="AA1512" s="1">
        <v>0.1</v>
      </c>
      <c r="AI1512" s="7" t="s">
        <v>893</v>
      </c>
      <c r="AJ1512" s="40">
        <v>1</v>
      </c>
      <c r="AL1512" s="7" t="s">
        <v>12</v>
      </c>
      <c r="AM1512" s="27">
        <v>1</v>
      </c>
      <c r="AW1512" s="7" t="s">
        <v>1042</v>
      </c>
      <c r="AX1512" s="27">
        <v>27</v>
      </c>
      <c r="BC1512" s="7" t="s">
        <v>973</v>
      </c>
      <c r="BD1512" s="27">
        <v>7400</v>
      </c>
      <c r="BJ1512" s="7" t="s">
        <v>896</v>
      </c>
      <c r="BK1512" s="40">
        <v>1200</v>
      </c>
      <c r="BL1512" s="40">
        <v>80</v>
      </c>
      <c r="BN1512" t="str">
        <f t="shared" si="123"/>
        <v>Indigo</v>
      </c>
      <c r="BO1512">
        <f t="shared" si="120"/>
        <v>72</v>
      </c>
      <c r="BP1512">
        <f t="shared" si="121"/>
        <v>322</v>
      </c>
      <c r="BQ1512">
        <f t="shared" si="122"/>
        <v>394</v>
      </c>
    </row>
    <row r="1513" spans="26:69" hidden="1" x14ac:dyDescent="0.25">
      <c r="Z1513" s="7" t="s">
        <v>889</v>
      </c>
      <c r="AA1513" s="1">
        <v>0.35</v>
      </c>
      <c r="AI1513" s="7" t="s">
        <v>12</v>
      </c>
      <c r="AJ1513" s="40">
        <v>1</v>
      </c>
      <c r="AL1513" s="7" t="s">
        <v>894</v>
      </c>
      <c r="AM1513" s="27">
        <v>1</v>
      </c>
      <c r="AW1513" s="7" t="s">
        <v>1043</v>
      </c>
      <c r="AX1513" s="27">
        <v>100</v>
      </c>
      <c r="BC1513" s="7" t="s">
        <v>974</v>
      </c>
      <c r="BD1513" s="27">
        <v>521</v>
      </c>
      <c r="BJ1513" s="7" t="s">
        <v>897</v>
      </c>
      <c r="BK1513" s="40">
        <v>222</v>
      </c>
      <c r="BL1513" s="40">
        <v>90</v>
      </c>
      <c r="BN1513" t="str">
        <f t="shared" si="123"/>
        <v>Industrious</v>
      </c>
      <c r="BO1513">
        <f t="shared" si="120"/>
        <v>304</v>
      </c>
      <c r="BP1513">
        <f t="shared" si="121"/>
        <v>298</v>
      </c>
      <c r="BQ1513">
        <f t="shared" si="122"/>
        <v>602</v>
      </c>
    </row>
    <row r="1514" spans="26:69" hidden="1" x14ac:dyDescent="0.25">
      <c r="Z1514" s="7" t="s">
        <v>890</v>
      </c>
      <c r="AA1514" s="1">
        <v>0</v>
      </c>
      <c r="AI1514" s="7" t="s">
        <v>894</v>
      </c>
      <c r="AJ1514" s="40">
        <v>1</v>
      </c>
      <c r="AL1514" s="7" t="s">
        <v>895</v>
      </c>
      <c r="AM1514" s="27">
        <v>1</v>
      </c>
      <c r="AW1514" s="7" t="s">
        <v>1044</v>
      </c>
      <c r="AX1514" s="27">
        <v>223</v>
      </c>
      <c r="BC1514" s="7" t="s">
        <v>975</v>
      </c>
      <c r="BD1514" s="27">
        <v>654</v>
      </c>
      <c r="BJ1514" s="7" t="s">
        <v>898</v>
      </c>
      <c r="BK1514" s="40">
        <v>1208</v>
      </c>
      <c r="BL1514" s="40">
        <v>550</v>
      </c>
      <c r="BN1514" t="str">
        <f t="shared" si="123"/>
        <v>Infarm</v>
      </c>
      <c r="BO1514">
        <f t="shared" si="120"/>
        <v>71</v>
      </c>
      <c r="BP1514">
        <f t="shared" si="121"/>
        <v>61</v>
      </c>
      <c r="BQ1514">
        <f t="shared" si="122"/>
        <v>132</v>
      </c>
    </row>
    <row r="1515" spans="26:69" hidden="1" x14ac:dyDescent="0.25">
      <c r="Z1515" s="7" t="s">
        <v>891</v>
      </c>
      <c r="AA1515" s="1">
        <v>0.06</v>
      </c>
      <c r="AI1515" s="7" t="s">
        <v>895</v>
      </c>
      <c r="AJ1515" s="40">
        <v>1</v>
      </c>
      <c r="AL1515" s="7" t="s">
        <v>896</v>
      </c>
      <c r="AM1515" s="27">
        <v>1</v>
      </c>
      <c r="AW1515" s="7" t="s">
        <v>1046</v>
      </c>
      <c r="AX1515" s="27">
        <v>50</v>
      </c>
      <c r="BC1515" s="7" t="s">
        <v>976</v>
      </c>
      <c r="BD1515" s="27">
        <v>1120</v>
      </c>
      <c r="BJ1515" s="7" t="s">
        <v>899</v>
      </c>
      <c r="BK1515" s="40">
        <v>119</v>
      </c>
      <c r="BL1515" s="40">
        <v>65</v>
      </c>
      <c r="BN1515" t="str">
        <f t="shared" si="123"/>
        <v>InfluxData</v>
      </c>
      <c r="BO1515">
        <f t="shared" si="120"/>
        <v>411</v>
      </c>
      <c r="BP1515">
        <f t="shared" si="121"/>
        <v>366</v>
      </c>
      <c r="BQ1515">
        <f t="shared" si="122"/>
        <v>777</v>
      </c>
    </row>
    <row r="1516" spans="26:69" hidden="1" x14ac:dyDescent="0.25">
      <c r="Z1516" s="7" t="s">
        <v>892</v>
      </c>
      <c r="AA1516" s="1">
        <v>0.2</v>
      </c>
      <c r="AI1516" s="7" t="s">
        <v>896</v>
      </c>
      <c r="AJ1516" s="40">
        <v>1</v>
      </c>
      <c r="AL1516" s="7" t="s">
        <v>897</v>
      </c>
      <c r="AM1516" s="27">
        <v>1</v>
      </c>
      <c r="AW1516" s="7" t="s">
        <v>1048</v>
      </c>
      <c r="AX1516" s="27">
        <v>450</v>
      </c>
      <c r="BC1516" s="7" t="s">
        <v>977</v>
      </c>
      <c r="BD1516" s="27">
        <v>40</v>
      </c>
      <c r="BJ1516" s="7" t="s">
        <v>900</v>
      </c>
      <c r="BK1516" s="40">
        <v>0</v>
      </c>
      <c r="BL1516" s="40">
        <v>450</v>
      </c>
      <c r="BN1516" t="str">
        <f t="shared" si="123"/>
        <v>Informatica</v>
      </c>
      <c r="BO1516">
        <f t="shared" si="120"/>
        <v>742</v>
      </c>
      <c r="BP1516">
        <f t="shared" si="121"/>
        <v>78</v>
      </c>
      <c r="BQ1516">
        <f t="shared" si="122"/>
        <v>820</v>
      </c>
    </row>
    <row r="1517" spans="26:69" hidden="1" x14ac:dyDescent="0.25">
      <c r="Z1517" s="7" t="s">
        <v>893</v>
      </c>
      <c r="AA1517" s="1">
        <v>0.1</v>
      </c>
      <c r="AI1517" s="7" t="s">
        <v>897</v>
      </c>
      <c r="AJ1517" s="40">
        <v>1</v>
      </c>
      <c r="AL1517" s="7" t="s">
        <v>898</v>
      </c>
      <c r="AM1517" s="27">
        <v>2</v>
      </c>
      <c r="AW1517" s="7" t="s">
        <v>1050</v>
      </c>
      <c r="AX1517" s="27">
        <v>1289</v>
      </c>
      <c r="BC1517" s="7" t="s">
        <v>978</v>
      </c>
      <c r="BD1517" s="27">
        <v>556</v>
      </c>
      <c r="BJ1517" s="7" t="s">
        <v>901</v>
      </c>
      <c r="BK1517" s="40">
        <v>88</v>
      </c>
      <c r="BL1517" s="40">
        <v>20</v>
      </c>
      <c r="BN1517" t="str">
        <f t="shared" si="123"/>
        <v>InfoSum</v>
      </c>
      <c r="BO1517">
        <f t="shared" si="120"/>
        <v>461</v>
      </c>
      <c r="BP1517">
        <f t="shared" si="121"/>
        <v>588</v>
      </c>
      <c r="BQ1517">
        <f t="shared" si="122"/>
        <v>1049</v>
      </c>
    </row>
    <row r="1518" spans="26:69" hidden="1" x14ac:dyDescent="0.25">
      <c r="Z1518" s="7" t="s">
        <v>12</v>
      </c>
      <c r="AA1518" s="1">
        <v>0.06</v>
      </c>
      <c r="AI1518" s="7" t="s">
        <v>898</v>
      </c>
      <c r="AJ1518" s="40">
        <v>2</v>
      </c>
      <c r="AL1518" s="7" t="s">
        <v>899</v>
      </c>
      <c r="AM1518" s="27">
        <v>1</v>
      </c>
      <c r="AW1518" s="7" t="s">
        <v>1051</v>
      </c>
      <c r="AX1518" s="27">
        <v>32</v>
      </c>
      <c r="BC1518" s="7" t="s">
        <v>980</v>
      </c>
      <c r="BD1518" s="27">
        <v>180</v>
      </c>
      <c r="BJ1518" s="7" t="s">
        <v>902</v>
      </c>
      <c r="BK1518" s="40">
        <v>320</v>
      </c>
      <c r="BL1518" s="40">
        <v>50</v>
      </c>
      <c r="BN1518" t="str">
        <f t="shared" si="123"/>
        <v>Inmobi</v>
      </c>
      <c r="BO1518">
        <f t="shared" si="120"/>
        <v>234</v>
      </c>
      <c r="BP1518">
        <f t="shared" si="121"/>
        <v>410</v>
      </c>
      <c r="BQ1518">
        <f t="shared" si="122"/>
        <v>644</v>
      </c>
    </row>
    <row r="1519" spans="26:69" hidden="1" x14ac:dyDescent="0.25">
      <c r="Z1519" s="7" t="s">
        <v>894</v>
      </c>
      <c r="AA1519" s="1">
        <v>0.4</v>
      </c>
      <c r="AI1519" s="7" t="s">
        <v>899</v>
      </c>
      <c r="AJ1519" s="40">
        <v>1</v>
      </c>
      <c r="AL1519" s="7" t="s">
        <v>900</v>
      </c>
      <c r="AM1519" s="27">
        <v>1</v>
      </c>
      <c r="AW1519" s="7" t="s">
        <v>1052</v>
      </c>
      <c r="AX1519" s="27">
        <v>25</v>
      </c>
      <c r="BC1519" s="7" t="s">
        <v>981</v>
      </c>
      <c r="BD1519" s="27">
        <v>564</v>
      </c>
      <c r="BJ1519" s="7" t="s">
        <v>903</v>
      </c>
      <c r="BK1519" s="40">
        <v>758</v>
      </c>
      <c r="BL1519" s="40">
        <v>335</v>
      </c>
      <c r="BN1519" t="str">
        <f t="shared" si="123"/>
        <v>Innovaccer</v>
      </c>
      <c r="BO1519">
        <f t="shared" si="120"/>
        <v>113</v>
      </c>
      <c r="BP1519">
        <f t="shared" si="121"/>
        <v>97</v>
      </c>
      <c r="BQ1519">
        <f t="shared" si="122"/>
        <v>210</v>
      </c>
    </row>
    <row r="1520" spans="26:69" hidden="1" x14ac:dyDescent="0.25">
      <c r="Z1520" s="7" t="s">
        <v>895</v>
      </c>
      <c r="AA1520" s="1">
        <v>0.17</v>
      </c>
      <c r="AI1520" s="7" t="s">
        <v>900</v>
      </c>
      <c r="AJ1520" s="40">
        <v>1</v>
      </c>
      <c r="AL1520" s="7" t="s">
        <v>901</v>
      </c>
      <c r="AM1520" s="27">
        <v>1</v>
      </c>
      <c r="AW1520" s="7" t="s">
        <v>1053</v>
      </c>
      <c r="AX1520" s="27">
        <v>800</v>
      </c>
      <c r="BC1520" s="7" t="s">
        <v>982</v>
      </c>
      <c r="BD1520" s="27">
        <v>706</v>
      </c>
      <c r="BJ1520" s="7" t="s">
        <v>904</v>
      </c>
      <c r="BK1520" s="40">
        <v>295</v>
      </c>
      <c r="BL1520" s="40">
        <v>40</v>
      </c>
      <c r="BN1520" t="str">
        <f t="shared" si="123"/>
        <v>Innovid</v>
      </c>
      <c r="BO1520">
        <f t="shared" si="120"/>
        <v>248</v>
      </c>
      <c r="BP1520">
        <f t="shared" si="121"/>
        <v>454</v>
      </c>
      <c r="BQ1520">
        <f t="shared" si="122"/>
        <v>702</v>
      </c>
    </row>
    <row r="1521" spans="26:69" hidden="1" x14ac:dyDescent="0.25">
      <c r="Z1521" s="7" t="s">
        <v>896</v>
      </c>
      <c r="AA1521" s="1">
        <v>0</v>
      </c>
      <c r="AI1521" s="7" t="s">
        <v>901</v>
      </c>
      <c r="AJ1521" s="40">
        <v>1</v>
      </c>
      <c r="AL1521" s="7" t="s">
        <v>902</v>
      </c>
      <c r="AM1521" s="27">
        <v>1</v>
      </c>
      <c r="AW1521" s="7" t="s">
        <v>1054</v>
      </c>
      <c r="AX1521" s="27">
        <v>25</v>
      </c>
      <c r="BC1521" s="7" t="s">
        <v>983</v>
      </c>
      <c r="BD1521" s="27">
        <v>19</v>
      </c>
      <c r="BJ1521" s="7" t="s">
        <v>905</v>
      </c>
      <c r="BK1521" s="40">
        <v>459</v>
      </c>
      <c r="BL1521" s="40">
        <v>43</v>
      </c>
      <c r="BN1521" t="str">
        <f t="shared" si="123"/>
        <v>Inscripta</v>
      </c>
      <c r="BO1521">
        <f t="shared" si="120"/>
        <v>180</v>
      </c>
      <c r="BP1521">
        <f t="shared" si="121"/>
        <v>448</v>
      </c>
      <c r="BQ1521">
        <f t="shared" si="122"/>
        <v>628</v>
      </c>
    </row>
    <row r="1522" spans="26:69" hidden="1" x14ac:dyDescent="0.25">
      <c r="Z1522" s="7" t="s">
        <v>897</v>
      </c>
      <c r="AA1522" s="1">
        <v>0.2</v>
      </c>
      <c r="AI1522" s="7" t="s">
        <v>902</v>
      </c>
      <c r="AJ1522" s="40">
        <v>1</v>
      </c>
      <c r="AL1522" s="7" t="s">
        <v>903</v>
      </c>
      <c r="AM1522" s="27">
        <v>2</v>
      </c>
      <c r="AW1522" s="7" t="s">
        <v>1055</v>
      </c>
      <c r="AX1522" s="27">
        <v>76</v>
      </c>
      <c r="BC1522" s="7" t="s">
        <v>984</v>
      </c>
      <c r="BD1522" s="27">
        <v>53</v>
      </c>
      <c r="BJ1522" s="7" t="s">
        <v>906</v>
      </c>
      <c r="BK1522" s="40">
        <v>258</v>
      </c>
      <c r="BL1522" s="40">
        <v>239</v>
      </c>
      <c r="BN1522" t="str">
        <f t="shared" si="123"/>
        <v>Inspirato</v>
      </c>
      <c r="BO1522">
        <f t="shared" si="120"/>
        <v>271</v>
      </c>
      <c r="BP1522">
        <f t="shared" si="121"/>
        <v>130</v>
      </c>
      <c r="BQ1522">
        <f t="shared" si="122"/>
        <v>401</v>
      </c>
    </row>
    <row r="1523" spans="26:69" hidden="1" x14ac:dyDescent="0.25">
      <c r="Z1523" s="7" t="s">
        <v>898</v>
      </c>
      <c r="AA1523" s="1">
        <v>0.5</v>
      </c>
      <c r="AI1523" s="7" t="s">
        <v>903</v>
      </c>
      <c r="AJ1523" s="40">
        <v>2</v>
      </c>
      <c r="AL1523" s="7" t="s">
        <v>904</v>
      </c>
      <c r="AM1523" s="27">
        <v>1</v>
      </c>
      <c r="AW1523" s="7" t="s">
        <v>1056</v>
      </c>
      <c r="AX1523" s="27">
        <v>34</v>
      </c>
      <c r="BC1523" s="7" t="s">
        <v>985</v>
      </c>
      <c r="BD1523" s="27">
        <v>44</v>
      </c>
      <c r="BJ1523" s="7" t="s">
        <v>907</v>
      </c>
      <c r="BK1523" s="40">
        <v>2400</v>
      </c>
      <c r="BL1523" s="40">
        <v>1877</v>
      </c>
      <c r="BN1523" t="str">
        <f t="shared" si="123"/>
        <v>Instacart</v>
      </c>
      <c r="BO1523">
        <f t="shared" si="120"/>
        <v>30</v>
      </c>
      <c r="BP1523">
        <f t="shared" si="121"/>
        <v>18</v>
      </c>
      <c r="BQ1523">
        <f t="shared" si="122"/>
        <v>48</v>
      </c>
    </row>
    <row r="1524" spans="26:69" hidden="1" x14ac:dyDescent="0.25">
      <c r="Z1524" s="7" t="s">
        <v>899</v>
      </c>
      <c r="AA1524" s="1">
        <v>0.27</v>
      </c>
      <c r="AI1524" s="7" t="s">
        <v>904</v>
      </c>
      <c r="AJ1524" s="40">
        <v>1</v>
      </c>
      <c r="AL1524" s="7" t="s">
        <v>905</v>
      </c>
      <c r="AM1524" s="27">
        <v>1</v>
      </c>
      <c r="AW1524" s="7" t="s">
        <v>1057</v>
      </c>
      <c r="AX1524" s="27">
        <v>23</v>
      </c>
      <c r="BC1524" s="7" t="s">
        <v>986</v>
      </c>
      <c r="BD1524" s="27">
        <v>134</v>
      </c>
      <c r="BJ1524" s="7" t="s">
        <v>908</v>
      </c>
      <c r="BK1524" s="40">
        <v>8</v>
      </c>
      <c r="BL1524" s="40">
        <v>6</v>
      </c>
      <c r="BN1524" t="str">
        <f t="shared" si="123"/>
        <v>Instamojo</v>
      </c>
      <c r="BO1524">
        <f t="shared" si="120"/>
        <v>697</v>
      </c>
      <c r="BP1524">
        <f t="shared" si="121"/>
        <v>672</v>
      </c>
      <c r="BQ1524">
        <f t="shared" si="122"/>
        <v>1369</v>
      </c>
    </row>
    <row r="1525" spans="26:69" hidden="1" x14ac:dyDescent="0.25">
      <c r="Z1525" s="7" t="s">
        <v>900</v>
      </c>
      <c r="AA1525" s="1">
        <v>7.0000000000000007E-2</v>
      </c>
      <c r="AI1525" s="7" t="s">
        <v>905</v>
      </c>
      <c r="AJ1525" s="40">
        <v>1</v>
      </c>
      <c r="AL1525" s="7" t="s">
        <v>906</v>
      </c>
      <c r="AM1525" s="27">
        <v>2</v>
      </c>
      <c r="BC1525" s="7" t="s">
        <v>987</v>
      </c>
      <c r="BD1525" s="27">
        <v>1136</v>
      </c>
      <c r="BJ1525" s="7" t="s">
        <v>909</v>
      </c>
      <c r="BK1525" s="40">
        <v>89</v>
      </c>
      <c r="BL1525" s="40">
        <v>150</v>
      </c>
      <c r="BN1525" t="str">
        <f t="shared" si="123"/>
        <v>Instructure</v>
      </c>
      <c r="BO1525">
        <f t="shared" si="120"/>
        <v>458</v>
      </c>
      <c r="BP1525">
        <f t="shared" si="121"/>
        <v>193</v>
      </c>
      <c r="BQ1525">
        <f t="shared" si="122"/>
        <v>651</v>
      </c>
    </row>
    <row r="1526" spans="26:69" hidden="1" x14ac:dyDescent="0.25">
      <c r="Z1526" s="7" t="s">
        <v>901</v>
      </c>
      <c r="AA1526" s="1">
        <v>0.12</v>
      </c>
      <c r="AI1526" s="7" t="s">
        <v>906</v>
      </c>
      <c r="AJ1526" s="40">
        <v>2</v>
      </c>
      <c r="AL1526" s="7" t="s">
        <v>907</v>
      </c>
      <c r="AM1526" s="27">
        <v>1</v>
      </c>
      <c r="BC1526" s="7" t="s">
        <v>988</v>
      </c>
      <c r="BD1526" s="27">
        <v>91</v>
      </c>
      <c r="BJ1526" s="7" t="s">
        <v>910</v>
      </c>
      <c r="BK1526" s="40">
        <v>0</v>
      </c>
      <c r="BL1526" s="40">
        <v>45</v>
      </c>
      <c r="BN1526" t="str">
        <f t="shared" si="123"/>
        <v>Intapp</v>
      </c>
      <c r="BO1526">
        <f t="shared" si="120"/>
        <v>742</v>
      </c>
      <c r="BP1526">
        <f t="shared" si="121"/>
        <v>441</v>
      </c>
      <c r="BQ1526">
        <f t="shared" si="122"/>
        <v>1183</v>
      </c>
    </row>
    <row r="1527" spans="26:69" hidden="1" x14ac:dyDescent="0.25">
      <c r="Z1527" s="7" t="s">
        <v>902</v>
      </c>
      <c r="AA1527" s="1">
        <v>0</v>
      </c>
      <c r="AI1527" s="7" t="s">
        <v>907</v>
      </c>
      <c r="AJ1527" s="40">
        <v>1</v>
      </c>
      <c r="AL1527" s="7" t="s">
        <v>908</v>
      </c>
      <c r="AM1527" s="27">
        <v>1</v>
      </c>
      <c r="BC1527" s="7" t="s">
        <v>989</v>
      </c>
      <c r="BD1527" s="27">
        <v>38</v>
      </c>
      <c r="BJ1527" s="7" t="s">
        <v>911</v>
      </c>
      <c r="BK1527" s="40">
        <v>232</v>
      </c>
      <c r="BL1527" s="40">
        <v>190</v>
      </c>
      <c r="BN1527" t="str">
        <f t="shared" si="123"/>
        <v>Integral Ad Science</v>
      </c>
      <c r="BO1527">
        <f t="shared" si="120"/>
        <v>294</v>
      </c>
      <c r="BP1527">
        <f t="shared" si="121"/>
        <v>165</v>
      </c>
      <c r="BQ1527">
        <f t="shared" si="122"/>
        <v>459</v>
      </c>
    </row>
    <row r="1528" spans="26:69" hidden="1" x14ac:dyDescent="0.25">
      <c r="Z1528" s="7" t="s">
        <v>903</v>
      </c>
      <c r="AA1528" s="1">
        <v>0.15</v>
      </c>
      <c r="AI1528" s="7" t="s">
        <v>908</v>
      </c>
      <c r="AJ1528" s="40">
        <v>1</v>
      </c>
      <c r="AL1528" s="7" t="s">
        <v>909</v>
      </c>
      <c r="AM1528" s="27">
        <v>1</v>
      </c>
      <c r="BC1528" s="7" t="s">
        <v>991</v>
      </c>
      <c r="BD1528" s="27">
        <v>1</v>
      </c>
      <c r="BJ1528" s="7" t="s">
        <v>912</v>
      </c>
      <c r="BK1528" s="40">
        <v>40</v>
      </c>
      <c r="BL1528" s="40">
        <v>26</v>
      </c>
      <c r="BN1528" t="str">
        <f t="shared" si="123"/>
        <v>Integrate.ai</v>
      </c>
      <c r="BO1528">
        <f t="shared" si="120"/>
        <v>575</v>
      </c>
      <c r="BP1528">
        <f t="shared" si="121"/>
        <v>549</v>
      </c>
      <c r="BQ1528">
        <f t="shared" si="122"/>
        <v>1124</v>
      </c>
    </row>
    <row r="1529" spans="26:69" hidden="1" x14ac:dyDescent="0.25">
      <c r="Z1529" s="7" t="s">
        <v>904</v>
      </c>
      <c r="AA1529" s="1">
        <v>0.1</v>
      </c>
      <c r="AI1529" s="7" t="s">
        <v>909</v>
      </c>
      <c r="AJ1529" s="40">
        <v>1</v>
      </c>
      <c r="AL1529" s="7" t="s">
        <v>910</v>
      </c>
      <c r="AM1529" s="27">
        <v>1</v>
      </c>
      <c r="BC1529" s="7" t="s">
        <v>992</v>
      </c>
      <c r="BD1529" s="27">
        <v>183</v>
      </c>
      <c r="BJ1529" s="7" t="s">
        <v>913</v>
      </c>
      <c r="BK1529" s="40">
        <v>24</v>
      </c>
      <c r="BL1529" s="40">
        <v>544</v>
      </c>
      <c r="BN1529" t="str">
        <f t="shared" si="123"/>
        <v>Intel</v>
      </c>
      <c r="BO1529">
        <f t="shared" si="120"/>
        <v>621</v>
      </c>
      <c r="BP1529">
        <f t="shared" si="121"/>
        <v>62</v>
      </c>
      <c r="BQ1529">
        <f t="shared" si="122"/>
        <v>683</v>
      </c>
    </row>
    <row r="1530" spans="26:69" hidden="1" x14ac:dyDescent="0.25">
      <c r="Z1530" s="7" t="s">
        <v>905</v>
      </c>
      <c r="AA1530" s="1">
        <v>0</v>
      </c>
      <c r="AI1530" s="7" t="s">
        <v>910</v>
      </c>
      <c r="AJ1530" s="40">
        <v>1</v>
      </c>
      <c r="AL1530" s="7" t="s">
        <v>911</v>
      </c>
      <c r="AM1530" s="27">
        <v>2</v>
      </c>
      <c r="BC1530" s="7" t="s">
        <v>993</v>
      </c>
      <c r="BD1530" s="27">
        <v>188</v>
      </c>
      <c r="BJ1530" s="7" t="s">
        <v>914</v>
      </c>
      <c r="BK1530" s="40">
        <v>720</v>
      </c>
      <c r="BL1530" s="40">
        <v>212</v>
      </c>
      <c r="BN1530" t="str">
        <f t="shared" si="123"/>
        <v>Intercom</v>
      </c>
      <c r="BO1530">
        <f t="shared" si="120"/>
        <v>119</v>
      </c>
      <c r="BP1530">
        <f t="shared" si="121"/>
        <v>143</v>
      </c>
      <c r="BQ1530">
        <f t="shared" si="122"/>
        <v>262</v>
      </c>
    </row>
    <row r="1531" spans="26:69" hidden="1" x14ac:dyDescent="0.25">
      <c r="Z1531" s="7" t="s">
        <v>906</v>
      </c>
      <c r="AA1531" s="1">
        <v>0.22</v>
      </c>
      <c r="AI1531" s="7" t="s">
        <v>911</v>
      </c>
      <c r="AJ1531" s="40">
        <v>2</v>
      </c>
      <c r="AL1531" s="7" t="s">
        <v>912</v>
      </c>
      <c r="AM1531" s="27">
        <v>1</v>
      </c>
      <c r="BC1531" s="7" t="s">
        <v>994</v>
      </c>
      <c r="BD1531" s="27">
        <v>34</v>
      </c>
      <c r="BJ1531" s="7" t="s">
        <v>915</v>
      </c>
      <c r="BK1531" s="40">
        <v>0</v>
      </c>
      <c r="BL1531" s="40">
        <v>19</v>
      </c>
      <c r="BN1531" t="str">
        <f t="shared" si="123"/>
        <v>Intersect</v>
      </c>
      <c r="BO1531">
        <f t="shared" si="120"/>
        <v>742</v>
      </c>
      <c r="BP1531">
        <f t="shared" si="121"/>
        <v>603</v>
      </c>
      <c r="BQ1531">
        <f t="shared" si="122"/>
        <v>1345</v>
      </c>
    </row>
    <row r="1532" spans="26:69" hidden="1" x14ac:dyDescent="0.25">
      <c r="Z1532" s="7" t="s">
        <v>907</v>
      </c>
      <c r="AA1532" s="1">
        <v>0</v>
      </c>
      <c r="AI1532" s="7" t="s">
        <v>912</v>
      </c>
      <c r="AJ1532" s="40">
        <v>1</v>
      </c>
      <c r="AL1532" s="7" t="s">
        <v>913</v>
      </c>
      <c r="AM1532" s="27">
        <v>2</v>
      </c>
      <c r="BC1532" s="7" t="s">
        <v>995</v>
      </c>
      <c r="BD1532" s="27">
        <v>1900</v>
      </c>
      <c r="BJ1532" s="7" t="s">
        <v>916</v>
      </c>
      <c r="BK1532" s="40">
        <v>0</v>
      </c>
      <c r="BL1532" s="40">
        <v>40</v>
      </c>
      <c r="BN1532" t="str">
        <f t="shared" si="123"/>
        <v>Intrinsic</v>
      </c>
      <c r="BO1532">
        <f t="shared" si="120"/>
        <v>742</v>
      </c>
      <c r="BP1532">
        <f t="shared" si="121"/>
        <v>454</v>
      </c>
      <c r="BQ1532">
        <f t="shared" si="122"/>
        <v>1196</v>
      </c>
    </row>
    <row r="1533" spans="26:69" hidden="1" x14ac:dyDescent="0.25">
      <c r="Z1533" s="7" t="s">
        <v>908</v>
      </c>
      <c r="AA1533" s="1">
        <v>0.06</v>
      </c>
      <c r="AI1533" s="7" t="s">
        <v>913</v>
      </c>
      <c r="AJ1533" s="40">
        <v>2</v>
      </c>
      <c r="AL1533" s="7" t="s">
        <v>914</v>
      </c>
      <c r="AM1533" s="27">
        <v>3</v>
      </c>
      <c r="BC1533" s="7" t="s">
        <v>996</v>
      </c>
      <c r="BD1533" s="27">
        <v>94</v>
      </c>
      <c r="BJ1533" s="7" t="s">
        <v>917</v>
      </c>
      <c r="BK1533" s="40">
        <v>125</v>
      </c>
      <c r="BL1533" s="40">
        <v>57</v>
      </c>
      <c r="BN1533" t="str">
        <f t="shared" si="123"/>
        <v>Introhive</v>
      </c>
      <c r="BO1533">
        <f t="shared" si="120"/>
        <v>403</v>
      </c>
      <c r="BP1533">
        <f t="shared" si="121"/>
        <v>400</v>
      </c>
      <c r="BQ1533">
        <f t="shared" si="122"/>
        <v>803</v>
      </c>
    </row>
    <row r="1534" spans="26:69" hidden="1" x14ac:dyDescent="0.25">
      <c r="Z1534" s="7" t="s">
        <v>909</v>
      </c>
      <c r="AA1534" s="1">
        <v>0.12</v>
      </c>
      <c r="AI1534" s="7" t="s">
        <v>914</v>
      </c>
      <c r="AJ1534" s="40">
        <v>3</v>
      </c>
      <c r="AL1534" s="7" t="s">
        <v>915</v>
      </c>
      <c r="AM1534" s="27">
        <v>1</v>
      </c>
      <c r="BC1534" s="7" t="s">
        <v>998</v>
      </c>
      <c r="BD1534" s="27">
        <v>170</v>
      </c>
      <c r="BJ1534" s="7" t="s">
        <v>919</v>
      </c>
      <c r="BK1534" s="40">
        <v>18</v>
      </c>
      <c r="BL1534" s="40">
        <v>715</v>
      </c>
      <c r="BN1534" t="str">
        <f t="shared" si="123"/>
        <v>Intuit</v>
      </c>
      <c r="BO1534">
        <f t="shared" si="120"/>
        <v>649</v>
      </c>
      <c r="BP1534">
        <f t="shared" si="121"/>
        <v>46</v>
      </c>
      <c r="BQ1534">
        <f t="shared" si="122"/>
        <v>695</v>
      </c>
    </row>
    <row r="1535" spans="26:69" hidden="1" x14ac:dyDescent="0.25">
      <c r="Z1535" s="7" t="s">
        <v>910</v>
      </c>
      <c r="AA1535" s="1">
        <v>0.05</v>
      </c>
      <c r="AI1535" s="7" t="s">
        <v>915</v>
      </c>
      <c r="AJ1535" s="40">
        <v>1</v>
      </c>
      <c r="AL1535" s="7" t="s">
        <v>916</v>
      </c>
      <c r="AM1535" s="27">
        <v>1</v>
      </c>
      <c r="BC1535" s="7" t="s">
        <v>999</v>
      </c>
      <c r="BD1535" s="27">
        <v>347</v>
      </c>
      <c r="BJ1535" s="7" t="s">
        <v>920</v>
      </c>
      <c r="BK1535" s="40">
        <v>712</v>
      </c>
      <c r="BL1535" s="40">
        <v>22</v>
      </c>
      <c r="BN1535" t="str">
        <f t="shared" si="123"/>
        <v>InVision</v>
      </c>
      <c r="BO1535">
        <f t="shared" si="120"/>
        <v>123</v>
      </c>
      <c r="BP1535">
        <f t="shared" si="121"/>
        <v>581</v>
      </c>
      <c r="BQ1535">
        <f t="shared" si="122"/>
        <v>704</v>
      </c>
    </row>
    <row r="1536" spans="26:69" hidden="1" x14ac:dyDescent="0.25">
      <c r="Z1536" s="7" t="s">
        <v>911</v>
      </c>
      <c r="AA1536" s="1">
        <v>0.13</v>
      </c>
      <c r="AI1536" s="7" t="s">
        <v>916</v>
      </c>
      <c r="AJ1536" s="40">
        <v>1</v>
      </c>
      <c r="AL1536" s="7" t="s">
        <v>917</v>
      </c>
      <c r="AM1536" s="27">
        <v>1</v>
      </c>
      <c r="BC1536" s="7" t="s">
        <v>1001</v>
      </c>
      <c r="BD1536" s="27">
        <v>40</v>
      </c>
      <c r="BJ1536" s="7" t="s">
        <v>921</v>
      </c>
      <c r="BK1536" s="40">
        <v>2000</v>
      </c>
      <c r="BL1536" s="40">
        <v>1000</v>
      </c>
      <c r="BN1536" t="str">
        <f t="shared" si="123"/>
        <v>Invitae</v>
      </c>
      <c r="BO1536">
        <f t="shared" si="120"/>
        <v>39</v>
      </c>
      <c r="BP1536">
        <f t="shared" si="121"/>
        <v>30</v>
      </c>
      <c r="BQ1536">
        <f t="shared" si="122"/>
        <v>69</v>
      </c>
    </row>
    <row r="1537" spans="26:69" hidden="1" x14ac:dyDescent="0.25">
      <c r="Z1537" s="7" t="s">
        <v>912</v>
      </c>
      <c r="AA1537" s="1">
        <v>0</v>
      </c>
      <c r="AI1537" s="7" t="s">
        <v>917</v>
      </c>
      <c r="AJ1537" s="40">
        <v>1</v>
      </c>
      <c r="AL1537" s="7" t="s">
        <v>919</v>
      </c>
      <c r="AM1537" s="27">
        <v>1</v>
      </c>
      <c r="BC1537" s="7" t="s">
        <v>1002</v>
      </c>
      <c r="BD1537" s="27">
        <v>52</v>
      </c>
      <c r="BJ1537" s="7" t="s">
        <v>922</v>
      </c>
      <c r="BK1537" s="40">
        <v>23</v>
      </c>
      <c r="BL1537" s="40">
        <v>70</v>
      </c>
      <c r="BN1537" t="str">
        <f t="shared" si="123"/>
        <v>Involves</v>
      </c>
      <c r="BO1537">
        <f t="shared" si="120"/>
        <v>628</v>
      </c>
      <c r="BP1537">
        <f t="shared" si="121"/>
        <v>350</v>
      </c>
      <c r="BQ1537">
        <f t="shared" si="122"/>
        <v>978</v>
      </c>
    </row>
    <row r="1538" spans="26:69" hidden="1" x14ac:dyDescent="0.25">
      <c r="Z1538" s="7" t="s">
        <v>913</v>
      </c>
      <c r="AA1538" s="1">
        <v>0</v>
      </c>
      <c r="AI1538" s="7" t="s">
        <v>919</v>
      </c>
      <c r="AJ1538" s="40">
        <v>1</v>
      </c>
      <c r="AL1538" s="7" t="s">
        <v>920</v>
      </c>
      <c r="AM1538" s="27">
        <v>2</v>
      </c>
      <c r="BC1538" s="7" t="s">
        <v>1003</v>
      </c>
      <c r="BD1538" s="27">
        <v>1178</v>
      </c>
      <c r="BJ1538" s="7" t="s">
        <v>924</v>
      </c>
      <c r="BK1538" s="40">
        <v>26</v>
      </c>
      <c r="BL1538" s="40">
        <v>50</v>
      </c>
      <c r="BN1538" t="str">
        <f t="shared" si="123"/>
        <v>iPrice Group</v>
      </c>
      <c r="BO1538">
        <f t="shared" si="120"/>
        <v>612</v>
      </c>
      <c r="BP1538">
        <f t="shared" si="121"/>
        <v>410</v>
      </c>
      <c r="BQ1538">
        <f t="shared" si="122"/>
        <v>1022</v>
      </c>
    </row>
    <row r="1539" spans="26:69" hidden="1" x14ac:dyDescent="0.25">
      <c r="Z1539" s="7" t="s">
        <v>914</v>
      </c>
      <c r="AA1539" s="1">
        <v>0.13</v>
      </c>
      <c r="AI1539" s="7" t="s">
        <v>920</v>
      </c>
      <c r="AJ1539" s="40">
        <v>2</v>
      </c>
      <c r="AL1539" s="7" t="s">
        <v>921</v>
      </c>
      <c r="AM1539" s="27">
        <v>1</v>
      </c>
      <c r="BC1539" s="7" t="s">
        <v>1004</v>
      </c>
      <c r="BD1539" s="27">
        <v>705</v>
      </c>
      <c r="BJ1539" s="7" t="s">
        <v>925</v>
      </c>
      <c r="BK1539" s="40">
        <v>15</v>
      </c>
      <c r="BL1539" s="40">
        <v>9</v>
      </c>
      <c r="BN1539" t="str">
        <f t="shared" si="123"/>
        <v>Iris Nova</v>
      </c>
      <c r="BO1539">
        <f t="shared" si="120"/>
        <v>667</v>
      </c>
      <c r="BP1539">
        <f t="shared" si="121"/>
        <v>662</v>
      </c>
      <c r="BQ1539">
        <f t="shared" si="122"/>
        <v>1329</v>
      </c>
    </row>
    <row r="1540" spans="26:69" hidden="1" x14ac:dyDescent="0.25">
      <c r="Z1540" s="7" t="s">
        <v>915</v>
      </c>
      <c r="AA1540" s="1">
        <v>0.11</v>
      </c>
      <c r="AI1540" s="7" t="s">
        <v>921</v>
      </c>
      <c r="AJ1540" s="40">
        <v>1</v>
      </c>
      <c r="AL1540" s="7" t="s">
        <v>922</v>
      </c>
      <c r="AM1540" s="27">
        <v>1</v>
      </c>
      <c r="BC1540" s="7" t="s">
        <v>1005</v>
      </c>
      <c r="BD1540" s="27">
        <v>41</v>
      </c>
      <c r="BJ1540" s="7" t="s">
        <v>926</v>
      </c>
      <c r="BK1540" s="40">
        <v>197</v>
      </c>
      <c r="BL1540" s="40">
        <v>25</v>
      </c>
      <c r="BN1540" t="str">
        <f t="shared" si="123"/>
        <v>IRL</v>
      </c>
      <c r="BO1540">
        <f t="shared" si="120"/>
        <v>325</v>
      </c>
      <c r="BP1540">
        <f t="shared" si="121"/>
        <v>554</v>
      </c>
      <c r="BQ1540">
        <f t="shared" si="122"/>
        <v>879</v>
      </c>
    </row>
    <row r="1541" spans="26:69" hidden="1" x14ac:dyDescent="0.25">
      <c r="Z1541" s="7" t="s">
        <v>916</v>
      </c>
      <c r="AA1541" s="1">
        <v>0.2</v>
      </c>
      <c r="AI1541" s="7" t="s">
        <v>922</v>
      </c>
      <c r="AJ1541" s="40">
        <v>1</v>
      </c>
      <c r="AL1541" s="7" t="s">
        <v>924</v>
      </c>
      <c r="AM1541" s="27">
        <v>1</v>
      </c>
      <c r="BC1541" s="7" t="s">
        <v>1006</v>
      </c>
      <c r="BD1541" s="27">
        <v>130</v>
      </c>
      <c r="BJ1541" s="7" t="s">
        <v>927</v>
      </c>
      <c r="BK1541" s="40">
        <v>60</v>
      </c>
      <c r="BL1541" s="40">
        <v>225</v>
      </c>
      <c r="BN1541" t="str">
        <f t="shared" si="123"/>
        <v>iRobot</v>
      </c>
      <c r="BO1541">
        <f t="shared" si="120"/>
        <v>513</v>
      </c>
      <c r="BP1541">
        <f t="shared" si="121"/>
        <v>135</v>
      </c>
      <c r="BQ1541">
        <f t="shared" si="122"/>
        <v>648</v>
      </c>
    </row>
    <row r="1542" spans="26:69" hidden="1" x14ac:dyDescent="0.25">
      <c r="Z1542" s="7" t="s">
        <v>917</v>
      </c>
      <c r="AA1542" s="1">
        <v>0.16</v>
      </c>
      <c r="AI1542" s="7" t="s">
        <v>924</v>
      </c>
      <c r="AJ1542" s="40">
        <v>1</v>
      </c>
      <c r="AL1542" s="7" t="s">
        <v>925</v>
      </c>
      <c r="AM1542" s="27">
        <v>1</v>
      </c>
      <c r="BC1542" s="7" t="s">
        <v>1009</v>
      </c>
      <c r="BD1542" s="27">
        <v>62</v>
      </c>
      <c r="BJ1542" s="7" t="s">
        <v>928</v>
      </c>
      <c r="BK1542" s="40">
        <v>103</v>
      </c>
      <c r="BL1542" s="40">
        <v>50</v>
      </c>
      <c r="BN1542" t="str">
        <f t="shared" si="123"/>
        <v>Iron Ox</v>
      </c>
      <c r="BO1542">
        <f t="shared" si="120"/>
        <v>430</v>
      </c>
      <c r="BP1542">
        <f t="shared" si="121"/>
        <v>410</v>
      </c>
      <c r="BQ1542">
        <f t="shared" si="122"/>
        <v>840</v>
      </c>
    </row>
    <row r="1543" spans="26:69" hidden="1" x14ac:dyDescent="0.25">
      <c r="Z1543" s="7" t="s">
        <v>919</v>
      </c>
      <c r="AA1543" s="1">
        <v>7.0000000000000007E-2</v>
      </c>
      <c r="AI1543" s="7" t="s">
        <v>925</v>
      </c>
      <c r="AJ1543" s="40">
        <v>1</v>
      </c>
      <c r="AL1543" s="7" t="s">
        <v>926</v>
      </c>
      <c r="AM1543" s="27">
        <v>1</v>
      </c>
      <c r="BC1543" s="7" t="s">
        <v>1010</v>
      </c>
      <c r="BD1543" s="27">
        <v>356</v>
      </c>
      <c r="BJ1543" s="7" t="s">
        <v>929</v>
      </c>
      <c r="BK1543" s="40">
        <v>820</v>
      </c>
      <c r="BL1543" s="40">
        <v>145</v>
      </c>
      <c r="BN1543" t="str">
        <f t="shared" si="123"/>
        <v>IronNet</v>
      </c>
      <c r="BO1543">
        <f t="shared" si="120"/>
        <v>105</v>
      </c>
      <c r="BP1543">
        <f t="shared" si="121"/>
        <v>208</v>
      </c>
      <c r="BQ1543">
        <f t="shared" si="122"/>
        <v>313</v>
      </c>
    </row>
    <row r="1544" spans="26:69" hidden="1" x14ac:dyDescent="0.25">
      <c r="Z1544" s="7" t="s">
        <v>920</v>
      </c>
      <c r="AA1544" s="1">
        <v>0.5</v>
      </c>
      <c r="AI1544" s="7" t="s">
        <v>926</v>
      </c>
      <c r="AJ1544" s="40">
        <v>1</v>
      </c>
      <c r="AL1544" s="7" t="s">
        <v>927</v>
      </c>
      <c r="AM1544" s="27">
        <v>2</v>
      </c>
      <c r="BC1544" s="7" t="s">
        <v>1011</v>
      </c>
      <c r="BD1544" s="27">
        <v>379</v>
      </c>
      <c r="BJ1544" s="7" t="s">
        <v>930</v>
      </c>
      <c r="BK1544" s="40">
        <v>652</v>
      </c>
      <c r="BL1544" s="40">
        <v>200</v>
      </c>
      <c r="BN1544" t="str">
        <f t="shared" si="123"/>
        <v>Jam City</v>
      </c>
      <c r="BO1544">
        <f t="shared" si="120"/>
        <v>135</v>
      </c>
      <c r="BP1544">
        <f t="shared" si="121"/>
        <v>147</v>
      </c>
      <c r="BQ1544">
        <f t="shared" si="122"/>
        <v>282</v>
      </c>
    </row>
    <row r="1545" spans="26:69" hidden="1" x14ac:dyDescent="0.25">
      <c r="Z1545" s="7" t="s">
        <v>921</v>
      </c>
      <c r="AA1545" s="1">
        <v>0</v>
      </c>
      <c r="AI1545" s="7" t="s">
        <v>927</v>
      </c>
      <c r="AJ1545" s="40">
        <v>2</v>
      </c>
      <c r="AL1545" s="7" t="s">
        <v>928</v>
      </c>
      <c r="AM1545" s="27">
        <v>1</v>
      </c>
      <c r="BC1545" s="7" t="s">
        <v>1012</v>
      </c>
      <c r="BD1545" s="27">
        <v>73</v>
      </c>
      <c r="BJ1545" s="7" t="s">
        <v>931</v>
      </c>
      <c r="BK1545" s="40">
        <v>233</v>
      </c>
      <c r="BL1545" s="40">
        <v>12</v>
      </c>
      <c r="BN1545" t="str">
        <f t="shared" si="123"/>
        <v>Jama</v>
      </c>
      <c r="BO1545">
        <f t="shared" ref="BO1545:BO1608" si="124">RANK($BK$839:$BK$1662,$BK$839:$BK$1662,0)</f>
        <v>292</v>
      </c>
      <c r="BP1545">
        <f t="shared" ref="BP1545:BP1608" si="125">RANK($BL$840:$BL$1662,$BL$840:$BL$1662,0)</f>
        <v>640</v>
      </c>
      <c r="BQ1545">
        <f t="shared" ref="BQ1545:BQ1608" si="126">BO1545+BP1545</f>
        <v>932</v>
      </c>
    </row>
    <row r="1546" spans="26:69" hidden="1" x14ac:dyDescent="0.25">
      <c r="Z1546" s="7" t="s">
        <v>922</v>
      </c>
      <c r="AA1546" s="1">
        <v>0.18</v>
      </c>
      <c r="AI1546" s="7" t="s">
        <v>928</v>
      </c>
      <c r="AJ1546" s="40">
        <v>1</v>
      </c>
      <c r="AL1546" s="7" t="s">
        <v>929</v>
      </c>
      <c r="AM1546" s="27">
        <v>2</v>
      </c>
      <c r="BC1546" s="7" t="s">
        <v>1013</v>
      </c>
      <c r="BD1546" s="27">
        <v>56</v>
      </c>
      <c r="BJ1546" s="7" t="s">
        <v>932</v>
      </c>
      <c r="BK1546" s="40">
        <v>5100</v>
      </c>
      <c r="BL1546" s="40">
        <v>200</v>
      </c>
      <c r="BN1546" t="str">
        <f t="shared" si="123"/>
        <v>JD.ID</v>
      </c>
      <c r="BO1546">
        <f t="shared" si="124"/>
        <v>10</v>
      </c>
      <c r="BP1546">
        <f t="shared" si="125"/>
        <v>147</v>
      </c>
      <c r="BQ1546">
        <f t="shared" si="126"/>
        <v>157</v>
      </c>
    </row>
    <row r="1547" spans="26:69" hidden="1" x14ac:dyDescent="0.25">
      <c r="Z1547" s="7" t="s">
        <v>924</v>
      </c>
      <c r="AA1547" s="1">
        <v>0.2</v>
      </c>
      <c r="AI1547" s="7" t="s">
        <v>929</v>
      </c>
      <c r="AJ1547" s="40">
        <v>2</v>
      </c>
      <c r="AL1547" s="7" t="s">
        <v>930</v>
      </c>
      <c r="AM1547" s="27">
        <v>1</v>
      </c>
      <c r="BC1547" s="7" t="s">
        <v>1014</v>
      </c>
      <c r="BD1547" s="27">
        <v>3</v>
      </c>
      <c r="BJ1547" s="7" t="s">
        <v>933</v>
      </c>
      <c r="BK1547" s="40">
        <v>114</v>
      </c>
      <c r="BL1547" s="40">
        <v>0</v>
      </c>
      <c r="BN1547" t="str">
        <f t="shared" si="123"/>
        <v>Jellyfish</v>
      </c>
      <c r="BO1547">
        <f t="shared" si="124"/>
        <v>417</v>
      </c>
      <c r="BP1547">
        <f t="shared" si="125"/>
        <v>683</v>
      </c>
      <c r="BQ1547">
        <f t="shared" si="126"/>
        <v>1100</v>
      </c>
    </row>
    <row r="1548" spans="26:69" hidden="1" x14ac:dyDescent="0.25">
      <c r="Z1548" s="7" t="s">
        <v>925</v>
      </c>
      <c r="AA1548" s="1">
        <v>0.5</v>
      </c>
      <c r="AI1548" s="7" t="s">
        <v>930</v>
      </c>
      <c r="AJ1548" s="40">
        <v>1</v>
      </c>
      <c r="AL1548" s="7" t="s">
        <v>931</v>
      </c>
      <c r="AM1548" s="27">
        <v>1</v>
      </c>
      <c r="BC1548" s="7" t="s">
        <v>1015</v>
      </c>
      <c r="BD1548" s="27">
        <v>17</v>
      </c>
      <c r="BJ1548" s="7" t="s">
        <v>934</v>
      </c>
      <c r="BK1548" s="40">
        <v>44</v>
      </c>
      <c r="BL1548" s="40">
        <v>208</v>
      </c>
      <c r="BN1548" t="str">
        <f t="shared" si="123"/>
        <v>Jellysmack</v>
      </c>
      <c r="BO1548">
        <f t="shared" si="124"/>
        <v>562</v>
      </c>
      <c r="BP1548">
        <f t="shared" si="125"/>
        <v>145</v>
      </c>
      <c r="BQ1548">
        <f t="shared" si="126"/>
        <v>707</v>
      </c>
    </row>
    <row r="1549" spans="26:69" hidden="1" x14ac:dyDescent="0.25">
      <c r="Z1549" s="7" t="s">
        <v>926</v>
      </c>
      <c r="AA1549" s="1">
        <v>0.25</v>
      </c>
      <c r="AI1549" s="7" t="s">
        <v>931</v>
      </c>
      <c r="AJ1549" s="40">
        <v>1</v>
      </c>
      <c r="AL1549" s="7" t="s">
        <v>932</v>
      </c>
      <c r="AM1549" s="27">
        <v>1</v>
      </c>
      <c r="BC1549" s="7" t="s">
        <v>1016</v>
      </c>
      <c r="BD1549" s="27">
        <v>481</v>
      </c>
      <c r="BJ1549" s="7" t="s">
        <v>935</v>
      </c>
      <c r="BK1549" s="40">
        <v>68</v>
      </c>
      <c r="BL1549" s="40">
        <v>20</v>
      </c>
      <c r="BN1549" t="str">
        <f t="shared" si="123"/>
        <v>JetClosing</v>
      </c>
      <c r="BO1549">
        <f t="shared" si="124"/>
        <v>501</v>
      </c>
      <c r="BP1549">
        <f t="shared" si="125"/>
        <v>588</v>
      </c>
      <c r="BQ1549">
        <f t="shared" si="126"/>
        <v>1089</v>
      </c>
    </row>
    <row r="1550" spans="26:69" hidden="1" x14ac:dyDescent="0.25">
      <c r="Z1550" s="7" t="s">
        <v>927</v>
      </c>
      <c r="AA1550" s="1">
        <v>0.1</v>
      </c>
      <c r="AI1550" s="7" t="s">
        <v>932</v>
      </c>
      <c r="AJ1550" s="40">
        <v>1</v>
      </c>
      <c r="AL1550" s="7" t="s">
        <v>933</v>
      </c>
      <c r="AM1550" s="27">
        <v>1</v>
      </c>
      <c r="BC1550" s="7" t="s">
        <v>1017</v>
      </c>
      <c r="BD1550" s="27">
        <v>59</v>
      </c>
      <c r="BJ1550" s="7" t="s">
        <v>936</v>
      </c>
      <c r="BK1550" s="40">
        <v>40</v>
      </c>
      <c r="BL1550" s="40">
        <v>35</v>
      </c>
      <c r="BN1550" t="str">
        <f t="shared" si="123"/>
        <v>Jetty</v>
      </c>
      <c r="BO1550">
        <f t="shared" si="124"/>
        <v>575</v>
      </c>
      <c r="BP1550">
        <f t="shared" si="125"/>
        <v>494</v>
      </c>
      <c r="BQ1550">
        <f t="shared" si="126"/>
        <v>1069</v>
      </c>
    </row>
    <row r="1551" spans="26:69" hidden="1" x14ac:dyDescent="0.25">
      <c r="Z1551" s="7" t="s">
        <v>928</v>
      </c>
      <c r="AA1551" s="1">
        <v>0.5</v>
      </c>
      <c r="AI1551" s="7" t="s">
        <v>933</v>
      </c>
      <c r="AJ1551" s="40">
        <v>1</v>
      </c>
      <c r="AL1551" s="7" t="s">
        <v>934</v>
      </c>
      <c r="AM1551" s="27">
        <v>2</v>
      </c>
      <c r="BC1551" s="7" t="s">
        <v>1018</v>
      </c>
      <c r="BD1551" s="27">
        <v>784</v>
      </c>
      <c r="BJ1551" s="7" t="s">
        <v>937</v>
      </c>
      <c r="BK1551" s="40">
        <v>28</v>
      </c>
      <c r="BL1551" s="40">
        <v>50</v>
      </c>
      <c r="BN1551" t="str">
        <f t="shared" si="123"/>
        <v>Jimdo</v>
      </c>
      <c r="BO1551">
        <f t="shared" si="124"/>
        <v>609</v>
      </c>
      <c r="BP1551">
        <f t="shared" si="125"/>
        <v>410</v>
      </c>
      <c r="BQ1551">
        <f t="shared" si="126"/>
        <v>1019</v>
      </c>
    </row>
    <row r="1552" spans="26:69" hidden="1" x14ac:dyDescent="0.25">
      <c r="Z1552" s="7" t="s">
        <v>929</v>
      </c>
      <c r="AA1552" s="1">
        <v>0.35</v>
      </c>
      <c r="AI1552" s="7" t="s">
        <v>934</v>
      </c>
      <c r="AJ1552" s="40">
        <v>2</v>
      </c>
      <c r="AL1552" s="7" t="s">
        <v>935</v>
      </c>
      <c r="AM1552" s="27">
        <v>2</v>
      </c>
      <c r="BC1552" s="7" t="s">
        <v>1019</v>
      </c>
      <c r="BD1552" s="27">
        <v>200</v>
      </c>
      <c r="BJ1552" s="7" t="s">
        <v>938</v>
      </c>
      <c r="BK1552" s="40">
        <v>12</v>
      </c>
      <c r="BL1552" s="40">
        <v>6</v>
      </c>
      <c r="BN1552" t="str">
        <f t="shared" si="123"/>
        <v>Jiobit</v>
      </c>
      <c r="BO1552">
        <f t="shared" si="124"/>
        <v>679</v>
      </c>
      <c r="BP1552">
        <f t="shared" si="125"/>
        <v>672</v>
      </c>
      <c r="BQ1552">
        <f t="shared" si="126"/>
        <v>1351</v>
      </c>
    </row>
    <row r="1553" spans="26:69" hidden="1" x14ac:dyDescent="0.25">
      <c r="Z1553" s="7" t="s">
        <v>930</v>
      </c>
      <c r="AA1553" s="1">
        <v>0.17</v>
      </c>
      <c r="AI1553" s="7" t="s">
        <v>935</v>
      </c>
      <c r="AJ1553" s="40">
        <v>2</v>
      </c>
      <c r="AL1553" s="7" t="s">
        <v>936</v>
      </c>
      <c r="AM1553" s="27">
        <v>1</v>
      </c>
      <c r="BC1553" s="7" t="s">
        <v>1023</v>
      </c>
      <c r="BD1553" s="27">
        <v>180</v>
      </c>
      <c r="BJ1553" s="7" t="s">
        <v>939</v>
      </c>
      <c r="BK1553" s="40">
        <v>118</v>
      </c>
      <c r="BL1553" s="40">
        <v>39</v>
      </c>
      <c r="BN1553" t="str">
        <f t="shared" si="123"/>
        <v>Jobcase</v>
      </c>
      <c r="BO1553">
        <f t="shared" si="124"/>
        <v>413</v>
      </c>
      <c r="BP1553">
        <f t="shared" si="125"/>
        <v>482</v>
      </c>
      <c r="BQ1553">
        <f t="shared" si="126"/>
        <v>895</v>
      </c>
    </row>
    <row r="1554" spans="26:69" hidden="1" x14ac:dyDescent="0.25">
      <c r="Z1554" s="7" t="s">
        <v>931</v>
      </c>
      <c r="AA1554" s="1">
        <v>0.05</v>
      </c>
      <c r="AI1554" s="7" t="s">
        <v>936</v>
      </c>
      <c r="AJ1554" s="40">
        <v>1</v>
      </c>
      <c r="AL1554" s="7" t="s">
        <v>937</v>
      </c>
      <c r="AM1554" s="27">
        <v>1</v>
      </c>
      <c r="BC1554" s="7" t="s">
        <v>1024</v>
      </c>
      <c r="BD1554" s="27">
        <v>114</v>
      </c>
      <c r="BJ1554" s="7" t="s">
        <v>940</v>
      </c>
      <c r="BK1554" s="40">
        <v>430</v>
      </c>
      <c r="BL1554" s="40">
        <v>50</v>
      </c>
      <c r="BN1554" t="str">
        <f t="shared" si="123"/>
        <v>JOKR</v>
      </c>
      <c r="BO1554">
        <f t="shared" si="124"/>
        <v>184</v>
      </c>
      <c r="BP1554">
        <f t="shared" si="125"/>
        <v>410</v>
      </c>
      <c r="BQ1554">
        <f t="shared" si="126"/>
        <v>594</v>
      </c>
    </row>
    <row r="1555" spans="26:69" hidden="1" x14ac:dyDescent="0.25">
      <c r="Z1555" s="7" t="s">
        <v>932</v>
      </c>
      <c r="AA1555" s="1">
        <v>0.3</v>
      </c>
      <c r="AI1555" s="7" t="s">
        <v>937</v>
      </c>
      <c r="AJ1555" s="40">
        <v>1</v>
      </c>
      <c r="AL1555" s="7" t="s">
        <v>938</v>
      </c>
      <c r="AM1555" s="27">
        <v>1</v>
      </c>
      <c r="BC1555" s="7" t="s">
        <v>1025</v>
      </c>
      <c r="BD1555" s="27">
        <v>72</v>
      </c>
      <c r="BJ1555" s="7" t="s">
        <v>941</v>
      </c>
      <c r="BK1555" s="40">
        <v>194</v>
      </c>
      <c r="BL1555" s="40">
        <v>0</v>
      </c>
      <c r="BN1555" t="str">
        <f t="shared" si="123"/>
        <v>Jounce Therapeutics</v>
      </c>
      <c r="BO1555">
        <f t="shared" si="124"/>
        <v>327</v>
      </c>
      <c r="BP1555">
        <f t="shared" si="125"/>
        <v>683</v>
      </c>
      <c r="BQ1555">
        <f t="shared" si="126"/>
        <v>1010</v>
      </c>
    </row>
    <row r="1556" spans="26:69" hidden="1" x14ac:dyDescent="0.25">
      <c r="Z1556" s="7" t="s">
        <v>933</v>
      </c>
      <c r="AA1556" s="1">
        <v>0.09</v>
      </c>
      <c r="AI1556" s="7" t="s">
        <v>938</v>
      </c>
      <c r="AJ1556" s="40">
        <v>1</v>
      </c>
      <c r="AL1556" s="7" t="s">
        <v>939</v>
      </c>
      <c r="AM1556" s="27">
        <v>1</v>
      </c>
      <c r="BC1556" s="7" t="s">
        <v>1026</v>
      </c>
      <c r="BD1556" s="27">
        <v>24</v>
      </c>
      <c r="BJ1556" s="7" t="s">
        <v>942</v>
      </c>
      <c r="BK1556" s="40">
        <v>1200</v>
      </c>
      <c r="BL1556" s="40">
        <v>900</v>
      </c>
      <c r="BN1556" t="str">
        <f t="shared" ref="BN1556:BN1619" si="127">VLOOKUP(BJ1556,BJ1556:BL2367,1,0)</f>
        <v>Jumia</v>
      </c>
      <c r="BO1556">
        <f t="shared" si="124"/>
        <v>72</v>
      </c>
      <c r="BP1556">
        <f t="shared" si="125"/>
        <v>35</v>
      </c>
      <c r="BQ1556">
        <f t="shared" si="126"/>
        <v>107</v>
      </c>
    </row>
    <row r="1557" spans="26:69" hidden="1" x14ac:dyDescent="0.25">
      <c r="Z1557" s="7" t="s">
        <v>934</v>
      </c>
      <c r="AA1557" s="1">
        <v>0.08</v>
      </c>
      <c r="AI1557" s="7" t="s">
        <v>939</v>
      </c>
      <c r="AJ1557" s="40">
        <v>1</v>
      </c>
      <c r="AL1557" s="7" t="s">
        <v>940</v>
      </c>
      <c r="AM1557" s="27">
        <v>1</v>
      </c>
      <c r="BC1557" s="7" t="s">
        <v>1027</v>
      </c>
      <c r="BD1557" s="27">
        <v>20</v>
      </c>
      <c r="BJ1557" s="7" t="s">
        <v>943</v>
      </c>
      <c r="BK1557" s="40">
        <v>205</v>
      </c>
      <c r="BL1557" s="40">
        <v>100</v>
      </c>
      <c r="BN1557" t="str">
        <f t="shared" si="127"/>
        <v>Jumio</v>
      </c>
      <c r="BO1557">
        <f t="shared" si="124"/>
        <v>314</v>
      </c>
      <c r="BP1557">
        <f t="shared" si="125"/>
        <v>254</v>
      </c>
      <c r="BQ1557">
        <f t="shared" si="126"/>
        <v>568</v>
      </c>
    </row>
    <row r="1558" spans="26:69" hidden="1" x14ac:dyDescent="0.25">
      <c r="Z1558" s="7" t="s">
        <v>935</v>
      </c>
      <c r="AA1558" s="1">
        <v>1</v>
      </c>
      <c r="AI1558" s="7" t="s">
        <v>940</v>
      </c>
      <c r="AJ1558" s="40">
        <v>1</v>
      </c>
      <c r="AL1558" s="7" t="s">
        <v>941</v>
      </c>
      <c r="AM1558" s="27">
        <v>1</v>
      </c>
      <c r="BC1558" s="7" t="s">
        <v>1028</v>
      </c>
      <c r="BD1558" s="27">
        <v>158</v>
      </c>
      <c r="BJ1558" s="7" t="s">
        <v>944</v>
      </c>
      <c r="BK1558" s="40">
        <v>11</v>
      </c>
      <c r="BL1558" s="40">
        <v>500</v>
      </c>
      <c r="BN1558" t="str">
        <f t="shared" si="127"/>
        <v>Jump</v>
      </c>
      <c r="BO1558">
        <f t="shared" si="124"/>
        <v>683</v>
      </c>
      <c r="BP1558">
        <f t="shared" si="125"/>
        <v>66</v>
      </c>
      <c r="BQ1558">
        <f t="shared" si="126"/>
        <v>749</v>
      </c>
    </row>
    <row r="1559" spans="26:69" hidden="1" x14ac:dyDescent="0.25">
      <c r="Z1559" s="7" t="s">
        <v>936</v>
      </c>
      <c r="AA1559" s="1">
        <v>0.4</v>
      </c>
      <c r="AI1559" s="7" t="s">
        <v>941</v>
      </c>
      <c r="AJ1559" s="40">
        <v>1</v>
      </c>
      <c r="AL1559" s="7" t="s">
        <v>942</v>
      </c>
      <c r="AM1559" s="27">
        <v>1</v>
      </c>
      <c r="BC1559" s="7" t="s">
        <v>1029</v>
      </c>
      <c r="BD1559" s="27">
        <v>6</v>
      </c>
      <c r="BJ1559" s="7" t="s">
        <v>945</v>
      </c>
      <c r="BK1559" s="40">
        <v>416</v>
      </c>
      <c r="BL1559" s="40">
        <v>100</v>
      </c>
      <c r="BN1559" t="str">
        <f t="shared" si="127"/>
        <v>Jumpcloud</v>
      </c>
      <c r="BO1559">
        <f t="shared" si="124"/>
        <v>189</v>
      </c>
      <c r="BP1559">
        <f t="shared" si="125"/>
        <v>254</v>
      </c>
      <c r="BQ1559">
        <f t="shared" si="126"/>
        <v>443</v>
      </c>
    </row>
    <row r="1560" spans="26:69" hidden="1" x14ac:dyDescent="0.25">
      <c r="Z1560" s="7" t="s">
        <v>937</v>
      </c>
      <c r="AA1560" s="1">
        <v>0.16</v>
      </c>
      <c r="AI1560" s="7" t="s">
        <v>942</v>
      </c>
      <c r="AJ1560" s="40">
        <v>1</v>
      </c>
      <c r="AL1560" s="7" t="s">
        <v>943</v>
      </c>
      <c r="AM1560" s="27">
        <v>1</v>
      </c>
      <c r="BC1560" s="7" t="s">
        <v>1030</v>
      </c>
      <c r="BD1560" s="27">
        <v>30</v>
      </c>
      <c r="BJ1560" s="7" t="s">
        <v>946</v>
      </c>
      <c r="BK1560" s="40">
        <v>281</v>
      </c>
      <c r="BL1560" s="40">
        <v>72</v>
      </c>
      <c r="BN1560" t="str">
        <f t="shared" si="127"/>
        <v>Juni</v>
      </c>
      <c r="BO1560">
        <f t="shared" si="124"/>
        <v>256</v>
      </c>
      <c r="BP1560">
        <f t="shared" si="125"/>
        <v>349</v>
      </c>
      <c r="BQ1560">
        <f t="shared" si="126"/>
        <v>605</v>
      </c>
    </row>
    <row r="1561" spans="26:69" hidden="1" x14ac:dyDescent="0.25">
      <c r="Z1561" s="7" t="s">
        <v>938</v>
      </c>
      <c r="AA1561" s="1">
        <v>0.21</v>
      </c>
      <c r="AI1561" s="7" t="s">
        <v>943</v>
      </c>
      <c r="AJ1561" s="40">
        <v>1</v>
      </c>
      <c r="AL1561" s="7" t="s">
        <v>944</v>
      </c>
      <c r="AM1561" s="27">
        <v>1</v>
      </c>
      <c r="BC1561" s="7" t="s">
        <v>1032</v>
      </c>
      <c r="BD1561" s="27">
        <v>84</v>
      </c>
      <c r="BJ1561" s="7" t="s">
        <v>948</v>
      </c>
      <c r="BK1561" s="40">
        <v>108</v>
      </c>
      <c r="BL1561" s="40">
        <v>0</v>
      </c>
      <c r="BN1561" t="str">
        <f t="shared" si="127"/>
        <v>Juniper Square</v>
      </c>
      <c r="BO1561">
        <f t="shared" si="124"/>
        <v>425</v>
      </c>
      <c r="BP1561">
        <f t="shared" si="125"/>
        <v>683</v>
      </c>
      <c r="BQ1561">
        <f t="shared" si="126"/>
        <v>1108</v>
      </c>
    </row>
    <row r="1562" spans="26:69" hidden="1" x14ac:dyDescent="0.25">
      <c r="Z1562" s="7" t="s">
        <v>939</v>
      </c>
      <c r="AA1562" s="1">
        <v>0.2</v>
      </c>
      <c r="AI1562" s="7" t="s">
        <v>944</v>
      </c>
      <c r="AJ1562" s="40">
        <v>1</v>
      </c>
      <c r="AL1562" s="7" t="s">
        <v>945</v>
      </c>
      <c r="AM1562" s="27">
        <v>1</v>
      </c>
      <c r="BC1562" s="7" t="s">
        <v>1033</v>
      </c>
      <c r="BD1562" s="27">
        <v>335</v>
      </c>
      <c r="BJ1562" s="7" t="s">
        <v>949</v>
      </c>
      <c r="BK1562" s="40">
        <v>2800</v>
      </c>
      <c r="BL1562" s="40">
        <v>390</v>
      </c>
      <c r="BN1562" t="str">
        <f t="shared" si="127"/>
        <v>Just Eat Takeaway</v>
      </c>
      <c r="BO1562">
        <f t="shared" si="124"/>
        <v>24</v>
      </c>
      <c r="BP1562">
        <f t="shared" si="125"/>
        <v>89</v>
      </c>
      <c r="BQ1562">
        <f t="shared" si="126"/>
        <v>113</v>
      </c>
    </row>
    <row r="1563" spans="26:69" x14ac:dyDescent="0.25">
      <c r="Z1563" s="7" t="s">
        <v>940</v>
      </c>
      <c r="AA1563" s="1">
        <v>0.05</v>
      </c>
      <c r="AI1563" s="7" t="s">
        <v>945</v>
      </c>
      <c r="AJ1563" s="40">
        <v>1</v>
      </c>
      <c r="AL1563" s="7" t="s">
        <v>946</v>
      </c>
      <c r="AM1563" s="27">
        <v>1</v>
      </c>
      <c r="BC1563" s="7" t="s">
        <v>1035</v>
      </c>
      <c r="BD1563" s="27">
        <v>1200</v>
      </c>
      <c r="BJ1563" s="7" t="s">
        <v>950</v>
      </c>
      <c r="BK1563" s="40">
        <v>3000</v>
      </c>
      <c r="BL1563" s="40">
        <v>1300</v>
      </c>
      <c r="BN1563" t="str">
        <f t="shared" si="127"/>
        <v>Juul</v>
      </c>
      <c r="BO1563">
        <f t="shared" si="124"/>
        <v>21</v>
      </c>
      <c r="BP1563">
        <f t="shared" si="125"/>
        <v>21</v>
      </c>
      <c r="BQ1563">
        <f t="shared" si="126"/>
        <v>42</v>
      </c>
    </row>
    <row r="1564" spans="26:69" hidden="1" x14ac:dyDescent="0.25">
      <c r="Z1564" s="7" t="s">
        <v>941</v>
      </c>
      <c r="AA1564" s="1">
        <v>0.56999999999999995</v>
      </c>
      <c r="AI1564" s="7" t="s">
        <v>946</v>
      </c>
      <c r="AJ1564" s="40">
        <v>1</v>
      </c>
      <c r="AL1564" s="7" t="s">
        <v>948</v>
      </c>
      <c r="AM1564" s="27">
        <v>1</v>
      </c>
      <c r="BC1564" s="7" t="s">
        <v>1036</v>
      </c>
      <c r="BD1564" s="27">
        <v>765</v>
      </c>
      <c r="BJ1564" s="7" t="s">
        <v>951</v>
      </c>
      <c r="BK1564" s="40">
        <v>244</v>
      </c>
      <c r="BL1564" s="40">
        <v>35</v>
      </c>
      <c r="BN1564" t="str">
        <f t="shared" si="127"/>
        <v>Kabam</v>
      </c>
      <c r="BO1564">
        <f t="shared" si="124"/>
        <v>281</v>
      </c>
      <c r="BP1564">
        <f t="shared" si="125"/>
        <v>494</v>
      </c>
      <c r="BQ1564">
        <f t="shared" si="126"/>
        <v>775</v>
      </c>
    </row>
    <row r="1565" spans="26:69" hidden="1" x14ac:dyDescent="0.25">
      <c r="Z1565" s="7" t="s">
        <v>942</v>
      </c>
      <c r="AA1565" s="1">
        <v>0.2</v>
      </c>
      <c r="AI1565" s="7" t="s">
        <v>948</v>
      </c>
      <c r="AJ1565" s="40">
        <v>1</v>
      </c>
      <c r="AL1565" s="7" t="s">
        <v>949</v>
      </c>
      <c r="AM1565" s="27">
        <v>1</v>
      </c>
      <c r="BC1565" s="7" t="s">
        <v>1037</v>
      </c>
      <c r="BD1565" s="27">
        <v>33</v>
      </c>
      <c r="BJ1565" s="7" t="s">
        <v>952</v>
      </c>
      <c r="BK1565" s="40">
        <v>332</v>
      </c>
      <c r="BL1565" s="40">
        <v>75</v>
      </c>
      <c r="BN1565" t="str">
        <f t="shared" si="127"/>
        <v>Kaltura</v>
      </c>
      <c r="BO1565">
        <f t="shared" si="124"/>
        <v>226</v>
      </c>
      <c r="BP1565">
        <f t="shared" si="125"/>
        <v>341</v>
      </c>
      <c r="BQ1565">
        <f t="shared" si="126"/>
        <v>567</v>
      </c>
    </row>
    <row r="1566" spans="26:69" hidden="1" x14ac:dyDescent="0.25">
      <c r="Z1566" s="7" t="s">
        <v>943</v>
      </c>
      <c r="AA1566" s="1">
        <v>0.06</v>
      </c>
      <c r="AI1566" s="7" t="s">
        <v>949</v>
      </c>
      <c r="AJ1566" s="40">
        <v>1</v>
      </c>
      <c r="AL1566" s="7" t="s">
        <v>950</v>
      </c>
      <c r="AM1566" s="27">
        <v>2</v>
      </c>
      <c r="BC1566" s="7" t="s">
        <v>1039</v>
      </c>
      <c r="BD1566" s="27">
        <v>154</v>
      </c>
      <c r="BJ1566" s="7" t="s">
        <v>953</v>
      </c>
      <c r="BK1566" s="40">
        <v>0</v>
      </c>
      <c r="BL1566" s="40">
        <v>0</v>
      </c>
      <c r="BN1566" t="str">
        <f t="shared" si="127"/>
        <v>Kandela</v>
      </c>
      <c r="BO1566">
        <f t="shared" si="124"/>
        <v>742</v>
      </c>
      <c r="BP1566">
        <f t="shared" si="125"/>
        <v>683</v>
      </c>
      <c r="BQ1566">
        <f t="shared" si="126"/>
        <v>1425</v>
      </c>
    </row>
    <row r="1567" spans="26:69" hidden="1" x14ac:dyDescent="0.25">
      <c r="Z1567" s="7" t="s">
        <v>944</v>
      </c>
      <c r="AA1567" s="1">
        <v>1</v>
      </c>
      <c r="AI1567" s="7" t="s">
        <v>950</v>
      </c>
      <c r="AJ1567" s="40">
        <v>2</v>
      </c>
      <c r="AL1567" s="7" t="s">
        <v>951</v>
      </c>
      <c r="AM1567" s="27">
        <v>1</v>
      </c>
      <c r="BC1567" s="7" t="s">
        <v>1040</v>
      </c>
      <c r="BD1567" s="27">
        <v>2</v>
      </c>
      <c r="BJ1567" s="7" t="s">
        <v>954</v>
      </c>
      <c r="BK1567" s="40">
        <v>188</v>
      </c>
      <c r="BL1567" s="40">
        <v>0</v>
      </c>
      <c r="BN1567" t="str">
        <f t="shared" si="127"/>
        <v>Kandji</v>
      </c>
      <c r="BO1567">
        <f t="shared" si="124"/>
        <v>335</v>
      </c>
      <c r="BP1567">
        <f t="shared" si="125"/>
        <v>683</v>
      </c>
      <c r="BQ1567">
        <f t="shared" si="126"/>
        <v>1018</v>
      </c>
    </row>
    <row r="1568" spans="26:69" hidden="1" x14ac:dyDescent="0.25">
      <c r="Z1568" s="7" t="s">
        <v>945</v>
      </c>
      <c r="AA1568" s="1">
        <v>0.12</v>
      </c>
      <c r="AI1568" s="7" t="s">
        <v>951</v>
      </c>
      <c r="AJ1568" s="40">
        <v>1</v>
      </c>
      <c r="AL1568" s="7" t="s">
        <v>952</v>
      </c>
      <c r="AM1568" s="27">
        <v>2</v>
      </c>
      <c r="BC1568" s="7" t="s">
        <v>1041</v>
      </c>
      <c r="BD1568" s="27">
        <v>165</v>
      </c>
      <c r="BJ1568" s="7" t="s">
        <v>955</v>
      </c>
      <c r="BK1568" s="40">
        <v>17</v>
      </c>
      <c r="BL1568" s="40">
        <v>0</v>
      </c>
      <c r="BN1568" t="str">
        <f t="shared" si="127"/>
        <v>Kaodim</v>
      </c>
      <c r="BO1568">
        <f t="shared" si="124"/>
        <v>653</v>
      </c>
      <c r="BP1568">
        <f t="shared" si="125"/>
        <v>683</v>
      </c>
      <c r="BQ1568">
        <f t="shared" si="126"/>
        <v>1336</v>
      </c>
    </row>
    <row r="1569" spans="26:69" hidden="1" x14ac:dyDescent="0.25">
      <c r="Z1569" s="7" t="s">
        <v>946</v>
      </c>
      <c r="AA1569" s="1">
        <v>0.33</v>
      </c>
      <c r="AI1569" s="7" t="s">
        <v>952</v>
      </c>
      <c r="AJ1569" s="40">
        <v>2</v>
      </c>
      <c r="AL1569" s="7" t="s">
        <v>953</v>
      </c>
      <c r="AM1569" s="27">
        <v>1</v>
      </c>
      <c r="BC1569" s="7" t="s">
        <v>1042</v>
      </c>
      <c r="BD1569" s="27">
        <v>115</v>
      </c>
      <c r="BJ1569" s="7" t="s">
        <v>957</v>
      </c>
      <c r="BK1569" s="40">
        <v>169</v>
      </c>
      <c r="BL1569" s="40">
        <v>47</v>
      </c>
      <c r="BN1569" t="str">
        <f t="shared" si="127"/>
        <v>Karat</v>
      </c>
      <c r="BO1569">
        <f t="shared" si="124"/>
        <v>352</v>
      </c>
      <c r="BP1569">
        <f t="shared" si="125"/>
        <v>435</v>
      </c>
      <c r="BQ1569">
        <f t="shared" si="126"/>
        <v>787</v>
      </c>
    </row>
    <row r="1570" spans="26:69" hidden="1" x14ac:dyDescent="0.25">
      <c r="Z1570" s="7" t="s">
        <v>948</v>
      </c>
      <c r="AA1570" s="1">
        <v>0.14000000000000001</v>
      </c>
      <c r="AI1570" s="7" t="s">
        <v>953</v>
      </c>
      <c r="AJ1570" s="40">
        <v>1</v>
      </c>
      <c r="AL1570" s="7" t="s">
        <v>954</v>
      </c>
      <c r="AM1570" s="27">
        <v>1</v>
      </c>
      <c r="BC1570" s="7" t="s">
        <v>1043</v>
      </c>
      <c r="BD1570" s="27">
        <v>118</v>
      </c>
      <c r="BJ1570" s="7" t="s">
        <v>958</v>
      </c>
      <c r="BK1570" s="40">
        <v>91</v>
      </c>
      <c r="BL1570" s="40">
        <v>0</v>
      </c>
      <c r="BN1570" t="str">
        <f t="shared" si="127"/>
        <v>Karbon</v>
      </c>
      <c r="BO1570">
        <f t="shared" si="124"/>
        <v>456</v>
      </c>
      <c r="BP1570">
        <f t="shared" si="125"/>
        <v>683</v>
      </c>
      <c r="BQ1570">
        <f t="shared" si="126"/>
        <v>1139</v>
      </c>
    </row>
    <row r="1571" spans="26:69" x14ac:dyDescent="0.25">
      <c r="Z1571" s="7" t="s">
        <v>949</v>
      </c>
      <c r="AA1571" s="1">
        <v>0</v>
      </c>
      <c r="AI1571" s="7" t="s">
        <v>954</v>
      </c>
      <c r="AJ1571" s="40">
        <v>1</v>
      </c>
      <c r="AL1571" s="7" t="s">
        <v>955</v>
      </c>
      <c r="AM1571" s="27">
        <v>1</v>
      </c>
      <c r="BC1571" s="7" t="s">
        <v>1044</v>
      </c>
      <c r="BD1571" s="27">
        <v>84</v>
      </c>
      <c r="BJ1571" s="7" t="s">
        <v>959</v>
      </c>
      <c r="BK1571" s="40">
        <v>4100</v>
      </c>
      <c r="BL1571" s="40">
        <v>3074</v>
      </c>
      <c r="BN1571" t="str">
        <f t="shared" si="127"/>
        <v>Katerra</v>
      </c>
      <c r="BO1571">
        <f t="shared" si="124"/>
        <v>15</v>
      </c>
      <c r="BP1571">
        <f t="shared" si="125"/>
        <v>13</v>
      </c>
      <c r="BQ1571">
        <f t="shared" si="126"/>
        <v>28</v>
      </c>
    </row>
    <row r="1572" spans="26:69" hidden="1" x14ac:dyDescent="0.25">
      <c r="Z1572" s="7" t="s">
        <v>950</v>
      </c>
      <c r="AA1572" s="1">
        <v>0.3</v>
      </c>
      <c r="AI1572" s="7" t="s">
        <v>955</v>
      </c>
      <c r="AJ1572" s="40">
        <v>1</v>
      </c>
      <c r="AL1572" s="7" t="s">
        <v>957</v>
      </c>
      <c r="AM1572" s="27">
        <v>1</v>
      </c>
      <c r="BC1572" s="7" t="s">
        <v>1045</v>
      </c>
      <c r="BD1572" s="27">
        <v>16</v>
      </c>
      <c r="BJ1572" s="7" t="s">
        <v>960</v>
      </c>
      <c r="BK1572" s="40">
        <v>1600</v>
      </c>
      <c r="BL1572" s="40">
        <v>150</v>
      </c>
      <c r="BN1572" t="str">
        <f t="shared" si="127"/>
        <v>Kavak</v>
      </c>
      <c r="BO1572">
        <f t="shared" si="124"/>
        <v>53</v>
      </c>
      <c r="BP1572">
        <f t="shared" si="125"/>
        <v>193</v>
      </c>
      <c r="BQ1572">
        <f t="shared" si="126"/>
        <v>246</v>
      </c>
    </row>
    <row r="1573" spans="26:69" hidden="1" x14ac:dyDescent="0.25">
      <c r="Z1573" s="7" t="s">
        <v>951</v>
      </c>
      <c r="AA1573" s="1">
        <v>7.0000000000000007E-2</v>
      </c>
      <c r="AI1573" s="7" t="s">
        <v>957</v>
      </c>
      <c r="AJ1573" s="40">
        <v>1</v>
      </c>
      <c r="AL1573" s="7" t="s">
        <v>958</v>
      </c>
      <c r="AM1573" s="27">
        <v>1</v>
      </c>
      <c r="BC1573" s="7" t="s">
        <v>1046</v>
      </c>
      <c r="BD1573" s="27">
        <v>46</v>
      </c>
      <c r="BJ1573" s="7" t="s">
        <v>961</v>
      </c>
      <c r="BK1573" s="40">
        <v>229</v>
      </c>
      <c r="BL1573" s="40">
        <v>160</v>
      </c>
      <c r="BN1573" t="str">
        <f t="shared" si="127"/>
        <v>Kayak / OpenTable</v>
      </c>
      <c r="BO1573">
        <f t="shared" si="124"/>
        <v>296</v>
      </c>
      <c r="BP1573">
        <f t="shared" si="125"/>
        <v>184</v>
      </c>
      <c r="BQ1573">
        <f t="shared" si="126"/>
        <v>480</v>
      </c>
    </row>
    <row r="1574" spans="26:69" hidden="1" x14ac:dyDescent="0.25">
      <c r="Z1574" s="7" t="s">
        <v>952</v>
      </c>
      <c r="AA1574" s="1">
        <v>0.11</v>
      </c>
      <c r="AI1574" s="7" t="s">
        <v>958</v>
      </c>
      <c r="AJ1574" s="40">
        <v>1</v>
      </c>
      <c r="AL1574" s="7" t="s">
        <v>959</v>
      </c>
      <c r="AM1574" s="27">
        <v>3</v>
      </c>
      <c r="BC1574" s="7" t="s">
        <v>1047</v>
      </c>
      <c r="BD1574" s="27">
        <v>12</v>
      </c>
      <c r="BJ1574" s="7" t="s">
        <v>962</v>
      </c>
      <c r="BK1574" s="40">
        <v>8</v>
      </c>
      <c r="BL1574" s="40">
        <v>0</v>
      </c>
      <c r="BN1574" t="str">
        <f t="shared" si="127"/>
        <v>Kazoo</v>
      </c>
      <c r="BO1574">
        <f t="shared" si="124"/>
        <v>697</v>
      </c>
      <c r="BP1574">
        <f t="shared" si="125"/>
        <v>683</v>
      </c>
      <c r="BQ1574">
        <f t="shared" si="126"/>
        <v>1380</v>
      </c>
    </row>
    <row r="1575" spans="26:69" hidden="1" x14ac:dyDescent="0.25">
      <c r="Z1575" s="7" t="s">
        <v>953</v>
      </c>
      <c r="AA1575" s="1">
        <v>1</v>
      </c>
      <c r="AI1575" s="7" t="s">
        <v>959</v>
      </c>
      <c r="AJ1575" s="40">
        <v>3</v>
      </c>
      <c r="AL1575" s="7" t="s">
        <v>960</v>
      </c>
      <c r="AM1575" s="27">
        <v>1</v>
      </c>
      <c r="BC1575" s="7" t="s">
        <v>1048</v>
      </c>
      <c r="BD1575" s="27">
        <v>157</v>
      </c>
      <c r="BJ1575" s="7" t="s">
        <v>963</v>
      </c>
      <c r="BK1575" s="40">
        <v>227</v>
      </c>
      <c r="BL1575" s="40">
        <v>349</v>
      </c>
      <c r="BN1575" t="str">
        <f t="shared" si="127"/>
        <v>KeepTruckin</v>
      </c>
      <c r="BO1575">
        <f t="shared" si="124"/>
        <v>299</v>
      </c>
      <c r="BP1575">
        <f t="shared" si="125"/>
        <v>95</v>
      </c>
      <c r="BQ1575">
        <f t="shared" si="126"/>
        <v>394</v>
      </c>
    </row>
    <row r="1576" spans="26:69" hidden="1" x14ac:dyDescent="0.25">
      <c r="Z1576" s="7" t="s">
        <v>954</v>
      </c>
      <c r="AA1576" s="1">
        <v>0.17</v>
      </c>
      <c r="AI1576" s="7" t="s">
        <v>960</v>
      </c>
      <c r="AJ1576" s="40">
        <v>1</v>
      </c>
      <c r="AL1576" s="7" t="s">
        <v>961</v>
      </c>
      <c r="AM1576" s="27">
        <v>1</v>
      </c>
      <c r="BC1576" s="7" t="s">
        <v>1049</v>
      </c>
      <c r="BD1576" s="27">
        <v>57</v>
      </c>
      <c r="BJ1576" s="7" t="s">
        <v>964</v>
      </c>
      <c r="BK1576" s="40">
        <v>23</v>
      </c>
      <c r="BL1576" s="40">
        <v>18</v>
      </c>
      <c r="BN1576" t="str">
        <f t="shared" si="127"/>
        <v>Kenoby</v>
      </c>
      <c r="BO1576">
        <f t="shared" si="124"/>
        <v>628</v>
      </c>
      <c r="BP1576">
        <f t="shared" si="125"/>
        <v>607</v>
      </c>
      <c r="BQ1576">
        <f t="shared" si="126"/>
        <v>1235</v>
      </c>
    </row>
    <row r="1577" spans="26:69" hidden="1" x14ac:dyDescent="0.25">
      <c r="Z1577" s="7" t="s">
        <v>955</v>
      </c>
      <c r="AA1577" s="1">
        <v>1</v>
      </c>
      <c r="AI1577" s="7" t="s">
        <v>961</v>
      </c>
      <c r="AJ1577" s="40">
        <v>1</v>
      </c>
      <c r="AL1577" s="7" t="s">
        <v>962</v>
      </c>
      <c r="AM1577" s="27">
        <v>1</v>
      </c>
      <c r="BC1577" s="7" t="s">
        <v>1050</v>
      </c>
      <c r="BD1577" s="27">
        <v>3678</v>
      </c>
      <c r="BJ1577" s="7" t="s">
        <v>965</v>
      </c>
      <c r="BK1577" s="40">
        <v>138</v>
      </c>
      <c r="BL1577" s="40">
        <v>120</v>
      </c>
      <c r="BN1577" t="str">
        <f t="shared" si="127"/>
        <v>Khoros</v>
      </c>
      <c r="BO1577">
        <f t="shared" si="124"/>
        <v>386</v>
      </c>
      <c r="BP1577">
        <f t="shared" si="125"/>
        <v>238</v>
      </c>
      <c r="BQ1577">
        <f t="shared" si="126"/>
        <v>624</v>
      </c>
    </row>
    <row r="1578" spans="26:69" hidden="1" x14ac:dyDescent="0.25">
      <c r="Z1578" s="7" t="s">
        <v>957</v>
      </c>
      <c r="AA1578" s="1">
        <v>0</v>
      </c>
      <c r="AI1578" s="7" t="s">
        <v>962</v>
      </c>
      <c r="AJ1578" s="40">
        <v>1</v>
      </c>
      <c r="AL1578" s="7" t="s">
        <v>963</v>
      </c>
      <c r="AM1578" s="27">
        <v>1</v>
      </c>
      <c r="BC1578" s="7" t="s">
        <v>1051</v>
      </c>
      <c r="BD1578" s="27">
        <v>17</v>
      </c>
      <c r="BJ1578" s="7" t="s">
        <v>966</v>
      </c>
      <c r="BK1578" s="40">
        <v>240</v>
      </c>
      <c r="BL1578" s="40">
        <v>39</v>
      </c>
      <c r="BN1578" t="str">
        <f t="shared" si="127"/>
        <v>Kiavi</v>
      </c>
      <c r="BO1578">
        <f t="shared" si="124"/>
        <v>287</v>
      </c>
      <c r="BP1578">
        <f t="shared" si="125"/>
        <v>482</v>
      </c>
      <c r="BQ1578">
        <f t="shared" si="126"/>
        <v>769</v>
      </c>
    </row>
    <row r="1579" spans="26:69" hidden="1" x14ac:dyDescent="0.25">
      <c r="Z1579" s="7" t="s">
        <v>958</v>
      </c>
      <c r="AA1579" s="1">
        <v>0.23</v>
      </c>
      <c r="AI1579" s="7" t="s">
        <v>963</v>
      </c>
      <c r="AJ1579" s="40">
        <v>1</v>
      </c>
      <c r="AL1579" s="7" t="s">
        <v>964</v>
      </c>
      <c r="AM1579" s="27">
        <v>1</v>
      </c>
      <c r="BC1579" s="7" t="s">
        <v>1052</v>
      </c>
      <c r="BD1579" s="27">
        <v>18</v>
      </c>
      <c r="BJ1579" s="7" t="s">
        <v>967</v>
      </c>
      <c r="BK1579" s="40">
        <v>10</v>
      </c>
      <c r="BL1579" s="40">
        <v>25</v>
      </c>
      <c r="BN1579" t="str">
        <f t="shared" si="127"/>
        <v>Kickstarter</v>
      </c>
      <c r="BO1579">
        <f t="shared" si="124"/>
        <v>689</v>
      </c>
      <c r="BP1579">
        <f t="shared" si="125"/>
        <v>554</v>
      </c>
      <c r="BQ1579">
        <f t="shared" si="126"/>
        <v>1243</v>
      </c>
    </row>
    <row r="1580" spans="26:69" hidden="1" x14ac:dyDescent="0.25">
      <c r="Z1580" s="7" t="s">
        <v>959</v>
      </c>
      <c r="AA1580" s="1">
        <v>1</v>
      </c>
      <c r="AI1580" s="7" t="s">
        <v>964</v>
      </c>
      <c r="AJ1580" s="40">
        <v>1</v>
      </c>
      <c r="AL1580" s="7" t="s">
        <v>965</v>
      </c>
      <c r="AM1580" s="27">
        <v>1</v>
      </c>
      <c r="BC1580" s="7" t="s">
        <v>1053</v>
      </c>
      <c r="BD1580" s="27">
        <v>1014</v>
      </c>
      <c r="BJ1580" s="7" t="s">
        <v>968</v>
      </c>
      <c r="BK1580" s="40">
        <v>10</v>
      </c>
      <c r="BL1580" s="40">
        <v>8</v>
      </c>
      <c r="BN1580" t="str">
        <f t="shared" si="127"/>
        <v>Kinde</v>
      </c>
      <c r="BO1580">
        <f t="shared" si="124"/>
        <v>689</v>
      </c>
      <c r="BP1580">
        <f t="shared" si="125"/>
        <v>666</v>
      </c>
      <c r="BQ1580">
        <f t="shared" si="126"/>
        <v>1355</v>
      </c>
    </row>
    <row r="1581" spans="26:69" hidden="1" x14ac:dyDescent="0.25">
      <c r="Z1581" s="7" t="s">
        <v>960</v>
      </c>
      <c r="AA1581" s="1">
        <v>0</v>
      </c>
      <c r="AI1581" s="7" t="s">
        <v>965</v>
      </c>
      <c r="AJ1581" s="40">
        <v>1</v>
      </c>
      <c r="AL1581" s="7" t="s">
        <v>966</v>
      </c>
      <c r="AM1581" s="27">
        <v>1</v>
      </c>
      <c r="BC1581" s="7" t="s">
        <v>1055</v>
      </c>
      <c r="BD1581" s="27">
        <v>56</v>
      </c>
      <c r="BJ1581" s="7" t="s">
        <v>969</v>
      </c>
      <c r="BK1581" s="40">
        <v>21</v>
      </c>
      <c r="BL1581" s="40">
        <v>0</v>
      </c>
      <c r="BN1581" t="str">
        <f t="shared" si="127"/>
        <v>Kite</v>
      </c>
      <c r="BO1581">
        <f t="shared" si="124"/>
        <v>636</v>
      </c>
      <c r="BP1581">
        <f t="shared" si="125"/>
        <v>683</v>
      </c>
      <c r="BQ1581">
        <f t="shared" si="126"/>
        <v>1319</v>
      </c>
    </row>
    <row r="1582" spans="26:69" hidden="1" x14ac:dyDescent="0.25">
      <c r="Z1582" s="7" t="s">
        <v>961</v>
      </c>
      <c r="AA1582" s="1">
        <v>0.08</v>
      </c>
      <c r="AI1582" s="7" t="s">
        <v>966</v>
      </c>
      <c r="AJ1582" s="40">
        <v>1</v>
      </c>
      <c r="AL1582" s="7" t="s">
        <v>967</v>
      </c>
      <c r="AM1582" s="27">
        <v>1</v>
      </c>
      <c r="BC1582" s="7" t="s">
        <v>1056</v>
      </c>
      <c r="BD1582" s="27">
        <v>81</v>
      </c>
      <c r="BJ1582" s="7" t="s">
        <v>970</v>
      </c>
      <c r="BK1582" s="40">
        <v>893</v>
      </c>
      <c r="BL1582" s="40">
        <v>217</v>
      </c>
      <c r="BN1582" t="str">
        <f t="shared" si="127"/>
        <v>Kitopi</v>
      </c>
      <c r="BO1582">
        <f t="shared" si="124"/>
        <v>99</v>
      </c>
      <c r="BP1582">
        <f t="shared" si="125"/>
        <v>141</v>
      </c>
      <c r="BQ1582">
        <f t="shared" si="126"/>
        <v>240</v>
      </c>
    </row>
    <row r="1583" spans="26:69" hidden="1" x14ac:dyDescent="0.25">
      <c r="Z1583" s="7" t="s">
        <v>962</v>
      </c>
      <c r="AA1583" s="1">
        <v>0.35</v>
      </c>
      <c r="AI1583" s="7" t="s">
        <v>967</v>
      </c>
      <c r="AJ1583" s="40">
        <v>1</v>
      </c>
      <c r="AL1583" s="7" t="s">
        <v>968</v>
      </c>
      <c r="AM1583" s="27">
        <v>1</v>
      </c>
      <c r="BC1583" s="7" t="s">
        <v>1057</v>
      </c>
      <c r="BD1583" s="27">
        <v>203</v>
      </c>
      <c r="BJ1583" s="7" t="s">
        <v>971</v>
      </c>
      <c r="BK1583" s="40">
        <v>2</v>
      </c>
      <c r="BL1583" s="40">
        <v>170</v>
      </c>
      <c r="BN1583" t="str">
        <f t="shared" si="127"/>
        <v>Kitty Hawk</v>
      </c>
      <c r="BO1583">
        <f t="shared" si="124"/>
        <v>725</v>
      </c>
      <c r="BP1583">
        <f t="shared" si="125"/>
        <v>176</v>
      </c>
      <c r="BQ1583">
        <f t="shared" si="126"/>
        <v>901</v>
      </c>
    </row>
    <row r="1584" spans="26:69" hidden="1" x14ac:dyDescent="0.25">
      <c r="Z1584" s="7" t="s">
        <v>963</v>
      </c>
      <c r="AA1584" s="1">
        <v>0.18</v>
      </c>
      <c r="AI1584" s="7" t="s">
        <v>968</v>
      </c>
      <c r="AJ1584" s="40">
        <v>1</v>
      </c>
      <c r="AL1584" s="7" t="s">
        <v>969</v>
      </c>
      <c r="AM1584" s="27">
        <v>1</v>
      </c>
      <c r="BJ1584" s="7" t="s">
        <v>972</v>
      </c>
      <c r="BK1584" s="40">
        <v>11</v>
      </c>
      <c r="BL1584" s="40">
        <v>40</v>
      </c>
      <c r="BN1584" t="str">
        <f t="shared" si="127"/>
        <v>KiwiCo</v>
      </c>
      <c r="BO1584">
        <f t="shared" si="124"/>
        <v>683</v>
      </c>
      <c r="BP1584">
        <f t="shared" si="125"/>
        <v>454</v>
      </c>
      <c r="BQ1584">
        <f t="shared" si="126"/>
        <v>1137</v>
      </c>
    </row>
    <row r="1585" spans="26:69" x14ac:dyDescent="0.25">
      <c r="Z1585" s="7" t="s">
        <v>964</v>
      </c>
      <c r="AA1585" s="1">
        <v>0.16</v>
      </c>
      <c r="AI1585" s="7" t="s">
        <v>969</v>
      </c>
      <c r="AJ1585" s="40">
        <v>1</v>
      </c>
      <c r="AL1585" s="7" t="s">
        <v>970</v>
      </c>
      <c r="AM1585" s="27">
        <v>2</v>
      </c>
      <c r="BJ1585" s="7" t="s">
        <v>973</v>
      </c>
      <c r="BK1585" s="40">
        <v>7400</v>
      </c>
      <c r="BL1585" s="40">
        <v>800</v>
      </c>
      <c r="BN1585" t="str">
        <f t="shared" si="127"/>
        <v>Klarna</v>
      </c>
      <c r="BO1585">
        <f t="shared" si="124"/>
        <v>8</v>
      </c>
      <c r="BP1585">
        <f t="shared" si="125"/>
        <v>39</v>
      </c>
      <c r="BQ1585">
        <f t="shared" si="126"/>
        <v>47</v>
      </c>
    </row>
    <row r="1586" spans="26:69" hidden="1" x14ac:dyDescent="0.25">
      <c r="Z1586" s="7" t="s">
        <v>965</v>
      </c>
      <c r="AA1586" s="1">
        <v>0.1</v>
      </c>
      <c r="AI1586" s="7" t="s">
        <v>970</v>
      </c>
      <c r="AJ1586" s="40">
        <v>2</v>
      </c>
      <c r="AL1586" s="7" t="s">
        <v>971</v>
      </c>
      <c r="AM1586" s="27">
        <v>2</v>
      </c>
      <c r="BJ1586" s="7" t="s">
        <v>974</v>
      </c>
      <c r="BK1586" s="40">
        <v>521</v>
      </c>
      <c r="BL1586" s="40">
        <v>300</v>
      </c>
      <c r="BN1586" t="str">
        <f t="shared" si="127"/>
        <v>Klook</v>
      </c>
      <c r="BO1586">
        <f t="shared" si="124"/>
        <v>161</v>
      </c>
      <c r="BP1586">
        <f t="shared" si="125"/>
        <v>103</v>
      </c>
      <c r="BQ1586">
        <f t="shared" si="126"/>
        <v>264</v>
      </c>
    </row>
    <row r="1587" spans="26:69" hidden="1" x14ac:dyDescent="0.25">
      <c r="Z1587" s="7" t="s">
        <v>966</v>
      </c>
      <c r="AA1587" s="1">
        <v>7.0000000000000007E-2</v>
      </c>
      <c r="AI1587" s="7" t="s">
        <v>971</v>
      </c>
      <c r="AJ1587" s="40">
        <v>2</v>
      </c>
      <c r="AL1587" s="7" t="s">
        <v>972</v>
      </c>
      <c r="AM1587" s="27">
        <v>1</v>
      </c>
      <c r="BJ1587" s="7" t="s">
        <v>975</v>
      </c>
      <c r="BK1587" s="40">
        <v>654</v>
      </c>
      <c r="BL1587" s="40">
        <v>115</v>
      </c>
      <c r="BN1587" t="str">
        <f t="shared" si="127"/>
        <v>Knock</v>
      </c>
      <c r="BO1587">
        <f t="shared" si="124"/>
        <v>134</v>
      </c>
      <c r="BP1587">
        <f t="shared" si="125"/>
        <v>245</v>
      </c>
      <c r="BQ1587">
        <f t="shared" si="126"/>
        <v>379</v>
      </c>
    </row>
    <row r="1588" spans="26:69" hidden="1" x14ac:dyDescent="0.25">
      <c r="Z1588" s="7" t="s">
        <v>967</v>
      </c>
      <c r="AA1588" s="1">
        <v>0.18</v>
      </c>
      <c r="AI1588" s="7" t="s">
        <v>972</v>
      </c>
      <c r="AJ1588" s="40">
        <v>1</v>
      </c>
      <c r="AL1588" s="7" t="s">
        <v>973</v>
      </c>
      <c r="AM1588" s="27">
        <v>2</v>
      </c>
      <c r="BJ1588" s="7" t="s">
        <v>976</v>
      </c>
      <c r="BK1588" s="40">
        <v>1120</v>
      </c>
      <c r="BL1588" s="40">
        <v>147</v>
      </c>
      <c r="BN1588" t="str">
        <f t="shared" si="127"/>
        <v>Knotel</v>
      </c>
      <c r="BO1588">
        <f t="shared" si="124"/>
        <v>81</v>
      </c>
      <c r="BP1588">
        <f t="shared" si="125"/>
        <v>206</v>
      </c>
      <c r="BQ1588">
        <f t="shared" si="126"/>
        <v>287</v>
      </c>
    </row>
    <row r="1589" spans="26:69" hidden="1" x14ac:dyDescent="0.25">
      <c r="Z1589" s="7" t="s">
        <v>968</v>
      </c>
      <c r="AA1589" s="1">
        <v>0.28000000000000003</v>
      </c>
      <c r="AI1589" s="7" t="s">
        <v>973</v>
      </c>
      <c r="AJ1589" s="40">
        <v>2</v>
      </c>
      <c r="AL1589" s="7" t="s">
        <v>974</v>
      </c>
      <c r="AM1589" s="27">
        <v>1</v>
      </c>
      <c r="BJ1589" s="7" t="s">
        <v>977</v>
      </c>
      <c r="BK1589" s="40">
        <v>40</v>
      </c>
      <c r="BL1589" s="40">
        <v>15</v>
      </c>
      <c r="BN1589" t="str">
        <f t="shared" si="127"/>
        <v>Kodiak Robotics</v>
      </c>
      <c r="BO1589">
        <f t="shared" si="124"/>
        <v>575</v>
      </c>
      <c r="BP1589">
        <f t="shared" si="125"/>
        <v>622</v>
      </c>
      <c r="BQ1589">
        <f t="shared" si="126"/>
        <v>1197</v>
      </c>
    </row>
    <row r="1590" spans="26:69" hidden="1" x14ac:dyDescent="0.25">
      <c r="Z1590" s="7" t="s">
        <v>969</v>
      </c>
      <c r="AA1590" s="1">
        <v>1</v>
      </c>
      <c r="AI1590" s="7" t="s">
        <v>974</v>
      </c>
      <c r="AJ1590" s="40">
        <v>1</v>
      </c>
      <c r="AL1590" s="7" t="s">
        <v>975</v>
      </c>
      <c r="AM1590" s="27">
        <v>1</v>
      </c>
      <c r="BJ1590" s="7" t="s">
        <v>978</v>
      </c>
      <c r="BK1590" s="40">
        <v>556</v>
      </c>
      <c r="BL1590" s="40">
        <v>15</v>
      </c>
      <c r="BN1590" t="str">
        <f t="shared" si="127"/>
        <v>Koho</v>
      </c>
      <c r="BO1590">
        <f t="shared" si="124"/>
        <v>150</v>
      </c>
      <c r="BP1590">
        <f t="shared" si="125"/>
        <v>622</v>
      </c>
      <c r="BQ1590">
        <f t="shared" si="126"/>
        <v>772</v>
      </c>
    </row>
    <row r="1591" spans="26:69" hidden="1" x14ac:dyDescent="0.25">
      <c r="Z1591" s="7" t="s">
        <v>970</v>
      </c>
      <c r="AA1591" s="1">
        <v>0.1</v>
      </c>
      <c r="AI1591" s="7" t="s">
        <v>975</v>
      </c>
      <c r="AJ1591" s="40">
        <v>1</v>
      </c>
      <c r="AL1591" s="7" t="s">
        <v>976</v>
      </c>
      <c r="AM1591" s="27">
        <v>2</v>
      </c>
      <c r="BJ1591" s="7" t="s">
        <v>979</v>
      </c>
      <c r="BK1591" s="40">
        <v>0</v>
      </c>
      <c r="BL1591" s="40">
        <v>16</v>
      </c>
      <c r="BN1591" t="str">
        <f t="shared" si="127"/>
        <v>Koinly</v>
      </c>
      <c r="BO1591">
        <f t="shared" si="124"/>
        <v>742</v>
      </c>
      <c r="BP1591">
        <f t="shared" si="125"/>
        <v>617</v>
      </c>
      <c r="BQ1591">
        <f t="shared" si="126"/>
        <v>1359</v>
      </c>
    </row>
    <row r="1592" spans="26:69" hidden="1" x14ac:dyDescent="0.25">
      <c r="Z1592" s="7" t="s">
        <v>971</v>
      </c>
      <c r="AA1592" s="1">
        <v>1</v>
      </c>
      <c r="AI1592" s="7" t="s">
        <v>976</v>
      </c>
      <c r="AJ1592" s="40">
        <v>2</v>
      </c>
      <c r="AL1592" s="7" t="s">
        <v>977</v>
      </c>
      <c r="AM1592" s="27">
        <v>1</v>
      </c>
      <c r="BJ1592" s="7" t="s">
        <v>980</v>
      </c>
      <c r="BK1592" s="40">
        <v>180</v>
      </c>
      <c r="BL1592" s="40">
        <v>70</v>
      </c>
      <c r="BN1592" t="str">
        <f t="shared" si="127"/>
        <v>KoinWorks</v>
      </c>
      <c r="BO1592">
        <f t="shared" si="124"/>
        <v>344</v>
      </c>
      <c r="BP1592">
        <f t="shared" si="125"/>
        <v>350</v>
      </c>
      <c r="BQ1592">
        <f t="shared" si="126"/>
        <v>694</v>
      </c>
    </row>
    <row r="1593" spans="26:69" hidden="1" x14ac:dyDescent="0.25">
      <c r="Z1593" s="7" t="s">
        <v>972</v>
      </c>
      <c r="AA1593" s="1">
        <v>0</v>
      </c>
      <c r="AI1593" s="7" t="s">
        <v>977</v>
      </c>
      <c r="AJ1593" s="40">
        <v>1</v>
      </c>
      <c r="AL1593" s="7" t="s">
        <v>978</v>
      </c>
      <c r="AM1593" s="27">
        <v>2</v>
      </c>
      <c r="BJ1593" s="7" t="s">
        <v>981</v>
      </c>
      <c r="BK1593" s="40">
        <v>564</v>
      </c>
      <c r="BL1593" s="40">
        <v>101</v>
      </c>
      <c r="BN1593" t="str">
        <f t="shared" si="127"/>
        <v>Komodo Health</v>
      </c>
      <c r="BO1593">
        <f t="shared" si="124"/>
        <v>147</v>
      </c>
      <c r="BP1593">
        <f t="shared" si="125"/>
        <v>253</v>
      </c>
      <c r="BQ1593">
        <f t="shared" si="126"/>
        <v>400</v>
      </c>
    </row>
    <row r="1594" spans="26:69" hidden="1" x14ac:dyDescent="0.25">
      <c r="Z1594" s="7" t="s">
        <v>973</v>
      </c>
      <c r="AA1594" s="1">
        <v>0.1</v>
      </c>
      <c r="AI1594" s="7" t="s">
        <v>978</v>
      </c>
      <c r="AJ1594" s="40">
        <v>2</v>
      </c>
      <c r="AL1594" s="7" t="s">
        <v>979</v>
      </c>
      <c r="AM1594" s="27">
        <v>1</v>
      </c>
      <c r="BJ1594" s="7" t="s">
        <v>982</v>
      </c>
      <c r="BK1594" s="40">
        <v>706</v>
      </c>
      <c r="BL1594" s="40">
        <v>180</v>
      </c>
      <c r="BN1594" t="str">
        <f t="shared" si="127"/>
        <v>Konfio</v>
      </c>
      <c r="BO1594">
        <f t="shared" si="124"/>
        <v>125</v>
      </c>
      <c r="BP1594">
        <f t="shared" si="125"/>
        <v>169</v>
      </c>
      <c r="BQ1594">
        <f t="shared" si="126"/>
        <v>294</v>
      </c>
    </row>
    <row r="1595" spans="26:69" hidden="1" x14ac:dyDescent="0.25">
      <c r="Z1595" s="7" t="s">
        <v>974</v>
      </c>
      <c r="AA1595" s="1">
        <v>0.15</v>
      </c>
      <c r="AI1595" s="7" t="s">
        <v>979</v>
      </c>
      <c r="AJ1595" s="40">
        <v>1</v>
      </c>
      <c r="AL1595" s="7" t="s">
        <v>980</v>
      </c>
      <c r="AM1595" s="27">
        <v>1</v>
      </c>
      <c r="BJ1595" s="7" t="s">
        <v>983</v>
      </c>
      <c r="BK1595" s="40">
        <v>19</v>
      </c>
      <c r="BL1595" s="40">
        <v>12</v>
      </c>
      <c r="BN1595" t="str">
        <f t="shared" si="127"/>
        <v>Kongregate</v>
      </c>
      <c r="BO1595">
        <f t="shared" si="124"/>
        <v>647</v>
      </c>
      <c r="BP1595">
        <f t="shared" si="125"/>
        <v>640</v>
      </c>
      <c r="BQ1595">
        <f t="shared" si="126"/>
        <v>1287</v>
      </c>
    </row>
    <row r="1596" spans="26:69" hidden="1" x14ac:dyDescent="0.25">
      <c r="Z1596" s="7" t="s">
        <v>975</v>
      </c>
      <c r="AA1596" s="1">
        <v>0.46</v>
      </c>
      <c r="AI1596" s="7" t="s">
        <v>980</v>
      </c>
      <c r="AJ1596" s="40">
        <v>1</v>
      </c>
      <c r="AL1596" s="7" t="s">
        <v>981</v>
      </c>
      <c r="AM1596" s="27">
        <v>2</v>
      </c>
      <c r="BJ1596" s="7" t="s">
        <v>984</v>
      </c>
      <c r="BK1596" s="40">
        <v>53</v>
      </c>
      <c r="BL1596" s="40">
        <v>50</v>
      </c>
      <c r="BN1596" t="str">
        <f t="shared" si="127"/>
        <v>Kontist</v>
      </c>
      <c r="BO1596">
        <f t="shared" si="124"/>
        <v>538</v>
      </c>
      <c r="BP1596">
        <f t="shared" si="125"/>
        <v>410</v>
      </c>
      <c r="BQ1596">
        <f t="shared" si="126"/>
        <v>948</v>
      </c>
    </row>
    <row r="1597" spans="26:69" hidden="1" x14ac:dyDescent="0.25">
      <c r="Z1597" s="7" t="s">
        <v>976</v>
      </c>
      <c r="AA1597" s="1">
        <v>0.3</v>
      </c>
      <c r="AI1597" s="7" t="s">
        <v>981</v>
      </c>
      <c r="AJ1597" s="40">
        <v>2</v>
      </c>
      <c r="AL1597" s="7" t="s">
        <v>982</v>
      </c>
      <c r="AM1597" s="27">
        <v>1</v>
      </c>
      <c r="BJ1597" s="7" t="s">
        <v>985</v>
      </c>
      <c r="BK1597" s="40">
        <v>44</v>
      </c>
      <c r="BL1597" s="40">
        <v>40</v>
      </c>
      <c r="BN1597" t="str">
        <f t="shared" si="127"/>
        <v>Koo</v>
      </c>
      <c r="BO1597">
        <f t="shared" si="124"/>
        <v>562</v>
      </c>
      <c r="BP1597">
        <f t="shared" si="125"/>
        <v>454</v>
      </c>
      <c r="BQ1597">
        <f t="shared" si="126"/>
        <v>1016</v>
      </c>
    </row>
    <row r="1598" spans="26:69" hidden="1" x14ac:dyDescent="0.25">
      <c r="Z1598" s="7" t="s">
        <v>977</v>
      </c>
      <c r="AA1598" s="1">
        <v>0.2</v>
      </c>
      <c r="AI1598" s="7" t="s">
        <v>982</v>
      </c>
      <c r="AJ1598" s="40">
        <v>1</v>
      </c>
      <c r="AL1598" s="7" t="s">
        <v>983</v>
      </c>
      <c r="AM1598" s="27">
        <v>1</v>
      </c>
      <c r="BJ1598" s="7" t="s">
        <v>986</v>
      </c>
      <c r="BK1598" s="40">
        <v>134</v>
      </c>
      <c r="BL1598" s="40">
        <v>1100</v>
      </c>
      <c r="BN1598" t="str">
        <f t="shared" si="127"/>
        <v>Kraken</v>
      </c>
      <c r="BO1598">
        <f t="shared" si="124"/>
        <v>390</v>
      </c>
      <c r="BP1598">
        <f t="shared" si="125"/>
        <v>26</v>
      </c>
      <c r="BQ1598">
        <f t="shared" si="126"/>
        <v>416</v>
      </c>
    </row>
    <row r="1599" spans="26:69" hidden="1" x14ac:dyDescent="0.25">
      <c r="Z1599" s="7" t="s">
        <v>978</v>
      </c>
      <c r="AA1599" s="1">
        <v>0.14000000000000001</v>
      </c>
      <c r="AI1599" s="7" t="s">
        <v>983</v>
      </c>
      <c r="AJ1599" s="40">
        <v>1</v>
      </c>
      <c r="AL1599" s="7" t="s">
        <v>984</v>
      </c>
      <c r="AM1599" s="27">
        <v>1</v>
      </c>
      <c r="BJ1599" s="7" t="s">
        <v>987</v>
      </c>
      <c r="BK1599" s="40">
        <v>1136</v>
      </c>
      <c r="BL1599" s="40">
        <v>400</v>
      </c>
      <c r="BN1599" t="str">
        <f t="shared" si="127"/>
        <v>Kry</v>
      </c>
      <c r="BO1599">
        <f t="shared" si="124"/>
        <v>80</v>
      </c>
      <c r="BP1599">
        <f t="shared" si="125"/>
        <v>83</v>
      </c>
      <c r="BQ1599">
        <f t="shared" si="126"/>
        <v>163</v>
      </c>
    </row>
    <row r="1600" spans="26:69" hidden="1" x14ac:dyDescent="0.25">
      <c r="Z1600" s="7" t="s">
        <v>979</v>
      </c>
      <c r="AA1600" s="1">
        <v>0.14000000000000001</v>
      </c>
      <c r="AI1600" s="7" t="s">
        <v>984</v>
      </c>
      <c r="AJ1600" s="40">
        <v>1</v>
      </c>
      <c r="AL1600" s="7" t="s">
        <v>985</v>
      </c>
      <c r="AM1600" s="27">
        <v>1</v>
      </c>
      <c r="BJ1600" s="7" t="s">
        <v>988</v>
      </c>
      <c r="BK1600" s="40">
        <v>91</v>
      </c>
      <c r="BL1600" s="40">
        <v>23</v>
      </c>
      <c r="BN1600" t="str">
        <f t="shared" si="127"/>
        <v>Kuda</v>
      </c>
      <c r="BO1600">
        <f t="shared" si="124"/>
        <v>456</v>
      </c>
      <c r="BP1600">
        <f t="shared" si="125"/>
        <v>570</v>
      </c>
      <c r="BQ1600">
        <f t="shared" si="126"/>
        <v>1026</v>
      </c>
    </row>
    <row r="1601" spans="26:69" hidden="1" x14ac:dyDescent="0.25">
      <c r="Z1601" s="7" t="s">
        <v>980</v>
      </c>
      <c r="AA1601" s="1">
        <v>0.08</v>
      </c>
      <c r="AI1601" s="7" t="s">
        <v>985</v>
      </c>
      <c r="AJ1601" s="40">
        <v>1</v>
      </c>
      <c r="AL1601" s="7" t="s">
        <v>986</v>
      </c>
      <c r="AM1601" s="27">
        <v>1</v>
      </c>
      <c r="BJ1601" s="7" t="s">
        <v>989</v>
      </c>
      <c r="BK1601" s="40">
        <v>38</v>
      </c>
      <c r="BL1601" s="40">
        <v>90</v>
      </c>
      <c r="BN1601" t="str">
        <f t="shared" si="127"/>
        <v>Kueski</v>
      </c>
      <c r="BO1601">
        <f t="shared" si="124"/>
        <v>583</v>
      </c>
      <c r="BP1601">
        <f t="shared" si="125"/>
        <v>298</v>
      </c>
      <c r="BQ1601">
        <f t="shared" si="126"/>
        <v>881</v>
      </c>
    </row>
    <row r="1602" spans="26:69" hidden="1" x14ac:dyDescent="0.25">
      <c r="Z1602" s="7" t="s">
        <v>981</v>
      </c>
      <c r="AA1602" s="1">
        <v>0.09</v>
      </c>
      <c r="AI1602" s="7" t="s">
        <v>986</v>
      </c>
      <c r="AJ1602" s="40">
        <v>1</v>
      </c>
      <c r="AL1602" s="7" t="s">
        <v>987</v>
      </c>
      <c r="AM1602" s="27">
        <v>2</v>
      </c>
      <c r="BJ1602" s="7" t="s">
        <v>991</v>
      </c>
      <c r="BK1602" s="40">
        <v>1</v>
      </c>
      <c r="BL1602" s="40">
        <v>0</v>
      </c>
      <c r="BN1602" t="str">
        <f t="shared" si="127"/>
        <v>Kune</v>
      </c>
      <c r="BO1602">
        <f t="shared" si="124"/>
        <v>735</v>
      </c>
      <c r="BP1602">
        <f t="shared" si="125"/>
        <v>683</v>
      </c>
      <c r="BQ1602">
        <f t="shared" si="126"/>
        <v>1418</v>
      </c>
    </row>
    <row r="1603" spans="26:69" hidden="1" x14ac:dyDescent="0.25">
      <c r="Z1603" s="7" t="s">
        <v>982</v>
      </c>
      <c r="AA1603" s="1">
        <v>0</v>
      </c>
      <c r="AI1603" s="7" t="s">
        <v>987</v>
      </c>
      <c r="AJ1603" s="40">
        <v>2</v>
      </c>
      <c r="AL1603" s="7" t="s">
        <v>988</v>
      </c>
      <c r="AM1603" s="27">
        <v>1</v>
      </c>
      <c r="BJ1603" s="7" t="s">
        <v>992</v>
      </c>
      <c r="BK1603" s="40">
        <v>183</v>
      </c>
      <c r="BL1603" s="40">
        <v>70</v>
      </c>
      <c r="BN1603" t="str">
        <f t="shared" si="127"/>
        <v>Kyruus</v>
      </c>
      <c r="BO1603">
        <f t="shared" si="124"/>
        <v>339</v>
      </c>
      <c r="BP1603">
        <f t="shared" si="125"/>
        <v>350</v>
      </c>
      <c r="BQ1603">
        <f t="shared" si="126"/>
        <v>689</v>
      </c>
    </row>
    <row r="1604" spans="26:69" hidden="1" x14ac:dyDescent="0.25">
      <c r="Z1604" s="7" t="s">
        <v>983</v>
      </c>
      <c r="AA1604" s="1">
        <v>0</v>
      </c>
      <c r="AI1604" s="7" t="s">
        <v>988</v>
      </c>
      <c r="AJ1604" s="40">
        <v>1</v>
      </c>
      <c r="AL1604" s="7" t="s">
        <v>989</v>
      </c>
      <c r="AM1604" s="27">
        <v>1</v>
      </c>
      <c r="BJ1604" s="7" t="s">
        <v>993</v>
      </c>
      <c r="BK1604" s="40">
        <v>188</v>
      </c>
      <c r="BL1604" s="40">
        <v>36</v>
      </c>
      <c r="BN1604" t="str">
        <f t="shared" si="127"/>
        <v>Labelbox</v>
      </c>
      <c r="BO1604">
        <f t="shared" si="124"/>
        <v>335</v>
      </c>
      <c r="BP1604">
        <f t="shared" si="125"/>
        <v>490</v>
      </c>
      <c r="BQ1604">
        <f t="shared" si="126"/>
        <v>825</v>
      </c>
    </row>
    <row r="1605" spans="26:69" hidden="1" x14ac:dyDescent="0.25">
      <c r="Z1605" s="7" t="s">
        <v>984</v>
      </c>
      <c r="AA1605" s="1">
        <v>0.25</v>
      </c>
      <c r="AI1605" s="7" t="s">
        <v>989</v>
      </c>
      <c r="AJ1605" s="40">
        <v>1</v>
      </c>
      <c r="AL1605" s="7" t="s">
        <v>991</v>
      </c>
      <c r="AM1605" s="27">
        <v>1</v>
      </c>
      <c r="BJ1605" s="7" t="s">
        <v>994</v>
      </c>
      <c r="BK1605" s="40">
        <v>34</v>
      </c>
      <c r="BL1605" s="40">
        <v>40</v>
      </c>
      <c r="BN1605" t="str">
        <f t="shared" si="127"/>
        <v>Labster</v>
      </c>
      <c r="BO1605">
        <f t="shared" si="124"/>
        <v>591</v>
      </c>
      <c r="BP1605">
        <f t="shared" si="125"/>
        <v>454</v>
      </c>
      <c r="BQ1605">
        <f t="shared" si="126"/>
        <v>1045</v>
      </c>
    </row>
    <row r="1606" spans="26:69" hidden="1" x14ac:dyDescent="0.25">
      <c r="Z1606" s="7" t="s">
        <v>985</v>
      </c>
      <c r="AA1606" s="1">
        <v>0</v>
      </c>
      <c r="AI1606" s="7" t="s">
        <v>991</v>
      </c>
      <c r="AJ1606" s="40">
        <v>1</v>
      </c>
      <c r="AL1606" s="7" t="s">
        <v>992</v>
      </c>
      <c r="AM1606" s="27">
        <v>1</v>
      </c>
      <c r="BJ1606" s="7" t="s">
        <v>995</v>
      </c>
      <c r="BK1606" s="40">
        <v>1900</v>
      </c>
      <c r="BL1606" s="40">
        <v>300</v>
      </c>
      <c r="BN1606" t="str">
        <f t="shared" si="127"/>
        <v>Lacework</v>
      </c>
      <c r="BO1606">
        <f t="shared" si="124"/>
        <v>43</v>
      </c>
      <c r="BP1606">
        <f t="shared" si="125"/>
        <v>103</v>
      </c>
      <c r="BQ1606">
        <f t="shared" si="126"/>
        <v>146</v>
      </c>
    </row>
    <row r="1607" spans="26:69" hidden="1" x14ac:dyDescent="0.25">
      <c r="Z1607" s="7" t="s">
        <v>986</v>
      </c>
      <c r="AA1607" s="1">
        <v>0.3</v>
      </c>
      <c r="AI1607" s="7" t="s">
        <v>992</v>
      </c>
      <c r="AJ1607" s="40">
        <v>1</v>
      </c>
      <c r="AL1607" s="7" t="s">
        <v>993</v>
      </c>
      <c r="AM1607" s="27">
        <v>1</v>
      </c>
      <c r="BJ1607" s="7" t="s">
        <v>996</v>
      </c>
      <c r="BK1607" s="40">
        <v>94</v>
      </c>
      <c r="BL1607" s="40">
        <v>13</v>
      </c>
      <c r="BN1607" t="str">
        <f t="shared" si="127"/>
        <v>Ladder Life</v>
      </c>
      <c r="BO1607">
        <f t="shared" si="124"/>
        <v>451</v>
      </c>
      <c r="BP1607">
        <f t="shared" si="125"/>
        <v>634</v>
      </c>
      <c r="BQ1607">
        <f t="shared" si="126"/>
        <v>1085</v>
      </c>
    </row>
    <row r="1608" spans="26:69" hidden="1" x14ac:dyDescent="0.25">
      <c r="Z1608" s="7" t="s">
        <v>987</v>
      </c>
      <c r="AA1608" s="1">
        <v>0.1</v>
      </c>
      <c r="AI1608" s="7" t="s">
        <v>993</v>
      </c>
      <c r="AJ1608" s="40">
        <v>1</v>
      </c>
      <c r="AL1608" s="7" t="s">
        <v>994</v>
      </c>
      <c r="AM1608" s="27">
        <v>1</v>
      </c>
      <c r="BJ1608" s="7" t="s">
        <v>997</v>
      </c>
      <c r="BK1608" s="40">
        <v>0</v>
      </c>
      <c r="BL1608" s="40">
        <v>1300</v>
      </c>
      <c r="BN1608" t="str">
        <f t="shared" si="127"/>
        <v>Lam Research</v>
      </c>
      <c r="BO1608">
        <f t="shared" si="124"/>
        <v>742</v>
      </c>
      <c r="BP1608">
        <f t="shared" si="125"/>
        <v>21</v>
      </c>
      <c r="BQ1608">
        <f t="shared" si="126"/>
        <v>763</v>
      </c>
    </row>
    <row r="1609" spans="26:69" hidden="1" x14ac:dyDescent="0.25">
      <c r="Z1609" s="7" t="s">
        <v>988</v>
      </c>
      <c r="AA1609" s="1">
        <v>0.05</v>
      </c>
      <c r="AI1609" s="7" t="s">
        <v>994</v>
      </c>
      <c r="AJ1609" s="40">
        <v>1</v>
      </c>
      <c r="AL1609" s="7" t="s">
        <v>995</v>
      </c>
      <c r="AM1609" s="27">
        <v>1</v>
      </c>
      <c r="BJ1609" s="7" t="s">
        <v>998</v>
      </c>
      <c r="BK1609" s="40">
        <v>170</v>
      </c>
      <c r="BL1609" s="40">
        <v>84</v>
      </c>
      <c r="BN1609" t="str">
        <f t="shared" si="127"/>
        <v>Lambda School</v>
      </c>
      <c r="BO1609">
        <f t="shared" ref="BO1609:BO1662" si="128">RANK($BK$839:$BK$1662,$BK$839:$BK$1662,0)</f>
        <v>350</v>
      </c>
      <c r="BP1609">
        <f t="shared" ref="BP1609:BP1662" si="129">RANK($BL$840:$BL$1662,$BL$840:$BL$1662,0)</f>
        <v>316</v>
      </c>
      <c r="BQ1609">
        <f t="shared" ref="BQ1609:BQ1662" si="130">BO1609+BP1609</f>
        <v>666</v>
      </c>
    </row>
    <row r="1610" spans="26:69" hidden="1" x14ac:dyDescent="0.25">
      <c r="Z1610" s="7" t="s">
        <v>989</v>
      </c>
      <c r="AA1610" s="1">
        <v>0.3</v>
      </c>
      <c r="AI1610" s="7" t="s">
        <v>995</v>
      </c>
      <c r="AJ1610" s="40">
        <v>1</v>
      </c>
      <c r="AL1610" s="7" t="s">
        <v>996</v>
      </c>
      <c r="AM1610" s="27">
        <v>1</v>
      </c>
      <c r="BJ1610" s="7" t="s">
        <v>999</v>
      </c>
      <c r="BK1610" s="40">
        <v>347</v>
      </c>
      <c r="BL1610" s="40">
        <v>110</v>
      </c>
      <c r="BN1610" t="str">
        <f t="shared" si="127"/>
        <v>Landing</v>
      </c>
      <c r="BO1610">
        <f t="shared" si="128"/>
        <v>222</v>
      </c>
      <c r="BP1610">
        <f t="shared" si="129"/>
        <v>248</v>
      </c>
      <c r="BQ1610">
        <f t="shared" si="130"/>
        <v>470</v>
      </c>
    </row>
    <row r="1611" spans="26:69" hidden="1" x14ac:dyDescent="0.25">
      <c r="Z1611" s="7" t="s">
        <v>991</v>
      </c>
      <c r="AA1611" s="1">
        <v>1</v>
      </c>
      <c r="AI1611" s="7" t="s">
        <v>996</v>
      </c>
      <c r="AJ1611" s="40">
        <v>1</v>
      </c>
      <c r="AL1611" s="7" t="s">
        <v>997</v>
      </c>
      <c r="AM1611" s="27">
        <v>1</v>
      </c>
      <c r="BJ1611" s="7" t="s">
        <v>1001</v>
      </c>
      <c r="BK1611" s="40">
        <v>40</v>
      </c>
      <c r="BL1611" s="40">
        <v>0</v>
      </c>
      <c r="BN1611" t="str">
        <f t="shared" si="127"/>
        <v>Lantern</v>
      </c>
      <c r="BO1611">
        <f t="shared" si="128"/>
        <v>575</v>
      </c>
      <c r="BP1611">
        <f t="shared" si="129"/>
        <v>683</v>
      </c>
      <c r="BQ1611">
        <f t="shared" si="130"/>
        <v>1258</v>
      </c>
    </row>
    <row r="1612" spans="26:69" hidden="1" x14ac:dyDescent="0.25">
      <c r="Z1612" s="7" t="s">
        <v>992</v>
      </c>
      <c r="AA1612" s="1">
        <v>0</v>
      </c>
      <c r="AI1612" s="7" t="s">
        <v>997</v>
      </c>
      <c r="AJ1612" s="40">
        <v>1</v>
      </c>
      <c r="AL1612" s="7" t="s">
        <v>998</v>
      </c>
      <c r="AM1612" s="27">
        <v>2</v>
      </c>
      <c r="BJ1612" s="7" t="s">
        <v>1002</v>
      </c>
      <c r="BK1612" s="40">
        <v>52</v>
      </c>
      <c r="BL1612" s="40">
        <v>50</v>
      </c>
      <c r="BN1612" t="str">
        <f t="shared" si="127"/>
        <v>Lastline</v>
      </c>
      <c r="BO1612">
        <f t="shared" si="128"/>
        <v>539</v>
      </c>
      <c r="BP1612">
        <f t="shared" si="129"/>
        <v>410</v>
      </c>
      <c r="BQ1612">
        <f t="shared" si="130"/>
        <v>949</v>
      </c>
    </row>
    <row r="1613" spans="26:69" hidden="1" x14ac:dyDescent="0.25">
      <c r="Z1613" s="7" t="s">
        <v>993</v>
      </c>
      <c r="AA1613" s="1">
        <v>0</v>
      </c>
      <c r="AI1613" s="7" t="s">
        <v>998</v>
      </c>
      <c r="AJ1613" s="40">
        <v>2</v>
      </c>
      <c r="AL1613" s="7" t="s">
        <v>999</v>
      </c>
      <c r="AM1613" s="27">
        <v>1</v>
      </c>
      <c r="BJ1613" s="7" t="s">
        <v>1003</v>
      </c>
      <c r="BK1613" s="40">
        <v>1178</v>
      </c>
      <c r="BL1613" s="40">
        <v>335</v>
      </c>
      <c r="BN1613" t="str">
        <f t="shared" si="127"/>
        <v>Latch</v>
      </c>
      <c r="BO1613">
        <f t="shared" si="128"/>
        <v>79</v>
      </c>
      <c r="BP1613">
        <f t="shared" si="129"/>
        <v>97</v>
      </c>
      <c r="BQ1613">
        <f t="shared" si="130"/>
        <v>176</v>
      </c>
    </row>
    <row r="1614" spans="26:69" hidden="1" x14ac:dyDescent="0.25">
      <c r="Z1614" s="7" t="s">
        <v>994</v>
      </c>
      <c r="AA1614" s="1">
        <v>0</v>
      </c>
      <c r="AI1614" s="7" t="s">
        <v>999</v>
      </c>
      <c r="AJ1614" s="40">
        <v>1</v>
      </c>
      <c r="AL1614" s="7" t="s">
        <v>1001</v>
      </c>
      <c r="AM1614" s="27">
        <v>1</v>
      </c>
      <c r="BJ1614" s="7" t="s">
        <v>1004</v>
      </c>
      <c r="BK1614" s="40">
        <v>705</v>
      </c>
      <c r="BL1614" s="40">
        <v>29</v>
      </c>
      <c r="BN1614" t="str">
        <f t="shared" si="127"/>
        <v>Lattice</v>
      </c>
      <c r="BO1614">
        <f t="shared" si="128"/>
        <v>126</v>
      </c>
      <c r="BP1614">
        <f t="shared" si="129"/>
        <v>541</v>
      </c>
      <c r="BQ1614">
        <f t="shared" si="130"/>
        <v>667</v>
      </c>
    </row>
    <row r="1615" spans="26:69" hidden="1" x14ac:dyDescent="0.25">
      <c r="Z1615" s="7" t="s">
        <v>995</v>
      </c>
      <c r="AA1615" s="1">
        <v>0.2</v>
      </c>
      <c r="AI1615" s="7" t="s">
        <v>1001</v>
      </c>
      <c r="AJ1615" s="40">
        <v>1</v>
      </c>
      <c r="AL1615" s="7" t="s">
        <v>1002</v>
      </c>
      <c r="AM1615" s="27">
        <v>1</v>
      </c>
      <c r="BJ1615" s="7" t="s">
        <v>1005</v>
      </c>
      <c r="BK1615" s="40">
        <v>41</v>
      </c>
      <c r="BL1615" s="40">
        <v>30</v>
      </c>
      <c r="BN1615" t="str">
        <f t="shared" si="127"/>
        <v>Lawgeex</v>
      </c>
      <c r="BO1615">
        <f t="shared" si="128"/>
        <v>568</v>
      </c>
      <c r="BP1615">
        <f t="shared" si="129"/>
        <v>512</v>
      </c>
      <c r="BQ1615">
        <f t="shared" si="130"/>
        <v>1080</v>
      </c>
    </row>
    <row r="1616" spans="26:69" hidden="1" x14ac:dyDescent="0.25">
      <c r="Z1616" s="7" t="s">
        <v>996</v>
      </c>
      <c r="AA1616" s="1">
        <v>0.25</v>
      </c>
      <c r="AI1616" s="7" t="s">
        <v>1002</v>
      </c>
      <c r="AJ1616" s="40">
        <v>1</v>
      </c>
      <c r="AL1616" s="7" t="s">
        <v>1003</v>
      </c>
      <c r="AM1616" s="27">
        <v>4</v>
      </c>
      <c r="BJ1616" s="7" t="s">
        <v>1006</v>
      </c>
      <c r="BK1616" s="40">
        <v>130</v>
      </c>
      <c r="BL1616" s="40">
        <v>45</v>
      </c>
      <c r="BN1616" t="str">
        <f t="shared" si="127"/>
        <v>Laybuy</v>
      </c>
      <c r="BO1616">
        <f t="shared" si="128"/>
        <v>396</v>
      </c>
      <c r="BP1616">
        <f t="shared" si="129"/>
        <v>441</v>
      </c>
      <c r="BQ1616">
        <f t="shared" si="130"/>
        <v>837</v>
      </c>
    </row>
    <row r="1617" spans="26:69" hidden="1" x14ac:dyDescent="0.25">
      <c r="Z1617" s="7" t="s">
        <v>997</v>
      </c>
      <c r="AA1617" s="1">
        <v>7.0000000000000007E-2</v>
      </c>
      <c r="AI1617" s="7" t="s">
        <v>1003</v>
      </c>
      <c r="AJ1617" s="40">
        <v>4</v>
      </c>
      <c r="AL1617" s="7" t="s">
        <v>1004</v>
      </c>
      <c r="AM1617" s="27">
        <v>3</v>
      </c>
      <c r="BJ1617" s="7" t="s">
        <v>1009</v>
      </c>
      <c r="BK1617" s="40">
        <v>62</v>
      </c>
      <c r="BL1617" s="40">
        <v>0</v>
      </c>
      <c r="BN1617" t="str">
        <f t="shared" si="127"/>
        <v>Le Tote</v>
      </c>
      <c r="BO1617">
        <f t="shared" si="128"/>
        <v>511</v>
      </c>
      <c r="BP1617">
        <f t="shared" si="129"/>
        <v>683</v>
      </c>
      <c r="BQ1617">
        <f t="shared" si="130"/>
        <v>1194</v>
      </c>
    </row>
    <row r="1618" spans="26:69" hidden="1" x14ac:dyDescent="0.25">
      <c r="Z1618" s="7" t="s">
        <v>998</v>
      </c>
      <c r="AA1618" s="1">
        <v>0</v>
      </c>
      <c r="AI1618" s="7" t="s">
        <v>1004</v>
      </c>
      <c r="AJ1618" s="40">
        <v>3</v>
      </c>
      <c r="AL1618" s="7" t="s">
        <v>1005</v>
      </c>
      <c r="AM1618" s="27">
        <v>1</v>
      </c>
      <c r="BJ1618" s="7" t="s">
        <v>1010</v>
      </c>
      <c r="BK1618" s="40">
        <v>356</v>
      </c>
      <c r="BL1618" s="40">
        <v>140</v>
      </c>
      <c r="BN1618" t="str">
        <f t="shared" si="127"/>
        <v>LEAD</v>
      </c>
      <c r="BO1618">
        <f t="shared" si="128"/>
        <v>212</v>
      </c>
      <c r="BP1618">
        <f t="shared" si="129"/>
        <v>212</v>
      </c>
      <c r="BQ1618">
        <f t="shared" si="130"/>
        <v>424</v>
      </c>
    </row>
    <row r="1619" spans="26:69" hidden="1" x14ac:dyDescent="0.25">
      <c r="Z1619" s="7" t="s">
        <v>999</v>
      </c>
      <c r="AA1619" s="1">
        <v>0</v>
      </c>
      <c r="AI1619" s="7" t="s">
        <v>1005</v>
      </c>
      <c r="AJ1619" s="40">
        <v>1</v>
      </c>
      <c r="AL1619" s="7" t="s">
        <v>1006</v>
      </c>
      <c r="AM1619" s="27">
        <v>1</v>
      </c>
      <c r="BJ1619" s="7" t="s">
        <v>1011</v>
      </c>
      <c r="BK1619" s="40">
        <v>379</v>
      </c>
      <c r="BL1619" s="40">
        <v>80</v>
      </c>
      <c r="BN1619" t="str">
        <f t="shared" si="127"/>
        <v>LeafLink</v>
      </c>
      <c r="BO1619">
        <f t="shared" si="128"/>
        <v>204</v>
      </c>
      <c r="BP1619">
        <f t="shared" si="129"/>
        <v>322</v>
      </c>
      <c r="BQ1619">
        <f t="shared" si="130"/>
        <v>526</v>
      </c>
    </row>
    <row r="1620" spans="26:69" hidden="1" x14ac:dyDescent="0.25">
      <c r="Z1620" s="7" t="s">
        <v>1001</v>
      </c>
      <c r="AA1620" s="1">
        <v>1</v>
      </c>
      <c r="AI1620" s="7" t="s">
        <v>1006</v>
      </c>
      <c r="AJ1620" s="40">
        <v>1</v>
      </c>
      <c r="AL1620" s="7" t="s">
        <v>1009</v>
      </c>
      <c r="AM1620" s="27">
        <v>1</v>
      </c>
      <c r="BJ1620" s="7" t="s">
        <v>1012</v>
      </c>
      <c r="BK1620" s="40">
        <v>73</v>
      </c>
      <c r="BL1620" s="40">
        <v>147</v>
      </c>
      <c r="BN1620" t="str">
        <f t="shared" ref="BN1620:BN1662" si="131">VLOOKUP(BJ1620,BJ1620:BL2431,1,0)</f>
        <v>Leafly</v>
      </c>
      <c r="BO1620">
        <f t="shared" si="128"/>
        <v>490</v>
      </c>
      <c r="BP1620">
        <f t="shared" si="129"/>
        <v>206</v>
      </c>
      <c r="BQ1620">
        <f t="shared" si="130"/>
        <v>696</v>
      </c>
    </row>
    <row r="1621" spans="26:69" hidden="1" x14ac:dyDescent="0.25">
      <c r="Z1621" s="7" t="s">
        <v>1002</v>
      </c>
      <c r="AA1621" s="1">
        <v>0.4</v>
      </c>
      <c r="AI1621" s="7" t="s">
        <v>1009</v>
      </c>
      <c r="AJ1621" s="40">
        <v>1</v>
      </c>
      <c r="AL1621" s="7" t="s">
        <v>1010</v>
      </c>
      <c r="AM1621" s="27">
        <v>2</v>
      </c>
      <c r="BJ1621" s="7" t="s">
        <v>1013</v>
      </c>
      <c r="BK1621" s="40">
        <v>56</v>
      </c>
      <c r="BL1621" s="40">
        <v>27</v>
      </c>
      <c r="BN1621" t="str">
        <f t="shared" si="131"/>
        <v>LearnUpon</v>
      </c>
      <c r="BO1621">
        <f t="shared" si="128"/>
        <v>530</v>
      </c>
      <c r="BP1621">
        <f t="shared" si="129"/>
        <v>546</v>
      </c>
      <c r="BQ1621">
        <f t="shared" si="130"/>
        <v>1076</v>
      </c>
    </row>
    <row r="1622" spans="26:69" hidden="1" x14ac:dyDescent="0.25">
      <c r="Z1622" s="7" t="s">
        <v>1003</v>
      </c>
      <c r="AA1622" s="1">
        <v>0.37</v>
      </c>
      <c r="AI1622" s="7" t="s">
        <v>1010</v>
      </c>
      <c r="AJ1622" s="40">
        <v>2</v>
      </c>
      <c r="AL1622" s="7" t="s">
        <v>1011</v>
      </c>
      <c r="AM1622" s="27">
        <v>1</v>
      </c>
      <c r="BJ1622" s="7" t="s">
        <v>1014</v>
      </c>
      <c r="BK1622" s="40">
        <v>3</v>
      </c>
      <c r="BL1622" s="40">
        <v>23</v>
      </c>
      <c r="BN1622" t="str">
        <f t="shared" si="131"/>
        <v>Legible</v>
      </c>
      <c r="BO1622">
        <f t="shared" si="128"/>
        <v>719</v>
      </c>
      <c r="BP1622">
        <f t="shared" si="129"/>
        <v>570</v>
      </c>
      <c r="BQ1622">
        <f t="shared" si="130"/>
        <v>1289</v>
      </c>
    </row>
    <row r="1623" spans="26:69" hidden="1" x14ac:dyDescent="0.25">
      <c r="Z1623" s="7" t="s">
        <v>1004</v>
      </c>
      <c r="AA1623" s="1">
        <v>0.15</v>
      </c>
      <c r="AI1623" s="7" t="s">
        <v>1011</v>
      </c>
      <c r="AJ1623" s="40">
        <v>1</v>
      </c>
      <c r="AL1623" s="7" t="s">
        <v>1012</v>
      </c>
      <c r="AM1623" s="27">
        <v>2</v>
      </c>
      <c r="BJ1623" s="7" t="s">
        <v>1015</v>
      </c>
      <c r="BK1623" s="40">
        <v>17</v>
      </c>
      <c r="BL1623" s="40">
        <v>100</v>
      </c>
      <c r="BN1623" t="str">
        <f t="shared" si="131"/>
        <v>Lemon</v>
      </c>
      <c r="BO1623">
        <f t="shared" si="128"/>
        <v>653</v>
      </c>
      <c r="BP1623">
        <f t="shared" si="129"/>
        <v>254</v>
      </c>
      <c r="BQ1623">
        <f t="shared" si="130"/>
        <v>907</v>
      </c>
    </row>
    <row r="1624" spans="26:69" hidden="1" x14ac:dyDescent="0.25">
      <c r="Z1624" s="7" t="s">
        <v>1005</v>
      </c>
      <c r="AA1624" s="1">
        <v>0.33</v>
      </c>
      <c r="AI1624" s="7" t="s">
        <v>1012</v>
      </c>
      <c r="AJ1624" s="40">
        <v>2</v>
      </c>
      <c r="AL1624" s="7" t="s">
        <v>1013</v>
      </c>
      <c r="AM1624" s="27">
        <v>1</v>
      </c>
      <c r="BJ1624" s="7" t="s">
        <v>1016</v>
      </c>
      <c r="BK1624" s="40">
        <v>481</v>
      </c>
      <c r="BL1624" s="40">
        <v>52</v>
      </c>
      <c r="BN1624" t="str">
        <f t="shared" si="131"/>
        <v>Lemonade</v>
      </c>
      <c r="BO1624">
        <f t="shared" si="128"/>
        <v>172</v>
      </c>
      <c r="BP1624">
        <f t="shared" si="129"/>
        <v>406</v>
      </c>
      <c r="BQ1624">
        <f t="shared" si="130"/>
        <v>578</v>
      </c>
    </row>
    <row r="1625" spans="26:69" hidden="1" x14ac:dyDescent="0.25">
      <c r="Z1625" s="7" t="s">
        <v>1006</v>
      </c>
      <c r="AA1625" s="1">
        <v>0</v>
      </c>
      <c r="AI1625" s="7" t="s">
        <v>1013</v>
      </c>
      <c r="AJ1625" s="40">
        <v>1</v>
      </c>
      <c r="AL1625" s="7" t="s">
        <v>1014</v>
      </c>
      <c r="AM1625" s="27">
        <v>1</v>
      </c>
      <c r="BJ1625" s="7" t="s">
        <v>1017</v>
      </c>
      <c r="BK1625" s="40">
        <v>59</v>
      </c>
      <c r="BL1625" s="40">
        <v>100</v>
      </c>
      <c r="BN1625" t="str">
        <f t="shared" si="131"/>
        <v>Lendi</v>
      </c>
      <c r="BO1625">
        <f t="shared" si="128"/>
        <v>518</v>
      </c>
      <c r="BP1625">
        <f t="shared" si="129"/>
        <v>254</v>
      </c>
      <c r="BQ1625">
        <f t="shared" si="130"/>
        <v>772</v>
      </c>
    </row>
    <row r="1626" spans="26:69" hidden="1" x14ac:dyDescent="0.25">
      <c r="Z1626" s="7" t="s">
        <v>1009</v>
      </c>
      <c r="AA1626" s="1">
        <v>0.5</v>
      </c>
      <c r="AI1626" s="7" t="s">
        <v>1014</v>
      </c>
      <c r="AJ1626" s="40">
        <v>1</v>
      </c>
      <c r="AL1626" s="7" t="s">
        <v>1015</v>
      </c>
      <c r="AM1626" s="27">
        <v>1</v>
      </c>
      <c r="BJ1626" s="7" t="s">
        <v>1018</v>
      </c>
      <c r="BK1626" s="40">
        <v>784</v>
      </c>
      <c r="BL1626" s="40">
        <v>685</v>
      </c>
      <c r="BN1626" t="str">
        <f t="shared" si="131"/>
        <v>Lending Club</v>
      </c>
      <c r="BO1626">
        <f t="shared" si="128"/>
        <v>110</v>
      </c>
      <c r="BP1626">
        <f t="shared" si="129"/>
        <v>48</v>
      </c>
      <c r="BQ1626">
        <f t="shared" si="130"/>
        <v>158</v>
      </c>
    </row>
    <row r="1627" spans="26:69" hidden="1" x14ac:dyDescent="0.25">
      <c r="Z1627" s="7" t="s">
        <v>1010</v>
      </c>
      <c r="AA1627" s="1">
        <v>0.04</v>
      </c>
      <c r="AI1627" s="7" t="s">
        <v>1015</v>
      </c>
      <c r="AJ1627" s="40">
        <v>1</v>
      </c>
      <c r="AL1627" s="7" t="s">
        <v>1016</v>
      </c>
      <c r="AM1627" s="27">
        <v>1</v>
      </c>
      <c r="BJ1627" s="7" t="s">
        <v>1019</v>
      </c>
      <c r="BK1627" s="40">
        <v>200</v>
      </c>
      <c r="BL1627" s="40">
        <v>500</v>
      </c>
      <c r="BN1627" t="str">
        <f t="shared" si="131"/>
        <v>Lendingkart</v>
      </c>
      <c r="BO1627">
        <f t="shared" si="128"/>
        <v>322</v>
      </c>
      <c r="BP1627">
        <f t="shared" si="129"/>
        <v>66</v>
      </c>
      <c r="BQ1627">
        <f t="shared" si="130"/>
        <v>388</v>
      </c>
    </row>
    <row r="1628" spans="26:69" hidden="1" x14ac:dyDescent="0.25">
      <c r="Z1628" s="7" t="s">
        <v>1011</v>
      </c>
      <c r="AA1628" s="1">
        <v>0.31</v>
      </c>
      <c r="AI1628" s="7" t="s">
        <v>1016</v>
      </c>
      <c r="AJ1628" s="40">
        <v>1</v>
      </c>
      <c r="AL1628" s="7" t="s">
        <v>1017</v>
      </c>
      <c r="AM1628" s="27">
        <v>1</v>
      </c>
      <c r="BJ1628" s="7" t="s">
        <v>1021</v>
      </c>
      <c r="BK1628" s="40">
        <v>0</v>
      </c>
      <c r="BL1628" s="40">
        <v>200</v>
      </c>
      <c r="BN1628" t="str">
        <f t="shared" si="131"/>
        <v>LendingTree</v>
      </c>
      <c r="BO1628">
        <f t="shared" si="128"/>
        <v>742</v>
      </c>
      <c r="BP1628">
        <f t="shared" si="129"/>
        <v>147</v>
      </c>
      <c r="BQ1628">
        <f t="shared" si="130"/>
        <v>889</v>
      </c>
    </row>
    <row r="1629" spans="26:69" hidden="1" x14ac:dyDescent="0.25">
      <c r="Z1629" s="7" t="s">
        <v>1012</v>
      </c>
      <c r="AA1629" s="1">
        <v>0.5</v>
      </c>
      <c r="AI1629" s="7" t="s">
        <v>1017</v>
      </c>
      <c r="AJ1629" s="40">
        <v>1</v>
      </c>
      <c r="AL1629" s="7" t="s">
        <v>1018</v>
      </c>
      <c r="AM1629" s="27">
        <v>2</v>
      </c>
      <c r="BJ1629" s="7" t="s">
        <v>1023</v>
      </c>
      <c r="BK1629" s="40">
        <v>180</v>
      </c>
      <c r="BL1629" s="40">
        <v>18</v>
      </c>
      <c r="BN1629" t="str">
        <f t="shared" si="131"/>
        <v>Lendis</v>
      </c>
      <c r="BO1629">
        <f t="shared" si="128"/>
        <v>344</v>
      </c>
      <c r="BP1629">
        <f t="shared" si="129"/>
        <v>607</v>
      </c>
      <c r="BQ1629">
        <f t="shared" si="130"/>
        <v>951</v>
      </c>
    </row>
    <row r="1630" spans="26:69" hidden="1" x14ac:dyDescent="0.25">
      <c r="Z1630" s="7" t="s">
        <v>1013</v>
      </c>
      <c r="AA1630" s="1">
        <v>0.09</v>
      </c>
      <c r="AI1630" s="7" t="s">
        <v>1018</v>
      </c>
      <c r="AJ1630" s="40">
        <v>2</v>
      </c>
      <c r="AL1630" s="7" t="s">
        <v>1019</v>
      </c>
      <c r="AM1630" s="27">
        <v>1</v>
      </c>
      <c r="BJ1630" s="7" t="s">
        <v>1024</v>
      </c>
      <c r="BK1630" s="40">
        <v>114</v>
      </c>
      <c r="BL1630" s="40">
        <v>30</v>
      </c>
      <c r="BN1630" t="str">
        <f t="shared" si="131"/>
        <v>Lev</v>
      </c>
      <c r="BO1630">
        <f t="shared" si="128"/>
        <v>417</v>
      </c>
      <c r="BP1630">
        <f t="shared" si="129"/>
        <v>512</v>
      </c>
      <c r="BQ1630">
        <f t="shared" si="130"/>
        <v>929</v>
      </c>
    </row>
    <row r="1631" spans="26:69" hidden="1" x14ac:dyDescent="0.25">
      <c r="Z1631" s="7" t="s">
        <v>1014</v>
      </c>
      <c r="AA1631" s="1">
        <v>0.38</v>
      </c>
      <c r="AI1631" s="7" t="s">
        <v>1019</v>
      </c>
      <c r="AJ1631" s="40">
        <v>1</v>
      </c>
      <c r="AL1631" s="7" t="s">
        <v>1021</v>
      </c>
      <c r="AM1631" s="27">
        <v>1</v>
      </c>
      <c r="BJ1631" s="7" t="s">
        <v>1025</v>
      </c>
      <c r="BK1631" s="40">
        <v>72</v>
      </c>
      <c r="BL1631" s="40">
        <v>86</v>
      </c>
      <c r="BN1631" t="str">
        <f t="shared" si="131"/>
        <v>Lever</v>
      </c>
      <c r="BO1631">
        <f t="shared" si="128"/>
        <v>491</v>
      </c>
      <c r="BP1631">
        <f t="shared" si="129"/>
        <v>313</v>
      </c>
      <c r="BQ1631">
        <f t="shared" si="130"/>
        <v>804</v>
      </c>
    </row>
    <row r="1632" spans="26:69" hidden="1" x14ac:dyDescent="0.25">
      <c r="Z1632" s="7" t="s">
        <v>1015</v>
      </c>
      <c r="AA1632" s="1">
        <v>0.38</v>
      </c>
      <c r="AI1632" s="7" t="s">
        <v>1021</v>
      </c>
      <c r="AJ1632" s="40">
        <v>1</v>
      </c>
      <c r="AL1632" s="7" t="s">
        <v>1023</v>
      </c>
      <c r="AM1632" s="27">
        <v>2</v>
      </c>
      <c r="BJ1632" s="7" t="s">
        <v>1026</v>
      </c>
      <c r="BK1632" s="40">
        <v>24</v>
      </c>
      <c r="BL1632" s="40">
        <v>150</v>
      </c>
      <c r="BN1632" t="str">
        <f t="shared" si="131"/>
        <v>Lido</v>
      </c>
      <c r="BO1632">
        <f t="shared" si="128"/>
        <v>621</v>
      </c>
      <c r="BP1632">
        <f t="shared" si="129"/>
        <v>193</v>
      </c>
      <c r="BQ1632">
        <f t="shared" si="130"/>
        <v>814</v>
      </c>
    </row>
    <row r="1633" spans="26:69" hidden="1" x14ac:dyDescent="0.25">
      <c r="Z1633" s="7" t="s">
        <v>1016</v>
      </c>
      <c r="AA1633" s="1">
        <v>0</v>
      </c>
      <c r="AI1633" s="7" t="s">
        <v>1023</v>
      </c>
      <c r="AJ1633" s="40">
        <v>2</v>
      </c>
      <c r="AL1633" s="7" t="s">
        <v>1024</v>
      </c>
      <c r="AM1633" s="27">
        <v>1</v>
      </c>
      <c r="BJ1633" s="7" t="s">
        <v>1027</v>
      </c>
      <c r="BK1633" s="40">
        <v>20</v>
      </c>
      <c r="BL1633" s="40">
        <v>0</v>
      </c>
      <c r="BN1633" t="str">
        <f t="shared" si="131"/>
        <v>Lido Learning</v>
      </c>
      <c r="BO1633">
        <f t="shared" si="128"/>
        <v>640</v>
      </c>
      <c r="BP1633">
        <f t="shared" si="129"/>
        <v>683</v>
      </c>
      <c r="BQ1633">
        <f t="shared" si="130"/>
        <v>1323</v>
      </c>
    </row>
    <row r="1634" spans="26:69" hidden="1" x14ac:dyDescent="0.25">
      <c r="Z1634" s="7" t="s">
        <v>1017</v>
      </c>
      <c r="AA1634" s="1">
        <v>0</v>
      </c>
      <c r="AI1634" s="7" t="s">
        <v>1024</v>
      </c>
      <c r="AJ1634" s="40">
        <v>1</v>
      </c>
      <c r="AL1634" s="7" t="s">
        <v>1025</v>
      </c>
      <c r="AM1634" s="27">
        <v>1</v>
      </c>
      <c r="BJ1634" s="7" t="s">
        <v>1028</v>
      </c>
      <c r="BK1634" s="40">
        <v>158</v>
      </c>
      <c r="BL1634" s="40">
        <v>0</v>
      </c>
      <c r="BN1634" t="str">
        <f t="shared" si="131"/>
        <v>Life360</v>
      </c>
      <c r="BO1634">
        <f t="shared" si="128"/>
        <v>365</v>
      </c>
      <c r="BP1634">
        <f t="shared" si="129"/>
        <v>683</v>
      </c>
      <c r="BQ1634">
        <f t="shared" si="130"/>
        <v>1048</v>
      </c>
    </row>
    <row r="1635" spans="26:69" hidden="1" x14ac:dyDescent="0.25">
      <c r="Z1635" s="7" t="s">
        <v>1018</v>
      </c>
      <c r="AA1635" s="1">
        <v>0.3</v>
      </c>
      <c r="AI1635" s="7" t="s">
        <v>1025</v>
      </c>
      <c r="AJ1635" s="40">
        <v>1</v>
      </c>
      <c r="AL1635" s="7" t="s">
        <v>1026</v>
      </c>
      <c r="AM1635" s="27">
        <v>1</v>
      </c>
      <c r="BJ1635" s="7" t="s">
        <v>1029</v>
      </c>
      <c r="BK1635" s="40">
        <v>6</v>
      </c>
      <c r="BL1635" s="40">
        <v>130</v>
      </c>
      <c r="BN1635" t="str">
        <f t="shared" si="131"/>
        <v>Liftoff</v>
      </c>
      <c r="BO1635">
        <f t="shared" si="128"/>
        <v>706</v>
      </c>
      <c r="BP1635">
        <f t="shared" si="129"/>
        <v>226</v>
      </c>
      <c r="BQ1635">
        <f t="shared" si="130"/>
        <v>932</v>
      </c>
    </row>
    <row r="1636" spans="26:69" hidden="1" x14ac:dyDescent="0.25">
      <c r="Z1636" s="7" t="s">
        <v>1019</v>
      </c>
      <c r="AA1636" s="1">
        <v>0.5</v>
      </c>
      <c r="AI1636" s="7" t="s">
        <v>1026</v>
      </c>
      <c r="AJ1636" s="40">
        <v>1</v>
      </c>
      <c r="AL1636" s="7" t="s">
        <v>1027</v>
      </c>
      <c r="AM1636" s="27">
        <v>1</v>
      </c>
      <c r="BJ1636" s="7" t="s">
        <v>1030</v>
      </c>
      <c r="BK1636" s="40">
        <v>30</v>
      </c>
      <c r="BL1636" s="40">
        <v>40</v>
      </c>
      <c r="BN1636" t="str">
        <f t="shared" si="131"/>
        <v>Lighter Capital</v>
      </c>
      <c r="BO1636">
        <f t="shared" si="128"/>
        <v>601</v>
      </c>
      <c r="BP1636">
        <f t="shared" si="129"/>
        <v>454</v>
      </c>
      <c r="BQ1636">
        <f t="shared" si="130"/>
        <v>1055</v>
      </c>
    </row>
    <row r="1637" spans="26:69" hidden="1" x14ac:dyDescent="0.25">
      <c r="Z1637" s="7" t="s">
        <v>1021</v>
      </c>
      <c r="AA1637" s="1">
        <v>0</v>
      </c>
      <c r="AI1637" s="7" t="s">
        <v>1027</v>
      </c>
      <c r="AJ1637" s="40">
        <v>1</v>
      </c>
      <c r="AL1637" s="7" t="s">
        <v>1028</v>
      </c>
      <c r="AM1637" s="27">
        <v>1</v>
      </c>
      <c r="BJ1637" s="7" t="s">
        <v>1031</v>
      </c>
      <c r="BK1637" s="40">
        <v>0</v>
      </c>
      <c r="BL1637" s="40">
        <v>14</v>
      </c>
      <c r="BN1637" t="str">
        <f t="shared" si="131"/>
        <v>Lighthouse Labs</v>
      </c>
      <c r="BO1637">
        <f t="shared" si="128"/>
        <v>742</v>
      </c>
      <c r="BP1637">
        <f t="shared" si="129"/>
        <v>631</v>
      </c>
      <c r="BQ1637">
        <f t="shared" si="130"/>
        <v>1373</v>
      </c>
    </row>
    <row r="1638" spans="26:69" hidden="1" x14ac:dyDescent="0.25">
      <c r="Z1638" s="7" t="s">
        <v>1023</v>
      </c>
      <c r="AA1638" s="1">
        <v>0.5</v>
      </c>
      <c r="AI1638" s="7" t="s">
        <v>1028</v>
      </c>
      <c r="AJ1638" s="40">
        <v>1</v>
      </c>
      <c r="AL1638" s="7" t="s">
        <v>1029</v>
      </c>
      <c r="AM1638" s="27">
        <v>1</v>
      </c>
      <c r="BJ1638" s="7" t="s">
        <v>1032</v>
      </c>
      <c r="BK1638" s="40">
        <v>84</v>
      </c>
      <c r="BL1638" s="40">
        <v>40</v>
      </c>
      <c r="BN1638" t="str">
        <f t="shared" si="131"/>
        <v>Lightico</v>
      </c>
      <c r="BO1638">
        <f t="shared" si="128"/>
        <v>466</v>
      </c>
      <c r="BP1638">
        <f t="shared" si="129"/>
        <v>454</v>
      </c>
      <c r="BQ1638">
        <f t="shared" si="130"/>
        <v>920</v>
      </c>
    </row>
    <row r="1639" spans="26:69" hidden="1" x14ac:dyDescent="0.25">
      <c r="Z1639" s="7" t="s">
        <v>1024</v>
      </c>
      <c r="AA1639" s="1">
        <v>0.3</v>
      </c>
      <c r="AI1639" s="7" t="s">
        <v>1029</v>
      </c>
      <c r="AJ1639" s="40">
        <v>1</v>
      </c>
      <c r="AL1639" s="7" t="s">
        <v>1030</v>
      </c>
      <c r="AM1639" s="27">
        <v>2</v>
      </c>
      <c r="BJ1639" s="7" t="s">
        <v>1033</v>
      </c>
      <c r="BK1639" s="40">
        <v>335</v>
      </c>
      <c r="BL1639" s="40">
        <v>80</v>
      </c>
      <c r="BN1639" t="str">
        <f t="shared" si="131"/>
        <v>Lightricks</v>
      </c>
      <c r="BO1639">
        <f t="shared" si="128"/>
        <v>225</v>
      </c>
      <c r="BP1639">
        <f t="shared" si="129"/>
        <v>322</v>
      </c>
      <c r="BQ1639">
        <f t="shared" si="130"/>
        <v>547</v>
      </c>
    </row>
    <row r="1640" spans="26:69" hidden="1" x14ac:dyDescent="0.25">
      <c r="Z1640" s="7" t="s">
        <v>1025</v>
      </c>
      <c r="AA1640" s="1">
        <v>0.4</v>
      </c>
      <c r="AI1640" s="7" t="s">
        <v>1030</v>
      </c>
      <c r="AJ1640" s="40">
        <v>2</v>
      </c>
      <c r="AL1640" s="7" t="s">
        <v>1031</v>
      </c>
      <c r="AM1640" s="27">
        <v>1</v>
      </c>
      <c r="BJ1640" s="7" t="s">
        <v>1035</v>
      </c>
      <c r="BK1640" s="40">
        <v>1200</v>
      </c>
      <c r="BL1640" s="40">
        <v>300</v>
      </c>
      <c r="BN1640" t="str">
        <f t="shared" si="131"/>
        <v>Lightspeed Commerce</v>
      </c>
      <c r="BO1640">
        <f t="shared" si="128"/>
        <v>72</v>
      </c>
      <c r="BP1640">
        <f t="shared" si="129"/>
        <v>103</v>
      </c>
      <c r="BQ1640">
        <f t="shared" si="130"/>
        <v>175</v>
      </c>
    </row>
    <row r="1641" spans="26:69" hidden="1" x14ac:dyDescent="0.25">
      <c r="Z1641" s="7" t="s">
        <v>1026</v>
      </c>
      <c r="AA1641" s="1">
        <v>0</v>
      </c>
      <c r="AI1641" s="7" t="s">
        <v>1031</v>
      </c>
      <c r="AJ1641" s="40">
        <v>1</v>
      </c>
      <c r="AL1641" s="7" t="s">
        <v>1032</v>
      </c>
      <c r="AM1641" s="27">
        <v>2</v>
      </c>
      <c r="BJ1641" s="7" t="s">
        <v>1036</v>
      </c>
      <c r="BK1641" s="40">
        <v>765</v>
      </c>
      <c r="BL1641" s="40">
        <v>80</v>
      </c>
      <c r="BN1641" t="str">
        <f t="shared" si="131"/>
        <v>Lime</v>
      </c>
      <c r="BO1641">
        <f t="shared" si="128"/>
        <v>112</v>
      </c>
      <c r="BP1641">
        <f t="shared" si="129"/>
        <v>322</v>
      </c>
      <c r="BQ1641">
        <f t="shared" si="130"/>
        <v>434</v>
      </c>
    </row>
    <row r="1642" spans="26:69" hidden="1" x14ac:dyDescent="0.25">
      <c r="Z1642" s="7" t="s">
        <v>1027</v>
      </c>
      <c r="AA1642" s="1">
        <v>1</v>
      </c>
      <c r="AI1642" s="7" t="s">
        <v>1032</v>
      </c>
      <c r="AJ1642" s="40">
        <v>2</v>
      </c>
      <c r="AL1642" s="7" t="s">
        <v>1033</v>
      </c>
      <c r="AM1642" s="27">
        <v>1</v>
      </c>
      <c r="BJ1642" s="7" t="s">
        <v>1037</v>
      </c>
      <c r="BK1642" s="40">
        <v>33</v>
      </c>
      <c r="BL1642" s="40">
        <v>0</v>
      </c>
      <c r="BN1642" t="str">
        <f t="shared" si="131"/>
        <v>Limeade</v>
      </c>
      <c r="BO1642">
        <f t="shared" si="128"/>
        <v>593</v>
      </c>
      <c r="BP1642">
        <f t="shared" si="129"/>
        <v>683</v>
      </c>
      <c r="BQ1642">
        <f t="shared" si="130"/>
        <v>1276</v>
      </c>
    </row>
    <row r="1643" spans="26:69" hidden="1" x14ac:dyDescent="0.25">
      <c r="Z1643" s="7" t="s">
        <v>1028</v>
      </c>
      <c r="AA1643" s="1">
        <v>0.14000000000000001</v>
      </c>
      <c r="AI1643" s="7" t="s">
        <v>1033</v>
      </c>
      <c r="AJ1643" s="40">
        <v>1</v>
      </c>
      <c r="AL1643" s="7" t="s">
        <v>1035</v>
      </c>
      <c r="AM1643" s="27">
        <v>1</v>
      </c>
      <c r="BJ1643" s="7" t="s">
        <v>1038</v>
      </c>
      <c r="BK1643" s="40">
        <v>0</v>
      </c>
      <c r="BL1643" s="40">
        <v>13</v>
      </c>
      <c r="BN1643" t="str">
        <f t="shared" si="131"/>
        <v>Limelight</v>
      </c>
      <c r="BO1643">
        <f t="shared" si="128"/>
        <v>742</v>
      </c>
      <c r="BP1643">
        <f t="shared" si="129"/>
        <v>634</v>
      </c>
      <c r="BQ1643">
        <f t="shared" si="130"/>
        <v>1376</v>
      </c>
    </row>
    <row r="1644" spans="26:69" hidden="1" x14ac:dyDescent="0.25">
      <c r="Z1644" s="7" t="s">
        <v>1029</v>
      </c>
      <c r="AA1644" s="1">
        <v>0.15</v>
      </c>
      <c r="AI1644" s="7" t="s">
        <v>1035</v>
      </c>
      <c r="AJ1644" s="40">
        <v>1</v>
      </c>
      <c r="AL1644" s="7" t="s">
        <v>1036</v>
      </c>
      <c r="AM1644" s="27">
        <v>1</v>
      </c>
      <c r="BJ1644" s="7" t="s">
        <v>1039</v>
      </c>
      <c r="BK1644" s="40">
        <v>154</v>
      </c>
      <c r="BL1644" s="40">
        <v>960</v>
      </c>
      <c r="BN1644" t="str">
        <f t="shared" si="131"/>
        <v>LinkedIn</v>
      </c>
      <c r="BO1644">
        <f t="shared" si="128"/>
        <v>373</v>
      </c>
      <c r="BP1644">
        <f t="shared" si="129"/>
        <v>33</v>
      </c>
      <c r="BQ1644">
        <f t="shared" si="130"/>
        <v>406</v>
      </c>
    </row>
    <row r="1645" spans="26:69" hidden="1" x14ac:dyDescent="0.25">
      <c r="Z1645" s="7" t="s">
        <v>1030</v>
      </c>
      <c r="AA1645" s="1">
        <v>0.49</v>
      </c>
      <c r="AI1645" s="7" t="s">
        <v>1036</v>
      </c>
      <c r="AJ1645" s="40">
        <v>1</v>
      </c>
      <c r="AL1645" s="7" t="s">
        <v>1037</v>
      </c>
      <c r="AM1645" s="27">
        <v>1</v>
      </c>
      <c r="BJ1645" s="7" t="s">
        <v>1040</v>
      </c>
      <c r="BK1645" s="40">
        <v>2</v>
      </c>
      <c r="BL1645" s="40">
        <v>35</v>
      </c>
      <c r="BN1645" t="str">
        <f t="shared" si="131"/>
        <v>Linkfire</v>
      </c>
      <c r="BO1645">
        <f t="shared" si="128"/>
        <v>725</v>
      </c>
      <c r="BP1645">
        <f t="shared" si="129"/>
        <v>494</v>
      </c>
      <c r="BQ1645">
        <f t="shared" si="130"/>
        <v>1219</v>
      </c>
    </row>
    <row r="1646" spans="26:69" hidden="1" x14ac:dyDescent="0.25">
      <c r="Z1646" s="7" t="s">
        <v>1031</v>
      </c>
      <c r="AA1646" s="1">
        <v>7.0000000000000007E-2</v>
      </c>
      <c r="AI1646" s="7" t="s">
        <v>1037</v>
      </c>
      <c r="AJ1646" s="40">
        <v>1</v>
      </c>
      <c r="AL1646" s="7" t="s">
        <v>1038</v>
      </c>
      <c r="AM1646" s="27">
        <v>1</v>
      </c>
      <c r="BJ1646" s="7" t="s">
        <v>1041</v>
      </c>
      <c r="BK1646" s="40">
        <v>165</v>
      </c>
      <c r="BL1646" s="40">
        <v>50</v>
      </c>
      <c r="BN1646" t="str">
        <f t="shared" si="131"/>
        <v>Linktree</v>
      </c>
      <c r="BO1646">
        <f t="shared" si="128"/>
        <v>358</v>
      </c>
      <c r="BP1646">
        <f t="shared" si="129"/>
        <v>410</v>
      </c>
      <c r="BQ1646">
        <f t="shared" si="130"/>
        <v>768</v>
      </c>
    </row>
    <row r="1647" spans="26:69" hidden="1" x14ac:dyDescent="0.25">
      <c r="Z1647" s="7" t="s">
        <v>1032</v>
      </c>
      <c r="AA1647" s="1">
        <v>0.25</v>
      </c>
      <c r="AI1647" s="7" t="s">
        <v>1038</v>
      </c>
      <c r="AJ1647" s="40">
        <v>1</v>
      </c>
      <c r="AL1647" s="7" t="s">
        <v>1039</v>
      </c>
      <c r="AM1647" s="27">
        <v>1</v>
      </c>
      <c r="BJ1647" s="7" t="s">
        <v>1042</v>
      </c>
      <c r="BK1647" s="40">
        <v>115</v>
      </c>
      <c r="BL1647" s="40">
        <v>27</v>
      </c>
      <c r="BN1647" t="str">
        <f t="shared" si="131"/>
        <v>Lithic</v>
      </c>
      <c r="BO1647">
        <f t="shared" si="128"/>
        <v>416</v>
      </c>
      <c r="BP1647">
        <f t="shared" si="129"/>
        <v>546</v>
      </c>
      <c r="BQ1647">
        <f t="shared" si="130"/>
        <v>962</v>
      </c>
    </row>
    <row r="1648" spans="26:69" hidden="1" x14ac:dyDescent="0.25">
      <c r="Z1648" s="7" t="s">
        <v>1033</v>
      </c>
      <c r="AA1648" s="1">
        <v>0.12</v>
      </c>
      <c r="AI1648" s="7" t="s">
        <v>1039</v>
      </c>
      <c r="AJ1648" s="40">
        <v>1</v>
      </c>
      <c r="AL1648" s="7" t="s">
        <v>1040</v>
      </c>
      <c r="AM1648" s="27">
        <v>1</v>
      </c>
      <c r="BJ1648" s="7" t="s">
        <v>1043</v>
      </c>
      <c r="BK1648" s="40">
        <v>118</v>
      </c>
      <c r="BL1648" s="40">
        <v>100</v>
      </c>
      <c r="BN1648" t="str">
        <f t="shared" si="131"/>
        <v>Liv Up</v>
      </c>
      <c r="BO1648">
        <f t="shared" si="128"/>
        <v>413</v>
      </c>
      <c r="BP1648">
        <f t="shared" si="129"/>
        <v>254</v>
      </c>
      <c r="BQ1648">
        <f t="shared" si="130"/>
        <v>667</v>
      </c>
    </row>
    <row r="1649" spans="26:73" hidden="1" x14ac:dyDescent="0.25">
      <c r="Z1649" s="7" t="s">
        <v>1035</v>
      </c>
      <c r="AA1649" s="1">
        <v>0.1</v>
      </c>
      <c r="AI1649" s="7" t="s">
        <v>1040</v>
      </c>
      <c r="AJ1649" s="40">
        <v>1</v>
      </c>
      <c r="AL1649" s="7" t="s">
        <v>1041</v>
      </c>
      <c r="AM1649" s="27">
        <v>1</v>
      </c>
      <c r="BJ1649" s="7" t="s">
        <v>1044</v>
      </c>
      <c r="BK1649" s="40">
        <v>84</v>
      </c>
      <c r="BL1649" s="40">
        <v>223</v>
      </c>
      <c r="BN1649" t="str">
        <f t="shared" si="131"/>
        <v>LivePerson</v>
      </c>
      <c r="BO1649">
        <f t="shared" si="128"/>
        <v>466</v>
      </c>
      <c r="BP1649">
        <f t="shared" si="129"/>
        <v>137</v>
      </c>
      <c r="BQ1649">
        <f t="shared" si="130"/>
        <v>603</v>
      </c>
    </row>
    <row r="1650" spans="26:73" hidden="1" x14ac:dyDescent="0.25">
      <c r="Z1650" s="7" t="s">
        <v>1036</v>
      </c>
      <c r="AA1650" s="1">
        <v>0.13</v>
      </c>
      <c r="AI1650" s="7" t="s">
        <v>1041</v>
      </c>
      <c r="AJ1650" s="40">
        <v>1</v>
      </c>
      <c r="AL1650" s="7" t="s">
        <v>1042</v>
      </c>
      <c r="AM1650" s="27">
        <v>1</v>
      </c>
      <c r="BJ1650" s="7" t="s">
        <v>1045</v>
      </c>
      <c r="BK1650" s="40">
        <v>16</v>
      </c>
      <c r="BL1650" s="40">
        <v>0</v>
      </c>
      <c r="BN1650" t="str">
        <f t="shared" si="131"/>
        <v>LiveRamp</v>
      </c>
      <c r="BO1650">
        <f t="shared" si="128"/>
        <v>659</v>
      </c>
      <c r="BP1650">
        <f t="shared" si="129"/>
        <v>683</v>
      </c>
      <c r="BQ1650">
        <f t="shared" si="130"/>
        <v>1342</v>
      </c>
    </row>
    <row r="1651" spans="26:73" hidden="1" x14ac:dyDescent="0.25">
      <c r="Z1651" s="7" t="s">
        <v>1037</v>
      </c>
      <c r="AA1651" s="1">
        <v>0.15</v>
      </c>
      <c r="AI1651" s="7" t="s">
        <v>1042</v>
      </c>
      <c r="AJ1651" s="40">
        <v>1</v>
      </c>
      <c r="AL1651" s="7" t="s">
        <v>1043</v>
      </c>
      <c r="AM1651" s="27">
        <v>1</v>
      </c>
      <c r="BJ1651" s="7" t="s">
        <v>1046</v>
      </c>
      <c r="BK1651" s="40">
        <v>46</v>
      </c>
      <c r="BL1651" s="40">
        <v>50</v>
      </c>
      <c r="BN1651" t="str">
        <f t="shared" si="131"/>
        <v>LiveTiles</v>
      </c>
      <c r="BO1651">
        <f t="shared" si="128"/>
        <v>554</v>
      </c>
      <c r="BP1651">
        <f t="shared" si="129"/>
        <v>410</v>
      </c>
      <c r="BQ1651">
        <f t="shared" si="130"/>
        <v>964</v>
      </c>
    </row>
    <row r="1652" spans="26:73" hidden="1" x14ac:dyDescent="0.25">
      <c r="Z1652" s="7" t="s">
        <v>1038</v>
      </c>
      <c r="AA1652" s="1">
        <v>1</v>
      </c>
      <c r="AI1652" s="7" t="s">
        <v>1043</v>
      </c>
      <c r="AJ1652" s="40">
        <v>1</v>
      </c>
      <c r="AL1652" s="7" t="s">
        <v>1044</v>
      </c>
      <c r="AM1652" s="27">
        <v>2</v>
      </c>
      <c r="BJ1652" s="7" t="s">
        <v>1047</v>
      </c>
      <c r="BK1652" s="40">
        <v>12</v>
      </c>
      <c r="BL1652" s="40">
        <v>0</v>
      </c>
      <c r="BN1652" t="str">
        <f t="shared" si="131"/>
        <v>LiveVox</v>
      </c>
      <c r="BO1652">
        <f t="shared" si="128"/>
        <v>679</v>
      </c>
      <c r="BP1652">
        <f t="shared" si="129"/>
        <v>683</v>
      </c>
      <c r="BQ1652">
        <f t="shared" si="130"/>
        <v>1362</v>
      </c>
    </row>
    <row r="1653" spans="26:73" hidden="1" x14ac:dyDescent="0.25">
      <c r="Z1653" s="7" t="s">
        <v>1039</v>
      </c>
      <c r="AA1653" s="1">
        <v>0.06</v>
      </c>
      <c r="AI1653" s="7" t="s">
        <v>1044</v>
      </c>
      <c r="AJ1653" s="40">
        <v>2</v>
      </c>
      <c r="AL1653" s="7" t="s">
        <v>1045</v>
      </c>
      <c r="AM1653" s="27">
        <v>1</v>
      </c>
      <c r="BJ1653" s="7" t="s">
        <v>1048</v>
      </c>
      <c r="BK1653" s="40">
        <v>157</v>
      </c>
      <c r="BL1653" s="40">
        <v>450</v>
      </c>
      <c r="BN1653" t="str">
        <f t="shared" si="131"/>
        <v>Livspace</v>
      </c>
      <c r="BO1653">
        <f t="shared" si="128"/>
        <v>366</v>
      </c>
      <c r="BP1653">
        <f t="shared" si="129"/>
        <v>78</v>
      </c>
      <c r="BQ1653">
        <f t="shared" si="130"/>
        <v>444</v>
      </c>
    </row>
    <row r="1654" spans="26:73" hidden="1" x14ac:dyDescent="0.25">
      <c r="Z1654" s="7" t="s">
        <v>1040</v>
      </c>
      <c r="AA1654" s="1">
        <v>0.35</v>
      </c>
      <c r="AI1654" s="7" t="s">
        <v>1045</v>
      </c>
      <c r="AJ1654" s="40">
        <v>1</v>
      </c>
      <c r="AL1654" s="7" t="s">
        <v>1046</v>
      </c>
      <c r="AM1654" s="27">
        <v>1</v>
      </c>
      <c r="BJ1654" s="7" t="s">
        <v>1049</v>
      </c>
      <c r="BK1654" s="40">
        <v>57</v>
      </c>
      <c r="BL1654" s="40">
        <v>0</v>
      </c>
      <c r="BN1654" t="str">
        <f t="shared" si="131"/>
        <v>Locomation</v>
      </c>
      <c r="BO1654">
        <f t="shared" si="128"/>
        <v>529</v>
      </c>
      <c r="BP1654">
        <f t="shared" si="129"/>
        <v>683</v>
      </c>
      <c r="BQ1654">
        <f t="shared" si="130"/>
        <v>1212</v>
      </c>
    </row>
    <row r="1655" spans="26:73" x14ac:dyDescent="0.25">
      <c r="Z1655" s="7" t="s">
        <v>1041</v>
      </c>
      <c r="AA1655" s="1">
        <v>0.17</v>
      </c>
      <c r="AI1655" s="7" t="s">
        <v>1046</v>
      </c>
      <c r="AJ1655" s="40">
        <v>1</v>
      </c>
      <c r="AL1655" s="7" t="s">
        <v>1047</v>
      </c>
      <c r="AM1655" s="27">
        <v>1</v>
      </c>
      <c r="BJ1655" s="7" t="s">
        <v>1050</v>
      </c>
      <c r="BK1655" s="40">
        <v>3678</v>
      </c>
      <c r="BL1655" s="40">
        <v>1289</v>
      </c>
      <c r="BN1655" t="str">
        <f t="shared" si="131"/>
        <v>Loft</v>
      </c>
      <c r="BO1655">
        <f t="shared" si="128"/>
        <v>17</v>
      </c>
      <c r="BP1655">
        <f t="shared" si="129"/>
        <v>24</v>
      </c>
      <c r="BQ1655">
        <f t="shared" si="130"/>
        <v>41</v>
      </c>
    </row>
    <row r="1656" spans="26:73" hidden="1" x14ac:dyDescent="0.25">
      <c r="Z1656" s="7" t="s">
        <v>1042</v>
      </c>
      <c r="AA1656" s="1">
        <v>0.18</v>
      </c>
      <c r="AI1656" s="7" t="s">
        <v>1047</v>
      </c>
      <c r="AJ1656" s="40">
        <v>1</v>
      </c>
      <c r="AL1656" s="7" t="s">
        <v>1048</v>
      </c>
      <c r="AM1656" s="27">
        <v>1</v>
      </c>
      <c r="BJ1656" s="7" t="s">
        <v>1051</v>
      </c>
      <c r="BK1656" s="40">
        <v>17</v>
      </c>
      <c r="BL1656" s="40">
        <v>32</v>
      </c>
      <c r="BN1656" t="str">
        <f t="shared" si="131"/>
        <v>Loftium</v>
      </c>
      <c r="BO1656">
        <f t="shared" si="128"/>
        <v>653</v>
      </c>
      <c r="BP1656">
        <f t="shared" si="129"/>
        <v>505</v>
      </c>
      <c r="BQ1656">
        <f t="shared" si="130"/>
        <v>1158</v>
      </c>
    </row>
    <row r="1657" spans="26:73" hidden="1" x14ac:dyDescent="0.25">
      <c r="Z1657" s="7" t="s">
        <v>1043</v>
      </c>
      <c r="AA1657" s="1">
        <v>0.15</v>
      </c>
      <c r="AI1657" s="7" t="s">
        <v>1048</v>
      </c>
      <c r="AJ1657" s="40">
        <v>1</v>
      </c>
      <c r="AL1657" s="7" t="s">
        <v>1049</v>
      </c>
      <c r="AM1657" s="27">
        <v>1</v>
      </c>
      <c r="BJ1657" s="7" t="s">
        <v>1052</v>
      </c>
      <c r="BK1657" s="40">
        <v>18</v>
      </c>
      <c r="BL1657" s="40">
        <v>25</v>
      </c>
      <c r="BN1657" t="str">
        <f t="shared" si="131"/>
        <v>Loftsmart</v>
      </c>
      <c r="BO1657">
        <f t="shared" si="128"/>
        <v>649</v>
      </c>
      <c r="BP1657">
        <f t="shared" si="129"/>
        <v>554</v>
      </c>
      <c r="BQ1657">
        <f t="shared" si="130"/>
        <v>1203</v>
      </c>
    </row>
    <row r="1658" spans="26:73" hidden="1" x14ac:dyDescent="0.25">
      <c r="Z1658" s="7" t="s">
        <v>1044</v>
      </c>
      <c r="AA1658" s="1">
        <v>0.11</v>
      </c>
      <c r="AI1658" s="7" t="s">
        <v>1049</v>
      </c>
      <c r="AJ1658" s="40">
        <v>1</v>
      </c>
      <c r="AL1658" s="7" t="s">
        <v>1050</v>
      </c>
      <c r="AM1658" s="27">
        <v>6</v>
      </c>
      <c r="BJ1658" s="7" t="s">
        <v>1053</v>
      </c>
      <c r="BK1658" s="40">
        <v>1014</v>
      </c>
      <c r="BL1658" s="40">
        <v>800</v>
      </c>
      <c r="BN1658" t="str">
        <f t="shared" si="131"/>
        <v>Loggi</v>
      </c>
      <c r="BO1658">
        <f t="shared" si="128"/>
        <v>86</v>
      </c>
      <c r="BP1658">
        <f t="shared" si="129"/>
        <v>39</v>
      </c>
      <c r="BQ1658">
        <f t="shared" si="130"/>
        <v>125</v>
      </c>
    </row>
    <row r="1659" spans="26:73" hidden="1" x14ac:dyDescent="0.25">
      <c r="Z1659" s="7" t="s">
        <v>1045</v>
      </c>
      <c r="AA1659" s="1">
        <v>0.1</v>
      </c>
      <c r="AI1659" s="7" t="s">
        <v>1050</v>
      </c>
      <c r="AJ1659" s="40">
        <v>6</v>
      </c>
      <c r="AL1659" s="7" t="s">
        <v>1051</v>
      </c>
      <c r="AM1659" s="27">
        <v>1</v>
      </c>
      <c r="BJ1659" s="7" t="s">
        <v>1054</v>
      </c>
      <c r="BK1659" s="40">
        <v>0</v>
      </c>
      <c r="BL1659" s="40">
        <v>25</v>
      </c>
      <c r="BN1659" t="str">
        <f t="shared" si="131"/>
        <v>Loja Integrada</v>
      </c>
      <c r="BO1659">
        <f t="shared" si="128"/>
        <v>742</v>
      </c>
      <c r="BP1659">
        <f t="shared" si="129"/>
        <v>554</v>
      </c>
      <c r="BQ1659">
        <f t="shared" si="130"/>
        <v>1296</v>
      </c>
    </row>
    <row r="1660" spans="26:73" hidden="1" x14ac:dyDescent="0.25">
      <c r="Z1660" s="7" t="s">
        <v>1046</v>
      </c>
      <c r="AA1660" s="1">
        <v>0</v>
      </c>
      <c r="AI1660" s="7" t="s">
        <v>1051</v>
      </c>
      <c r="AJ1660" s="40">
        <v>1</v>
      </c>
      <c r="AL1660" s="7" t="s">
        <v>1052</v>
      </c>
      <c r="AM1660" s="27">
        <v>1</v>
      </c>
      <c r="BJ1660" s="7" t="s">
        <v>1055</v>
      </c>
      <c r="BK1660" s="40">
        <v>56</v>
      </c>
      <c r="BL1660" s="40">
        <v>76</v>
      </c>
      <c r="BN1660" t="str">
        <f t="shared" si="131"/>
        <v>Lokalise</v>
      </c>
      <c r="BO1660">
        <f t="shared" si="128"/>
        <v>530</v>
      </c>
      <c r="BP1660">
        <f t="shared" si="129"/>
        <v>339</v>
      </c>
      <c r="BQ1660">
        <f t="shared" si="130"/>
        <v>869</v>
      </c>
    </row>
    <row r="1661" spans="26:73" hidden="1" x14ac:dyDescent="0.25">
      <c r="Z1661" s="7" t="s">
        <v>1047</v>
      </c>
      <c r="AA1661" s="1">
        <v>0.16</v>
      </c>
      <c r="AI1661" s="7" t="s">
        <v>1052</v>
      </c>
      <c r="AJ1661" s="40">
        <v>1</v>
      </c>
      <c r="AL1661" s="7" t="s">
        <v>1053</v>
      </c>
      <c r="AM1661" s="27">
        <v>2</v>
      </c>
      <c r="BJ1661" s="7" t="s">
        <v>1056</v>
      </c>
      <c r="BK1661" s="40">
        <v>81</v>
      </c>
      <c r="BL1661" s="40">
        <v>34</v>
      </c>
      <c r="BN1661" t="str">
        <f t="shared" si="131"/>
        <v>Lola</v>
      </c>
      <c r="BO1661">
        <f t="shared" si="128"/>
        <v>472</v>
      </c>
      <c r="BP1661">
        <f t="shared" si="129"/>
        <v>501</v>
      </c>
      <c r="BQ1661">
        <f t="shared" si="130"/>
        <v>973</v>
      </c>
    </row>
    <row r="1662" spans="26:73" hidden="1" x14ac:dyDescent="0.25">
      <c r="Z1662" s="7" t="s">
        <v>1048</v>
      </c>
      <c r="AA1662" s="1">
        <v>0.15</v>
      </c>
      <c r="AI1662" s="7" t="s">
        <v>1053</v>
      </c>
      <c r="AJ1662" s="40">
        <v>2</v>
      </c>
      <c r="AL1662" s="7" t="s">
        <v>1054</v>
      </c>
      <c r="AM1662" s="27">
        <v>1</v>
      </c>
      <c r="BJ1662" s="7" t="s">
        <v>1057</v>
      </c>
      <c r="BK1662" s="40">
        <v>203</v>
      </c>
      <c r="BL1662" s="40">
        <v>23</v>
      </c>
      <c r="BN1662" t="str">
        <f t="shared" si="131"/>
        <v>Loom</v>
      </c>
      <c r="BO1662">
        <f t="shared" si="128"/>
        <v>317</v>
      </c>
      <c r="BP1662">
        <f t="shared" si="129"/>
        <v>570</v>
      </c>
      <c r="BQ1662">
        <f t="shared" si="130"/>
        <v>887</v>
      </c>
    </row>
    <row r="1663" spans="26:73" x14ac:dyDescent="0.25">
      <c r="Z1663" s="7" t="s">
        <v>1049</v>
      </c>
      <c r="AA1663" s="1">
        <v>1</v>
      </c>
      <c r="AI1663" s="7" t="s">
        <v>1054</v>
      </c>
      <c r="AJ1663" s="40">
        <v>1</v>
      </c>
      <c r="AL1663" s="7" t="s">
        <v>1055</v>
      </c>
      <c r="AM1663" s="27">
        <v>1</v>
      </c>
    </row>
    <row r="1664" spans="26:73" x14ac:dyDescent="0.25">
      <c r="Z1664" s="7" t="s">
        <v>1050</v>
      </c>
      <c r="AA1664" s="1">
        <v>0.15</v>
      </c>
      <c r="AI1664" s="7" t="s">
        <v>1055</v>
      </c>
      <c r="AJ1664" s="40">
        <v>1</v>
      </c>
      <c r="AL1664" s="7" t="s">
        <v>1056</v>
      </c>
      <c r="AM1664" s="27">
        <v>1</v>
      </c>
      <c r="BS1664" t="s">
        <v>0</v>
      </c>
      <c r="BT1664" t="s">
        <v>1123</v>
      </c>
      <c r="BU1664" t="s">
        <v>1124</v>
      </c>
    </row>
    <row r="1665" spans="26:73" x14ac:dyDescent="0.25">
      <c r="Z1665" s="7" t="s">
        <v>1051</v>
      </c>
      <c r="AA1665" s="1">
        <v>0.6</v>
      </c>
      <c r="AI1665" s="7" t="s">
        <v>1056</v>
      </c>
      <c r="AJ1665" s="40">
        <v>1</v>
      </c>
      <c r="AL1665" s="7" t="s">
        <v>1057</v>
      </c>
      <c r="AM1665" s="27">
        <v>1</v>
      </c>
      <c r="BS1665" t="s">
        <v>1113</v>
      </c>
      <c r="BT1665">
        <v>11800</v>
      </c>
      <c r="BU1665">
        <v>1930</v>
      </c>
    </row>
    <row r="1666" spans="26:73" x14ac:dyDescent="0.25">
      <c r="Z1666" s="7" t="s">
        <v>1052</v>
      </c>
      <c r="AA1666" s="1">
        <v>0.75</v>
      </c>
      <c r="AI1666" s="7" t="s">
        <v>1057</v>
      </c>
      <c r="AJ1666" s="40">
        <v>1</v>
      </c>
      <c r="BS1666" t="s">
        <v>1114</v>
      </c>
      <c r="BT1666">
        <v>11000</v>
      </c>
      <c r="BU1666">
        <v>4000</v>
      </c>
    </row>
    <row r="1667" spans="26:73" x14ac:dyDescent="0.25">
      <c r="Z1667" s="7" t="s">
        <v>1053</v>
      </c>
      <c r="AA1667" s="1">
        <v>0.15</v>
      </c>
      <c r="BS1667" t="s">
        <v>1115</v>
      </c>
      <c r="BT1667">
        <v>35600</v>
      </c>
      <c r="BU1667">
        <v>3750</v>
      </c>
    </row>
    <row r="1668" spans="26:73" x14ac:dyDescent="0.25">
      <c r="Z1668" s="7" t="s">
        <v>1054</v>
      </c>
      <c r="AA1668" s="1">
        <v>0.1</v>
      </c>
      <c r="BS1668" t="s">
        <v>1116</v>
      </c>
      <c r="BT1668">
        <v>3200</v>
      </c>
      <c r="BU1668">
        <v>4000</v>
      </c>
    </row>
    <row r="1669" spans="26:73" x14ac:dyDescent="0.25">
      <c r="Z1669" s="7" t="s">
        <v>1055</v>
      </c>
      <c r="AA1669" s="1">
        <v>0.23</v>
      </c>
      <c r="BS1669" t="s">
        <v>1117</v>
      </c>
      <c r="BT1669">
        <v>4800</v>
      </c>
      <c r="BU1669">
        <v>1096</v>
      </c>
    </row>
    <row r="1670" spans="26:73" x14ac:dyDescent="0.25">
      <c r="Z1670" s="7" t="s">
        <v>1056</v>
      </c>
      <c r="AA1670" s="1">
        <v>0</v>
      </c>
      <c r="BS1670" t="s">
        <v>1118</v>
      </c>
      <c r="BT1670">
        <v>13600</v>
      </c>
      <c r="BU1670">
        <v>2300</v>
      </c>
    </row>
    <row r="1671" spans="26:73" x14ac:dyDescent="0.25">
      <c r="Z1671" s="7" t="s">
        <v>1057</v>
      </c>
      <c r="AA1671" s="1">
        <v>0.11</v>
      </c>
      <c r="BS1671" t="s">
        <v>1119</v>
      </c>
      <c r="BT1671">
        <v>4200</v>
      </c>
      <c r="BU1671">
        <v>3800</v>
      </c>
    </row>
    <row r="1672" spans="26:73" x14ac:dyDescent="0.25">
      <c r="BS1672" t="s">
        <v>1120</v>
      </c>
      <c r="BT1672">
        <v>3000</v>
      </c>
      <c r="BU1672">
        <v>1300</v>
      </c>
    </row>
    <row r="1673" spans="26:73" x14ac:dyDescent="0.25">
      <c r="BS1673" t="s">
        <v>1121</v>
      </c>
      <c r="BT1673">
        <v>4100</v>
      </c>
      <c r="BU1673">
        <v>3074</v>
      </c>
    </row>
    <row r="1674" spans="26:73" x14ac:dyDescent="0.25">
      <c r="BS1674" t="s">
        <v>1122</v>
      </c>
      <c r="BT1674">
        <v>7400</v>
      </c>
      <c r="BU1674">
        <v>800</v>
      </c>
    </row>
    <row r="1675" spans="26:73" x14ac:dyDescent="0.25">
      <c r="BS1675" t="s">
        <v>1099</v>
      </c>
      <c r="BT1675">
        <v>3678</v>
      </c>
      <c r="BU1675">
        <v>1289</v>
      </c>
    </row>
  </sheetData>
  <mergeCells count="21">
    <mergeCell ref="X10:Y10"/>
    <mergeCell ref="L8:N8"/>
    <mergeCell ref="AB8:AD8"/>
    <mergeCell ref="P8:S8"/>
    <mergeCell ref="Q9:S9"/>
    <mergeCell ref="W9:Y9"/>
    <mergeCell ref="AC850:AC851"/>
    <mergeCell ref="R842:S843"/>
    <mergeCell ref="V844:V845"/>
    <mergeCell ref="W844:X845"/>
    <mergeCell ref="AA844:AA845"/>
    <mergeCell ref="AD841:AD842"/>
    <mergeCell ref="AD845:AE846"/>
    <mergeCell ref="M845:M846"/>
    <mergeCell ref="M843:M844"/>
    <mergeCell ref="I841:I842"/>
    <mergeCell ref="BG840:BH841"/>
    <mergeCell ref="AF845:AF847"/>
    <mergeCell ref="AF850:AF851"/>
    <mergeCell ref="AO837:AP838"/>
    <mergeCell ref="AS844:AT845"/>
  </mergeCells>
  <pageMargins left="0.7" right="0.7" top="0.75" bottom="0.75" header="0.3" footer="0.3"/>
  <pageSetup paperSize="9" orientation="portrait" r:id="rId31"/>
  <drawing r:id="rId32"/>
  <tableParts count="2">
    <tablePart r:id="rId33"/>
    <tablePart r:id="rId34"/>
  </tableParts>
  <extLst>
    <ext xmlns:x14="http://schemas.microsoft.com/office/spreadsheetml/2009/9/main" uri="{A8765BA9-456A-4dab-B4F3-ACF838C121DE}">
      <x14:slicerList>
        <x14:slicer r:id="rId3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0D4C-D877-4F88-B765-6FFE67316DEE}">
  <dimension ref="A1"/>
  <sheetViews>
    <sheetView tabSelected="1" zoomScale="64" zoomScaleNormal="64" workbookViewId="0">
      <selection activeCell="U5" sqref="U5"/>
    </sheetView>
  </sheetViews>
  <sheetFormatPr defaultRowHeight="15" x14ac:dyDescent="0.25"/>
  <sheetData/>
  <sheetProtection algorithmName="SHA-512" hashValue="ie8bDa+4yDfoQsIMgyVGMdlM+f/eNU71EN6zOACyiLyaNR1DekgfiT0BpKzMNKc8KzjMqESl8u09/a6j0iOxMg==" saltValue="90os87PKhYOhvN5Ns6JtmA==" spinCount="100000" sheet="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C48E-1864-479B-A486-DA52DFEC18D3}">
  <dimension ref="A1"/>
  <sheetViews>
    <sheetView zoomScale="66" zoomScaleNormal="66" workbookViewId="0">
      <selection activeCell="W9" sqref="W9"/>
    </sheetView>
  </sheetViews>
  <sheetFormatPr defaultRowHeight="15" x14ac:dyDescent="0.25"/>
  <sheetData/>
  <sheetProtection algorithmName="SHA-512" hashValue="ElPduOJ48v2sPoO0x4XehT6U971wbJOY20azCV3ut82Gp+9TJb4V09qMdN1LbP112PRhdWWq9HDD21abEr55Zg==" saltValue="W604mVbdNryQy826rg4rvw==" spinCount="100000" sheet="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F239-6B3D-4612-BEC5-708343568105}">
  <dimension ref="A1"/>
  <sheetViews>
    <sheetView zoomScale="63" zoomScaleNormal="63" workbookViewId="0"/>
  </sheetViews>
  <sheetFormatPr defaultRowHeight="15" x14ac:dyDescent="0.25"/>
  <sheetData/>
  <sheetProtection algorithmName="SHA-512" hashValue="MENvQUKYwXvwp4sqYgRGNPxjUBMA5cxMnOWPxX+jjT+Uf8vXbkvUSUO6AeDFfqe+qRoXlrYlnpA7X6gINfA4sA==" saltValue="KSfRJTahu27G2/cjffUBNg=="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1AA2-5B30-4249-9FD6-DBD6BC03C2E1}">
  <dimension ref="A3:H827"/>
  <sheetViews>
    <sheetView topLeftCell="D1" workbookViewId="0">
      <selection activeCell="H4" sqref="H4"/>
    </sheetView>
  </sheetViews>
  <sheetFormatPr defaultRowHeight="15" x14ac:dyDescent="0.25"/>
  <cols>
    <col min="1" max="1" width="24.140625" bestFit="1" customWidth="1"/>
    <col min="2" max="2" width="19.85546875" bestFit="1" customWidth="1"/>
    <col min="4" max="4" width="24.140625" bestFit="1" customWidth="1"/>
    <col min="5" max="5" width="27.7109375" bestFit="1" customWidth="1"/>
    <col min="6" max="6" width="24.140625" bestFit="1" customWidth="1"/>
    <col min="7" max="7" width="27.7109375" bestFit="1" customWidth="1"/>
    <col min="8" max="8" width="29.140625" bestFit="1" customWidth="1"/>
  </cols>
  <sheetData>
    <row r="3" spans="1:8" x14ac:dyDescent="0.25">
      <c r="A3" s="6" t="s">
        <v>1063</v>
      </c>
      <c r="B3" t="s">
        <v>1064</v>
      </c>
      <c r="D3" s="6" t="s">
        <v>1063</v>
      </c>
      <c r="F3" s="6" t="s">
        <v>1063</v>
      </c>
      <c r="G3" t="s">
        <v>1066</v>
      </c>
    </row>
    <row r="4" spans="1:8" ht="26.25" x14ac:dyDescent="0.4">
      <c r="A4" s="7">
        <v>99</v>
      </c>
      <c r="B4" s="40">
        <v>75</v>
      </c>
      <c r="D4" s="7">
        <v>99</v>
      </c>
      <c r="E4" s="39">
        <f>AVERAGEIF(B4:B826,"&gt;0")</f>
        <v>283.52932551319645</v>
      </c>
      <c r="F4" s="7">
        <v>99</v>
      </c>
      <c r="G4" s="40">
        <v>244</v>
      </c>
      <c r="H4" s="29">
        <f>AVERAGEIF(G4:G826,"&gt;0")</f>
        <v>578.80971659919032</v>
      </c>
    </row>
    <row r="5" spans="1:8" ht="26.25" x14ac:dyDescent="0.4">
      <c r="A5" s="7" t="s">
        <v>26</v>
      </c>
      <c r="B5" s="40">
        <v>19</v>
      </c>
      <c r="D5" s="7" t="s">
        <v>26</v>
      </c>
      <c r="E5" s="39"/>
      <c r="F5" s="7" t="s">
        <v>26</v>
      </c>
      <c r="G5" s="40">
        <v>21</v>
      </c>
      <c r="H5" s="28"/>
    </row>
    <row r="6" spans="1:8" x14ac:dyDescent="0.25">
      <c r="A6" s="7" t="s">
        <v>20</v>
      </c>
      <c r="B6" s="40">
        <v>9</v>
      </c>
      <c r="D6" s="7" t="s">
        <v>20</v>
      </c>
      <c r="F6" s="7" t="s">
        <v>20</v>
      </c>
      <c r="G6" s="40">
        <v>35</v>
      </c>
    </row>
    <row r="7" spans="1:8" x14ac:dyDescent="0.25">
      <c r="A7" s="7" t="s">
        <v>32</v>
      </c>
      <c r="B7" s="40">
        <v>12</v>
      </c>
      <c r="D7" s="7" t="s">
        <v>32</v>
      </c>
      <c r="F7" s="7" t="s">
        <v>32</v>
      </c>
      <c r="G7" s="40">
        <v>120</v>
      </c>
    </row>
    <row r="8" spans="1:8" x14ac:dyDescent="0.25">
      <c r="A8" s="7" t="s">
        <v>36</v>
      </c>
      <c r="B8" s="40">
        <v>100</v>
      </c>
      <c r="D8" s="7" t="s">
        <v>36</v>
      </c>
      <c r="F8" s="7" t="s">
        <v>36</v>
      </c>
      <c r="G8" s="40">
        <v>242</v>
      </c>
    </row>
    <row r="9" spans="1:8" x14ac:dyDescent="0.25">
      <c r="A9" s="7" t="s">
        <v>39</v>
      </c>
      <c r="B9" s="40">
        <v>70</v>
      </c>
      <c r="D9" s="7" t="s">
        <v>39</v>
      </c>
      <c r="F9" s="7" t="s">
        <v>39</v>
      </c>
      <c r="G9" s="40">
        <v>253</v>
      </c>
    </row>
    <row r="10" spans="1:8" x14ac:dyDescent="0.25">
      <c r="A10" s="7" t="s">
        <v>44</v>
      </c>
      <c r="B10" s="40">
        <v>190</v>
      </c>
      <c r="D10" s="7" t="s">
        <v>44</v>
      </c>
      <c r="F10" s="7" t="s">
        <v>44</v>
      </c>
      <c r="G10" s="40">
        <v>500</v>
      </c>
    </row>
    <row r="11" spans="1:8" x14ac:dyDescent="0.25">
      <c r="A11" s="7" t="s">
        <v>49</v>
      </c>
      <c r="B11" s="40">
        <v>0</v>
      </c>
      <c r="D11" s="7" t="s">
        <v>49</v>
      </c>
      <c r="F11" s="7" t="s">
        <v>49</v>
      </c>
      <c r="G11" s="40">
        <v>426</v>
      </c>
    </row>
    <row r="12" spans="1:8" x14ac:dyDescent="0.25">
      <c r="A12" s="7" t="s">
        <v>52</v>
      </c>
      <c r="B12" s="40">
        <v>95</v>
      </c>
      <c r="D12" s="7" t="s">
        <v>52</v>
      </c>
      <c r="F12" s="7" t="s">
        <v>52</v>
      </c>
      <c r="G12" s="40">
        <v>44</v>
      </c>
    </row>
    <row r="13" spans="1:8" x14ac:dyDescent="0.25">
      <c r="A13" s="7" t="s">
        <v>54</v>
      </c>
      <c r="B13" s="40">
        <v>0</v>
      </c>
      <c r="D13" s="7" t="s">
        <v>54</v>
      </c>
      <c r="F13" s="7" t="s">
        <v>54</v>
      </c>
      <c r="G13" s="40">
        <v>12</v>
      </c>
    </row>
    <row r="14" spans="1:8" x14ac:dyDescent="0.25">
      <c r="A14" s="7" t="s">
        <v>59</v>
      </c>
      <c r="B14" s="40">
        <v>150</v>
      </c>
      <c r="D14" s="7" t="s">
        <v>59</v>
      </c>
      <c r="F14" s="7" t="s">
        <v>59</v>
      </c>
      <c r="G14" s="40">
        <v>426</v>
      </c>
    </row>
    <row r="15" spans="1:8" x14ac:dyDescent="0.25">
      <c r="A15" s="7" t="s">
        <v>62</v>
      </c>
      <c r="B15" s="40">
        <v>0</v>
      </c>
      <c r="D15" s="7" t="s">
        <v>62</v>
      </c>
      <c r="F15" s="7" t="s">
        <v>62</v>
      </c>
      <c r="G15" s="40">
        <v>275</v>
      </c>
    </row>
    <row r="16" spans="1:8" x14ac:dyDescent="0.25">
      <c r="A16" s="7" t="s">
        <v>65</v>
      </c>
      <c r="B16" s="40">
        <v>355</v>
      </c>
      <c r="D16" s="7" t="s">
        <v>65</v>
      </c>
      <c r="F16" s="7" t="s">
        <v>65</v>
      </c>
      <c r="G16" s="40">
        <v>506</v>
      </c>
    </row>
    <row r="17" spans="1:7" x14ac:dyDescent="0.25">
      <c r="A17" s="7" t="s">
        <v>67</v>
      </c>
      <c r="B17" s="40">
        <v>0</v>
      </c>
      <c r="D17" s="7" t="s">
        <v>67</v>
      </c>
      <c r="F17" s="7" t="s">
        <v>67</v>
      </c>
      <c r="G17" s="40">
        <v>247</v>
      </c>
    </row>
    <row r="18" spans="1:7" x14ac:dyDescent="0.25">
      <c r="A18" s="7" t="s">
        <v>72</v>
      </c>
      <c r="B18" s="40">
        <v>12</v>
      </c>
      <c r="D18" s="7" t="s">
        <v>72</v>
      </c>
      <c r="F18" s="7" t="s">
        <v>72</v>
      </c>
      <c r="G18" s="40">
        <v>106</v>
      </c>
    </row>
    <row r="19" spans="1:7" x14ac:dyDescent="0.25">
      <c r="A19" s="7" t="s">
        <v>74</v>
      </c>
      <c r="B19" s="40">
        <v>40</v>
      </c>
      <c r="D19" s="7" t="s">
        <v>74</v>
      </c>
      <c r="F19" s="7" t="s">
        <v>74</v>
      </c>
      <c r="G19" s="40">
        <v>237</v>
      </c>
    </row>
    <row r="20" spans="1:7" x14ac:dyDescent="0.25">
      <c r="A20" s="7" t="s">
        <v>76</v>
      </c>
      <c r="B20" s="40">
        <v>70</v>
      </c>
      <c r="D20" s="7" t="s">
        <v>76</v>
      </c>
      <c r="F20" s="7" t="s">
        <v>76</v>
      </c>
      <c r="G20" s="40">
        <v>126</v>
      </c>
    </row>
    <row r="21" spans="1:7" x14ac:dyDescent="0.25">
      <c r="A21" s="7" t="s">
        <v>80</v>
      </c>
      <c r="B21" s="40">
        <v>45</v>
      </c>
      <c r="D21" s="7" t="s">
        <v>80</v>
      </c>
      <c r="F21" s="7" t="s">
        <v>80</v>
      </c>
      <c r="G21" s="40">
        <v>143</v>
      </c>
    </row>
    <row r="22" spans="1:7" x14ac:dyDescent="0.25">
      <c r="A22" s="7" t="s">
        <v>84</v>
      </c>
      <c r="B22" s="40">
        <v>50</v>
      </c>
      <c r="D22" s="7" t="s">
        <v>84</v>
      </c>
      <c r="F22" s="7" t="s">
        <v>84</v>
      </c>
      <c r="G22" s="40">
        <v>207</v>
      </c>
    </row>
    <row r="23" spans="1:7" x14ac:dyDescent="0.25">
      <c r="A23" s="7" t="s">
        <v>87</v>
      </c>
      <c r="B23" s="40">
        <v>54</v>
      </c>
      <c r="D23" s="7" t="s">
        <v>87</v>
      </c>
      <c r="F23" s="7" t="s">
        <v>87</v>
      </c>
      <c r="G23" s="40">
        <v>352</v>
      </c>
    </row>
    <row r="24" spans="1:7" x14ac:dyDescent="0.25">
      <c r="A24" s="7" t="s">
        <v>90</v>
      </c>
      <c r="B24" s="40">
        <v>0</v>
      </c>
      <c r="D24" s="7" t="s">
        <v>90</v>
      </c>
      <c r="F24" s="7" t="s">
        <v>90</v>
      </c>
      <c r="G24" s="40">
        <v>360</v>
      </c>
    </row>
    <row r="25" spans="1:7" x14ac:dyDescent="0.25">
      <c r="A25" s="7" t="s">
        <v>92</v>
      </c>
      <c r="B25" s="40">
        <v>78</v>
      </c>
      <c r="D25" s="7" t="s">
        <v>92</v>
      </c>
      <c r="F25" s="7" t="s">
        <v>92</v>
      </c>
      <c r="G25" s="40">
        <v>190</v>
      </c>
    </row>
    <row r="26" spans="1:7" x14ac:dyDescent="0.25">
      <c r="A26" s="7" t="s">
        <v>93</v>
      </c>
      <c r="B26" s="40">
        <v>50</v>
      </c>
      <c r="D26" s="7" t="s">
        <v>93</v>
      </c>
      <c r="F26" s="7" t="s">
        <v>93</v>
      </c>
      <c r="G26" s="40">
        <v>189</v>
      </c>
    </row>
    <row r="27" spans="1:7" x14ac:dyDescent="0.25">
      <c r="A27" s="7" t="s">
        <v>97</v>
      </c>
      <c r="B27" s="40">
        <v>36</v>
      </c>
      <c r="D27" s="7" t="s">
        <v>97</v>
      </c>
      <c r="F27" s="7" t="s">
        <v>97</v>
      </c>
      <c r="G27" s="40">
        <v>60</v>
      </c>
    </row>
    <row r="28" spans="1:7" x14ac:dyDescent="0.25">
      <c r="A28" s="7" t="s">
        <v>98</v>
      </c>
      <c r="B28" s="40">
        <v>100</v>
      </c>
      <c r="D28" s="7" t="s">
        <v>98</v>
      </c>
      <c r="F28" s="7" t="s">
        <v>98</v>
      </c>
      <c r="G28" s="40">
        <v>406</v>
      </c>
    </row>
    <row r="29" spans="1:7" x14ac:dyDescent="0.25">
      <c r="A29" s="7" t="s">
        <v>99</v>
      </c>
      <c r="B29" s="40">
        <v>20</v>
      </c>
      <c r="D29" s="7" t="s">
        <v>99</v>
      </c>
      <c r="F29" s="7" t="s">
        <v>99</v>
      </c>
      <c r="G29" s="40">
        <v>491</v>
      </c>
    </row>
    <row r="30" spans="1:7" x14ac:dyDescent="0.25">
      <c r="A30" s="7" t="s">
        <v>101</v>
      </c>
      <c r="B30" s="40">
        <v>100</v>
      </c>
      <c r="D30" s="7" t="s">
        <v>101</v>
      </c>
      <c r="F30" s="7" t="s">
        <v>101</v>
      </c>
      <c r="G30" s="40">
        <v>2</v>
      </c>
    </row>
    <row r="31" spans="1:7" x14ac:dyDescent="0.25">
      <c r="A31" s="7" t="s">
        <v>102</v>
      </c>
      <c r="B31" s="40">
        <v>210</v>
      </c>
      <c r="D31" s="7" t="s">
        <v>102</v>
      </c>
      <c r="F31" s="7" t="s">
        <v>102</v>
      </c>
      <c r="G31" s="40">
        <v>89</v>
      </c>
    </row>
    <row r="32" spans="1:7" x14ac:dyDescent="0.25">
      <c r="A32" s="7" t="s">
        <v>104</v>
      </c>
      <c r="B32" s="40">
        <v>32</v>
      </c>
      <c r="D32" s="7" t="s">
        <v>104</v>
      </c>
      <c r="F32" s="7" t="s">
        <v>104</v>
      </c>
      <c r="G32" s="40">
        <v>0</v>
      </c>
    </row>
    <row r="33" spans="1:7" x14ac:dyDescent="0.25">
      <c r="A33" s="7" t="s">
        <v>105</v>
      </c>
      <c r="B33" s="40">
        <v>40</v>
      </c>
      <c r="D33" s="7" t="s">
        <v>105</v>
      </c>
      <c r="F33" s="7" t="s">
        <v>105</v>
      </c>
      <c r="G33" s="40">
        <v>20</v>
      </c>
    </row>
    <row r="34" spans="1:7" x14ac:dyDescent="0.25">
      <c r="A34" s="7" t="s">
        <v>107</v>
      </c>
      <c r="B34" s="40">
        <v>500</v>
      </c>
      <c r="D34" s="7" t="s">
        <v>107</v>
      </c>
      <c r="F34" s="7" t="s">
        <v>107</v>
      </c>
      <c r="G34" s="40">
        <v>3000</v>
      </c>
    </row>
    <row r="35" spans="1:7" x14ac:dyDescent="0.25">
      <c r="A35" s="7" t="s">
        <v>108</v>
      </c>
      <c r="B35" s="40">
        <v>60</v>
      </c>
      <c r="D35" s="7" t="s">
        <v>108</v>
      </c>
      <c r="F35" s="7" t="s">
        <v>108</v>
      </c>
      <c r="G35" s="40">
        <v>0</v>
      </c>
    </row>
    <row r="36" spans="1:7" x14ac:dyDescent="0.25">
      <c r="A36" s="7" t="s">
        <v>110</v>
      </c>
      <c r="B36" s="40">
        <v>1500</v>
      </c>
      <c r="D36" s="7" t="s">
        <v>110</v>
      </c>
      <c r="F36" s="7" t="s">
        <v>110</v>
      </c>
      <c r="G36" s="40">
        <v>0</v>
      </c>
    </row>
    <row r="37" spans="1:7" x14ac:dyDescent="0.25">
      <c r="A37" s="7" t="s">
        <v>113</v>
      </c>
      <c r="B37" s="40">
        <v>44</v>
      </c>
      <c r="D37" s="7" t="s">
        <v>113</v>
      </c>
      <c r="F37" s="7" t="s">
        <v>113</v>
      </c>
      <c r="G37" s="40">
        <v>9</v>
      </c>
    </row>
    <row r="38" spans="1:7" x14ac:dyDescent="0.25">
      <c r="A38" s="7" t="s">
        <v>115</v>
      </c>
      <c r="B38" s="40">
        <v>0</v>
      </c>
      <c r="D38" s="7" t="s">
        <v>115</v>
      </c>
      <c r="F38" s="7" t="s">
        <v>115</v>
      </c>
      <c r="G38" s="40">
        <v>18</v>
      </c>
    </row>
    <row r="39" spans="1:7" x14ac:dyDescent="0.25">
      <c r="A39" s="7" t="s">
        <v>116</v>
      </c>
      <c r="B39" s="40">
        <v>1930</v>
      </c>
      <c r="D39" s="7" t="s">
        <v>116</v>
      </c>
      <c r="F39" s="7" t="s">
        <v>116</v>
      </c>
      <c r="G39" s="40">
        <v>11800</v>
      </c>
    </row>
    <row r="40" spans="1:7" x14ac:dyDescent="0.25">
      <c r="A40" s="7" t="s">
        <v>118</v>
      </c>
      <c r="B40" s="40">
        <v>0</v>
      </c>
      <c r="D40" s="7" t="s">
        <v>118</v>
      </c>
      <c r="F40" s="7" t="s">
        <v>118</v>
      </c>
      <c r="G40" s="40">
        <v>218</v>
      </c>
    </row>
    <row r="41" spans="1:7" x14ac:dyDescent="0.25">
      <c r="A41" s="7" t="s">
        <v>122</v>
      </c>
      <c r="B41" s="40">
        <v>254</v>
      </c>
      <c r="D41" s="7" t="s">
        <v>122</v>
      </c>
      <c r="F41" s="7" t="s">
        <v>122</v>
      </c>
      <c r="G41" s="40">
        <v>1400</v>
      </c>
    </row>
    <row r="42" spans="1:7" x14ac:dyDescent="0.25">
      <c r="A42" s="7" t="s">
        <v>124</v>
      </c>
      <c r="B42" s="40">
        <v>15</v>
      </c>
      <c r="D42" s="7" t="s">
        <v>124</v>
      </c>
      <c r="F42" s="7" t="s">
        <v>124</v>
      </c>
      <c r="G42" s="40">
        <v>7</v>
      </c>
    </row>
    <row r="43" spans="1:7" x14ac:dyDescent="0.25">
      <c r="A43" s="7" t="s">
        <v>127</v>
      </c>
      <c r="B43" s="40">
        <v>30</v>
      </c>
      <c r="D43" s="7" t="s">
        <v>127</v>
      </c>
      <c r="F43" s="7" t="s">
        <v>127</v>
      </c>
      <c r="G43" s="40">
        <v>33</v>
      </c>
    </row>
    <row r="44" spans="1:7" x14ac:dyDescent="0.25">
      <c r="A44" s="7" t="s">
        <v>128</v>
      </c>
      <c r="B44" s="40">
        <v>0</v>
      </c>
      <c r="D44" s="7" t="s">
        <v>128</v>
      </c>
      <c r="F44" s="7" t="s">
        <v>128</v>
      </c>
      <c r="G44" s="40">
        <v>0</v>
      </c>
    </row>
    <row r="45" spans="1:7" x14ac:dyDescent="0.25">
      <c r="A45" s="7" t="s">
        <v>132</v>
      </c>
      <c r="B45" s="40">
        <v>0</v>
      </c>
      <c r="D45" s="7" t="s">
        <v>132</v>
      </c>
      <c r="F45" s="7" t="s">
        <v>132</v>
      </c>
      <c r="G45" s="40">
        <v>420</v>
      </c>
    </row>
    <row r="46" spans="1:7" x14ac:dyDescent="0.25">
      <c r="A46" s="7" t="s">
        <v>136</v>
      </c>
      <c r="B46" s="40">
        <v>67</v>
      </c>
      <c r="D46" s="7" t="s">
        <v>136</v>
      </c>
      <c r="F46" s="7" t="s">
        <v>136</v>
      </c>
      <c r="G46" s="40">
        <v>245</v>
      </c>
    </row>
    <row r="47" spans="1:7" x14ac:dyDescent="0.25">
      <c r="A47" s="7" t="s">
        <v>137</v>
      </c>
      <c r="B47" s="40">
        <v>46</v>
      </c>
      <c r="D47" s="7" t="s">
        <v>137</v>
      </c>
      <c r="F47" s="7" t="s">
        <v>137</v>
      </c>
      <c r="G47" s="40">
        <v>0</v>
      </c>
    </row>
    <row r="48" spans="1:7" x14ac:dyDescent="0.25">
      <c r="A48" s="7" t="s">
        <v>140</v>
      </c>
      <c r="B48" s="40">
        <v>100</v>
      </c>
      <c r="D48" s="7" t="s">
        <v>140</v>
      </c>
      <c r="F48" s="7" t="s">
        <v>140</v>
      </c>
      <c r="G48" s="40">
        <v>160</v>
      </c>
    </row>
    <row r="49" spans="1:7" x14ac:dyDescent="0.25">
      <c r="A49" s="7" t="s">
        <v>141</v>
      </c>
      <c r="B49" s="40">
        <v>80</v>
      </c>
      <c r="D49" s="7" t="s">
        <v>141</v>
      </c>
      <c r="F49" s="7" t="s">
        <v>141</v>
      </c>
      <c r="G49" s="40">
        <v>293</v>
      </c>
    </row>
    <row r="50" spans="1:7" x14ac:dyDescent="0.25">
      <c r="A50" s="7" t="s">
        <v>143</v>
      </c>
      <c r="B50" s="40">
        <v>20</v>
      </c>
      <c r="D50" s="7" t="s">
        <v>143</v>
      </c>
      <c r="F50" s="7" t="s">
        <v>143</v>
      </c>
      <c r="G50" s="40">
        <v>175</v>
      </c>
    </row>
    <row r="51" spans="1:7" x14ac:dyDescent="0.25">
      <c r="A51" s="7" t="s">
        <v>144</v>
      </c>
      <c r="B51" s="40">
        <v>400</v>
      </c>
      <c r="D51" s="7" t="s">
        <v>144</v>
      </c>
      <c r="F51" s="7" t="s">
        <v>144</v>
      </c>
      <c r="G51" s="40">
        <v>16</v>
      </c>
    </row>
    <row r="52" spans="1:7" x14ac:dyDescent="0.25">
      <c r="A52" s="7" t="s">
        <v>147</v>
      </c>
      <c r="B52" s="40">
        <v>176</v>
      </c>
      <c r="D52" s="7" t="s">
        <v>147</v>
      </c>
      <c r="F52" s="7" t="s">
        <v>147</v>
      </c>
      <c r="G52" s="40">
        <v>348</v>
      </c>
    </row>
    <row r="53" spans="1:7" x14ac:dyDescent="0.25">
      <c r="A53" s="7" t="s">
        <v>148</v>
      </c>
      <c r="B53" s="40">
        <v>400</v>
      </c>
      <c r="D53" s="7" t="s">
        <v>148</v>
      </c>
      <c r="F53" s="7" t="s">
        <v>148</v>
      </c>
      <c r="G53" s="40">
        <v>60</v>
      </c>
    </row>
    <row r="54" spans="1:7" x14ac:dyDescent="0.25">
      <c r="A54" s="7" t="s">
        <v>151</v>
      </c>
      <c r="B54" s="40">
        <v>23</v>
      </c>
      <c r="D54" s="7" t="s">
        <v>151</v>
      </c>
      <c r="F54" s="7" t="s">
        <v>151</v>
      </c>
      <c r="G54" s="40">
        <v>202</v>
      </c>
    </row>
    <row r="55" spans="1:7" x14ac:dyDescent="0.25">
      <c r="A55" s="7" t="s">
        <v>152</v>
      </c>
      <c r="B55" s="40">
        <v>47</v>
      </c>
      <c r="D55" s="7" t="s">
        <v>152</v>
      </c>
      <c r="F55" s="7" t="s">
        <v>152</v>
      </c>
      <c r="G55" s="40">
        <v>356</v>
      </c>
    </row>
    <row r="56" spans="1:7" x14ac:dyDescent="0.25">
      <c r="A56" s="7" t="s">
        <v>153</v>
      </c>
      <c r="B56" s="40">
        <v>18150</v>
      </c>
      <c r="D56" s="7" t="s">
        <v>153</v>
      </c>
      <c r="F56" s="7" t="s">
        <v>153</v>
      </c>
      <c r="G56" s="40">
        <v>324</v>
      </c>
    </row>
    <row r="57" spans="1:7" x14ac:dyDescent="0.25">
      <c r="A57" s="7" t="s">
        <v>154</v>
      </c>
      <c r="B57" s="40">
        <v>0</v>
      </c>
      <c r="D57" s="7" t="s">
        <v>154</v>
      </c>
      <c r="F57" s="7" t="s">
        <v>154</v>
      </c>
      <c r="G57" s="40">
        <v>328</v>
      </c>
    </row>
    <row r="58" spans="1:7" x14ac:dyDescent="0.25">
      <c r="A58" s="7" t="s">
        <v>156</v>
      </c>
      <c r="B58" s="40">
        <v>50</v>
      </c>
      <c r="D58" s="7" t="s">
        <v>156</v>
      </c>
      <c r="F58" s="7" t="s">
        <v>156</v>
      </c>
      <c r="G58" s="40">
        <v>0</v>
      </c>
    </row>
    <row r="59" spans="1:7" x14ac:dyDescent="0.25">
      <c r="A59" s="7" t="s">
        <v>158</v>
      </c>
      <c r="B59" s="40">
        <v>700</v>
      </c>
      <c r="D59" s="7" t="s">
        <v>158</v>
      </c>
      <c r="F59" s="7" t="s">
        <v>158</v>
      </c>
      <c r="G59" s="40">
        <v>0</v>
      </c>
    </row>
    <row r="60" spans="1:7" x14ac:dyDescent="0.25">
      <c r="A60" s="7" t="s">
        <v>160</v>
      </c>
      <c r="B60" s="40">
        <v>50</v>
      </c>
      <c r="D60" s="7" t="s">
        <v>160</v>
      </c>
      <c r="F60" s="7" t="s">
        <v>160</v>
      </c>
      <c r="G60" s="40">
        <v>92</v>
      </c>
    </row>
    <row r="61" spans="1:7" x14ac:dyDescent="0.25">
      <c r="A61" s="7" t="s">
        <v>162</v>
      </c>
      <c r="B61" s="40">
        <v>130</v>
      </c>
      <c r="D61" s="7" t="s">
        <v>162</v>
      </c>
      <c r="F61" s="7" t="s">
        <v>162</v>
      </c>
      <c r="G61" s="40">
        <v>566</v>
      </c>
    </row>
    <row r="62" spans="1:7" x14ac:dyDescent="0.25">
      <c r="A62" s="7" t="s">
        <v>163</v>
      </c>
      <c r="B62" s="40">
        <v>13</v>
      </c>
      <c r="D62" s="7" t="s">
        <v>163</v>
      </c>
      <c r="F62" s="7" t="s">
        <v>163</v>
      </c>
      <c r="G62" s="40">
        <v>187</v>
      </c>
    </row>
    <row r="63" spans="1:7" x14ac:dyDescent="0.25">
      <c r="A63" s="7" t="s">
        <v>164</v>
      </c>
      <c r="B63" s="40">
        <v>17</v>
      </c>
      <c r="D63" s="7" t="s">
        <v>164</v>
      </c>
      <c r="F63" s="7" t="s">
        <v>164</v>
      </c>
      <c r="G63" s="40">
        <v>25</v>
      </c>
    </row>
    <row r="64" spans="1:7" x14ac:dyDescent="0.25">
      <c r="A64" s="7" t="s">
        <v>165</v>
      </c>
      <c r="B64" s="40">
        <v>17</v>
      </c>
      <c r="D64" s="7" t="s">
        <v>165</v>
      </c>
      <c r="F64" s="7" t="s">
        <v>165</v>
      </c>
      <c r="G64" s="40">
        <v>14</v>
      </c>
    </row>
    <row r="65" spans="1:7" x14ac:dyDescent="0.25">
      <c r="A65" s="7" t="s">
        <v>166</v>
      </c>
      <c r="B65" s="40">
        <v>135</v>
      </c>
      <c r="D65" s="7" t="s">
        <v>166</v>
      </c>
      <c r="F65" s="7" t="s">
        <v>166</v>
      </c>
      <c r="G65" s="40">
        <v>181</v>
      </c>
    </row>
    <row r="66" spans="1:7" x14ac:dyDescent="0.25">
      <c r="A66" s="7" t="s">
        <v>168</v>
      </c>
      <c r="B66" s="40">
        <v>20</v>
      </c>
      <c r="D66" s="7" t="s">
        <v>168</v>
      </c>
      <c r="F66" s="7" t="s">
        <v>168</v>
      </c>
      <c r="G66" s="40">
        <v>26</v>
      </c>
    </row>
    <row r="67" spans="1:7" x14ac:dyDescent="0.25">
      <c r="A67" s="7" t="s">
        <v>169</v>
      </c>
      <c r="B67" s="40">
        <v>35</v>
      </c>
      <c r="D67" s="7" t="s">
        <v>169</v>
      </c>
      <c r="F67" s="7" t="s">
        <v>169</v>
      </c>
      <c r="G67" s="40">
        <v>64</v>
      </c>
    </row>
    <row r="68" spans="1:7" x14ac:dyDescent="0.25">
      <c r="A68" s="7" t="s">
        <v>171</v>
      </c>
      <c r="B68" s="40">
        <v>23</v>
      </c>
      <c r="D68" s="7" t="s">
        <v>171</v>
      </c>
      <c r="F68" s="7" t="s">
        <v>171</v>
      </c>
      <c r="G68" s="40">
        <v>36</v>
      </c>
    </row>
    <row r="69" spans="1:7" x14ac:dyDescent="0.25">
      <c r="A69" s="7" t="s">
        <v>173</v>
      </c>
      <c r="B69" s="40">
        <v>11</v>
      </c>
      <c r="D69" s="7" t="s">
        <v>173</v>
      </c>
      <c r="F69" s="7" t="s">
        <v>173</v>
      </c>
      <c r="G69" s="40">
        <v>15</v>
      </c>
    </row>
    <row r="70" spans="1:7" x14ac:dyDescent="0.25">
      <c r="A70" s="7" t="s">
        <v>175</v>
      </c>
      <c r="B70" s="40">
        <v>29</v>
      </c>
      <c r="D70" s="7" t="s">
        <v>175</v>
      </c>
      <c r="F70" s="7" t="s">
        <v>175</v>
      </c>
      <c r="G70" s="40">
        <v>169</v>
      </c>
    </row>
    <row r="71" spans="1:7" x14ac:dyDescent="0.25">
      <c r="A71" s="7" t="s">
        <v>176</v>
      </c>
      <c r="B71" s="40">
        <v>0</v>
      </c>
      <c r="D71" s="7" t="s">
        <v>176</v>
      </c>
      <c r="F71" s="7" t="s">
        <v>176</v>
      </c>
      <c r="G71" s="40">
        <v>183</v>
      </c>
    </row>
    <row r="72" spans="1:7" x14ac:dyDescent="0.25">
      <c r="A72" s="7" t="s">
        <v>177</v>
      </c>
      <c r="B72" s="40">
        <v>0</v>
      </c>
      <c r="D72" s="7" t="s">
        <v>177</v>
      </c>
      <c r="F72" s="7" t="s">
        <v>177</v>
      </c>
      <c r="G72" s="40">
        <v>11</v>
      </c>
    </row>
    <row r="73" spans="1:7" x14ac:dyDescent="0.25">
      <c r="A73" s="7" t="s">
        <v>178</v>
      </c>
      <c r="B73" s="40">
        <v>80</v>
      </c>
      <c r="D73" s="7" t="s">
        <v>178</v>
      </c>
      <c r="F73" s="7" t="s">
        <v>178</v>
      </c>
      <c r="G73" s="40">
        <v>156</v>
      </c>
    </row>
    <row r="74" spans="1:7" x14ac:dyDescent="0.25">
      <c r="A74" s="7" t="s">
        <v>179</v>
      </c>
      <c r="B74" s="40">
        <v>164</v>
      </c>
      <c r="D74" s="7" t="s">
        <v>179</v>
      </c>
      <c r="F74" s="7" t="s">
        <v>179</v>
      </c>
      <c r="G74" s="40">
        <v>0</v>
      </c>
    </row>
    <row r="75" spans="1:7" x14ac:dyDescent="0.25">
      <c r="A75" s="7" t="s">
        <v>183</v>
      </c>
      <c r="B75" s="40">
        <v>300</v>
      </c>
      <c r="D75" s="7" t="s">
        <v>183</v>
      </c>
      <c r="F75" s="7" t="s">
        <v>183</v>
      </c>
      <c r="G75" s="40">
        <v>1600</v>
      </c>
    </row>
    <row r="76" spans="1:7" x14ac:dyDescent="0.25">
      <c r="A76" s="7" t="s">
        <v>184</v>
      </c>
      <c r="B76" s="40">
        <v>90</v>
      </c>
      <c r="D76" s="7" t="s">
        <v>184</v>
      </c>
      <c r="F76" s="7" t="s">
        <v>184</v>
      </c>
      <c r="G76" s="40">
        <v>483</v>
      </c>
    </row>
    <row r="77" spans="1:7" x14ac:dyDescent="0.25">
      <c r="A77" s="7" t="s">
        <v>186</v>
      </c>
      <c r="B77" s="40">
        <v>80</v>
      </c>
      <c r="D77" s="7" t="s">
        <v>186</v>
      </c>
      <c r="F77" s="7" t="s">
        <v>186</v>
      </c>
      <c r="G77" s="40">
        <v>12</v>
      </c>
    </row>
    <row r="78" spans="1:7" x14ac:dyDescent="0.25">
      <c r="A78" s="7" t="s">
        <v>188</v>
      </c>
      <c r="B78" s="40">
        <v>89</v>
      </c>
      <c r="D78" s="7" t="s">
        <v>188</v>
      </c>
      <c r="F78" s="7" t="s">
        <v>188</v>
      </c>
      <c r="G78" s="40">
        <v>365</v>
      </c>
    </row>
    <row r="79" spans="1:7" x14ac:dyDescent="0.25">
      <c r="A79" s="7" t="s">
        <v>189</v>
      </c>
      <c r="B79" s="40">
        <v>13</v>
      </c>
      <c r="D79" s="7" t="s">
        <v>189</v>
      </c>
      <c r="F79" s="7" t="s">
        <v>189</v>
      </c>
      <c r="G79" s="40">
        <v>1</v>
      </c>
    </row>
    <row r="80" spans="1:7" x14ac:dyDescent="0.25">
      <c r="A80" s="7" t="s">
        <v>191</v>
      </c>
      <c r="B80" s="40">
        <v>0</v>
      </c>
      <c r="D80" s="7" t="s">
        <v>191</v>
      </c>
      <c r="F80" s="7" t="s">
        <v>191</v>
      </c>
      <c r="G80" s="40">
        <v>155</v>
      </c>
    </row>
    <row r="81" spans="1:7" x14ac:dyDescent="0.25">
      <c r="A81" s="7" t="s">
        <v>193</v>
      </c>
      <c r="B81" s="40">
        <v>682</v>
      </c>
      <c r="D81" s="7" t="s">
        <v>193</v>
      </c>
      <c r="F81" s="7" t="s">
        <v>193</v>
      </c>
      <c r="G81" s="40">
        <v>14400</v>
      </c>
    </row>
    <row r="82" spans="1:7" x14ac:dyDescent="0.25">
      <c r="A82" s="7" t="s">
        <v>196</v>
      </c>
      <c r="B82" s="40">
        <v>20</v>
      </c>
      <c r="D82" s="7" t="s">
        <v>196</v>
      </c>
      <c r="F82" s="7" t="s">
        <v>196</v>
      </c>
      <c r="G82" s="40">
        <v>78</v>
      </c>
    </row>
    <row r="83" spans="1:7" x14ac:dyDescent="0.25">
      <c r="A83" s="7" t="s">
        <v>197</v>
      </c>
      <c r="B83" s="40">
        <v>25</v>
      </c>
      <c r="D83" s="7" t="s">
        <v>197</v>
      </c>
      <c r="F83" s="7" t="s">
        <v>197</v>
      </c>
      <c r="G83" s="40">
        <v>537</v>
      </c>
    </row>
    <row r="84" spans="1:7" x14ac:dyDescent="0.25">
      <c r="A84" s="7" t="s">
        <v>198</v>
      </c>
      <c r="B84" s="40">
        <v>800</v>
      </c>
      <c r="D84" s="7" t="s">
        <v>198</v>
      </c>
      <c r="F84" s="7" t="s">
        <v>198</v>
      </c>
      <c r="G84" s="40">
        <v>1258</v>
      </c>
    </row>
    <row r="85" spans="1:7" x14ac:dyDescent="0.25">
      <c r="A85" s="7" t="s">
        <v>201</v>
      </c>
      <c r="B85" s="40">
        <v>75</v>
      </c>
      <c r="D85" s="7" t="s">
        <v>201</v>
      </c>
      <c r="F85" s="7" t="s">
        <v>201</v>
      </c>
      <c r="G85" s="40">
        <v>35</v>
      </c>
    </row>
    <row r="86" spans="1:7" x14ac:dyDescent="0.25">
      <c r="A86" s="7" t="s">
        <v>203</v>
      </c>
      <c r="B86" s="40">
        <v>216</v>
      </c>
      <c r="D86" s="7" t="s">
        <v>203</v>
      </c>
      <c r="F86" s="7" t="s">
        <v>203</v>
      </c>
      <c r="G86" s="40">
        <v>0</v>
      </c>
    </row>
    <row r="87" spans="1:7" x14ac:dyDescent="0.25">
      <c r="A87" s="7" t="s">
        <v>204</v>
      </c>
      <c r="B87" s="40">
        <v>38</v>
      </c>
      <c r="D87" s="7" t="s">
        <v>204</v>
      </c>
      <c r="F87" s="7" t="s">
        <v>204</v>
      </c>
      <c r="G87" s="40">
        <v>1500</v>
      </c>
    </row>
    <row r="88" spans="1:7" x14ac:dyDescent="0.25">
      <c r="A88" s="7" t="s">
        <v>205</v>
      </c>
      <c r="B88" s="40">
        <v>26</v>
      </c>
      <c r="D88" s="7" t="s">
        <v>205</v>
      </c>
      <c r="F88" s="7" t="s">
        <v>205</v>
      </c>
      <c r="G88" s="40">
        <v>0</v>
      </c>
    </row>
    <row r="89" spans="1:7" x14ac:dyDescent="0.25">
      <c r="A89" s="7" t="s">
        <v>206</v>
      </c>
      <c r="B89" s="40">
        <v>180</v>
      </c>
      <c r="D89" s="7" t="s">
        <v>206</v>
      </c>
      <c r="F89" s="7" t="s">
        <v>206</v>
      </c>
      <c r="G89" s="40">
        <v>453</v>
      </c>
    </row>
    <row r="90" spans="1:7" x14ac:dyDescent="0.25">
      <c r="A90" s="7" t="s">
        <v>207</v>
      </c>
      <c r="B90" s="40">
        <v>23</v>
      </c>
      <c r="D90" s="7" t="s">
        <v>207</v>
      </c>
      <c r="F90" s="7" t="s">
        <v>207</v>
      </c>
      <c r="G90" s="40">
        <v>27</v>
      </c>
    </row>
    <row r="91" spans="1:7" x14ac:dyDescent="0.25">
      <c r="A91" s="7" t="s">
        <v>208</v>
      </c>
      <c r="B91" s="40">
        <v>0</v>
      </c>
      <c r="D91" s="7" t="s">
        <v>208</v>
      </c>
      <c r="F91" s="7" t="s">
        <v>208</v>
      </c>
      <c r="G91" s="40">
        <v>2</v>
      </c>
    </row>
    <row r="92" spans="1:7" x14ac:dyDescent="0.25">
      <c r="A92" s="7" t="s">
        <v>209</v>
      </c>
      <c r="B92" s="40">
        <v>40</v>
      </c>
      <c r="D92" s="7" t="s">
        <v>209</v>
      </c>
      <c r="F92" s="7" t="s">
        <v>209</v>
      </c>
      <c r="G92" s="40">
        <v>400</v>
      </c>
    </row>
    <row r="93" spans="1:7" x14ac:dyDescent="0.25">
      <c r="A93" s="7" t="s">
        <v>211</v>
      </c>
      <c r="B93" s="40">
        <v>76</v>
      </c>
      <c r="D93" s="7" t="s">
        <v>211</v>
      </c>
      <c r="F93" s="7" t="s">
        <v>211</v>
      </c>
      <c r="G93" s="40">
        <v>282</v>
      </c>
    </row>
    <row r="94" spans="1:7" x14ac:dyDescent="0.25">
      <c r="A94" s="7" t="s">
        <v>212</v>
      </c>
      <c r="B94" s="40">
        <v>0</v>
      </c>
      <c r="D94" s="7" t="s">
        <v>212</v>
      </c>
      <c r="F94" s="7" t="s">
        <v>212</v>
      </c>
      <c r="G94" s="40">
        <v>0</v>
      </c>
    </row>
    <row r="95" spans="1:7" x14ac:dyDescent="0.25">
      <c r="A95" s="7" t="s">
        <v>214</v>
      </c>
      <c r="B95" s="40">
        <v>15</v>
      </c>
      <c r="D95" s="7" t="s">
        <v>214</v>
      </c>
      <c r="F95" s="7" t="s">
        <v>214</v>
      </c>
      <c r="G95" s="40">
        <v>32</v>
      </c>
    </row>
    <row r="96" spans="1:7" x14ac:dyDescent="0.25">
      <c r="A96" s="7" t="s">
        <v>215</v>
      </c>
      <c r="B96" s="40">
        <v>500</v>
      </c>
      <c r="D96" s="7" t="s">
        <v>215</v>
      </c>
      <c r="F96" s="7" t="s">
        <v>215</v>
      </c>
      <c r="G96" s="40">
        <v>210</v>
      </c>
    </row>
    <row r="97" spans="1:7" x14ac:dyDescent="0.25">
      <c r="A97" s="7" t="s">
        <v>216</v>
      </c>
      <c r="B97" s="40">
        <v>32</v>
      </c>
      <c r="D97" s="7" t="s">
        <v>216</v>
      </c>
      <c r="F97" s="7" t="s">
        <v>216</v>
      </c>
      <c r="G97" s="40">
        <v>177</v>
      </c>
    </row>
    <row r="98" spans="1:7" x14ac:dyDescent="0.25">
      <c r="A98" s="7" t="s">
        <v>217</v>
      </c>
      <c r="B98" s="40">
        <v>6</v>
      </c>
      <c r="D98" s="7" t="s">
        <v>217</v>
      </c>
      <c r="F98" s="7" t="s">
        <v>217</v>
      </c>
      <c r="G98" s="40">
        <v>1</v>
      </c>
    </row>
    <row r="99" spans="1:7" x14ac:dyDescent="0.25">
      <c r="A99" s="7" t="s">
        <v>218</v>
      </c>
      <c r="B99" s="40">
        <v>0</v>
      </c>
      <c r="D99" s="7" t="s">
        <v>218</v>
      </c>
      <c r="F99" s="7" t="s">
        <v>218</v>
      </c>
      <c r="G99" s="40">
        <v>863</v>
      </c>
    </row>
    <row r="100" spans="1:7" x14ac:dyDescent="0.25">
      <c r="A100" s="7" t="s">
        <v>219</v>
      </c>
      <c r="B100" s="40">
        <v>19</v>
      </c>
      <c r="D100" s="7" t="s">
        <v>219</v>
      </c>
      <c r="F100" s="7" t="s">
        <v>219</v>
      </c>
      <c r="G100" s="40">
        <v>80</v>
      </c>
    </row>
    <row r="101" spans="1:7" x14ac:dyDescent="0.25">
      <c r="A101" s="7" t="s">
        <v>220</v>
      </c>
      <c r="B101" s="40">
        <v>20</v>
      </c>
      <c r="D101" s="7" t="s">
        <v>220</v>
      </c>
      <c r="F101" s="7" t="s">
        <v>220</v>
      </c>
      <c r="G101" s="40">
        <v>274</v>
      </c>
    </row>
    <row r="102" spans="1:7" x14ac:dyDescent="0.25">
      <c r="A102" s="7" t="s">
        <v>222</v>
      </c>
      <c r="B102" s="40">
        <v>70</v>
      </c>
      <c r="D102" s="7" t="s">
        <v>222</v>
      </c>
      <c r="F102" s="7" t="s">
        <v>222</v>
      </c>
      <c r="G102" s="40">
        <v>500</v>
      </c>
    </row>
    <row r="103" spans="1:7" x14ac:dyDescent="0.25">
      <c r="A103" s="7" t="s">
        <v>223</v>
      </c>
      <c r="B103" s="40">
        <v>0</v>
      </c>
      <c r="D103" s="7" t="s">
        <v>223</v>
      </c>
      <c r="F103" s="7" t="s">
        <v>223</v>
      </c>
      <c r="G103" s="40">
        <v>584</v>
      </c>
    </row>
    <row r="104" spans="1:7" x14ac:dyDescent="0.25">
      <c r="A104" s="7" t="s">
        <v>224</v>
      </c>
      <c r="B104" s="40">
        <v>250</v>
      </c>
      <c r="D104" s="7" t="s">
        <v>224</v>
      </c>
      <c r="F104" s="7" t="s">
        <v>224</v>
      </c>
      <c r="G104" s="40">
        <v>0</v>
      </c>
    </row>
    <row r="105" spans="1:7" x14ac:dyDescent="0.25">
      <c r="A105" s="7" t="s">
        <v>225</v>
      </c>
      <c r="B105" s="40">
        <v>0</v>
      </c>
      <c r="D105" s="7" t="s">
        <v>225</v>
      </c>
      <c r="F105" s="7" t="s">
        <v>225</v>
      </c>
      <c r="G105" s="40">
        <v>24</v>
      </c>
    </row>
    <row r="106" spans="1:7" x14ac:dyDescent="0.25">
      <c r="A106" s="7" t="s">
        <v>226</v>
      </c>
      <c r="B106" s="40">
        <v>260</v>
      </c>
      <c r="D106" s="7" t="s">
        <v>226</v>
      </c>
      <c r="F106" s="7" t="s">
        <v>226</v>
      </c>
      <c r="G106" s="40">
        <v>840</v>
      </c>
    </row>
    <row r="107" spans="1:7" x14ac:dyDescent="0.25">
      <c r="A107" s="7" t="s">
        <v>227</v>
      </c>
      <c r="B107" s="40">
        <v>0</v>
      </c>
      <c r="D107" s="7" t="s">
        <v>227</v>
      </c>
      <c r="F107" s="7" t="s">
        <v>227</v>
      </c>
      <c r="G107" s="40">
        <v>152</v>
      </c>
    </row>
    <row r="108" spans="1:7" x14ac:dyDescent="0.25">
      <c r="A108" s="7" t="s">
        <v>229</v>
      </c>
      <c r="B108" s="40">
        <v>5</v>
      </c>
      <c r="D108" s="7" t="s">
        <v>229</v>
      </c>
      <c r="F108" s="7" t="s">
        <v>229</v>
      </c>
      <c r="G108" s="40">
        <v>0</v>
      </c>
    </row>
    <row r="109" spans="1:7" x14ac:dyDescent="0.25">
      <c r="A109" s="7" t="s">
        <v>231</v>
      </c>
      <c r="B109" s="40">
        <v>224</v>
      </c>
      <c r="D109" s="7" t="s">
        <v>231</v>
      </c>
      <c r="F109" s="7" t="s">
        <v>231</v>
      </c>
      <c r="G109" s="40">
        <v>1497</v>
      </c>
    </row>
    <row r="110" spans="1:7" x14ac:dyDescent="0.25">
      <c r="A110" s="7" t="s">
        <v>232</v>
      </c>
      <c r="B110" s="40">
        <v>0</v>
      </c>
      <c r="D110" s="7" t="s">
        <v>232</v>
      </c>
      <c r="F110" s="7" t="s">
        <v>232</v>
      </c>
      <c r="G110" s="40">
        <v>0</v>
      </c>
    </row>
    <row r="111" spans="1:7" x14ac:dyDescent="0.25">
      <c r="A111" s="7" t="s">
        <v>234</v>
      </c>
      <c r="B111" s="40">
        <v>500</v>
      </c>
      <c r="D111" s="7" t="s">
        <v>234</v>
      </c>
      <c r="F111" s="7" t="s">
        <v>234</v>
      </c>
      <c r="G111" s="40">
        <v>45</v>
      </c>
    </row>
    <row r="112" spans="1:7" x14ac:dyDescent="0.25">
      <c r="A112" s="7" t="s">
        <v>235</v>
      </c>
      <c r="B112" s="40">
        <v>60</v>
      </c>
      <c r="D112" s="7" t="s">
        <v>235</v>
      </c>
      <c r="F112" s="7" t="s">
        <v>235</v>
      </c>
      <c r="G112" s="40">
        <v>181</v>
      </c>
    </row>
    <row r="113" spans="1:7" x14ac:dyDescent="0.25">
      <c r="A113" s="7" t="s">
        <v>236</v>
      </c>
      <c r="B113" s="40">
        <v>0</v>
      </c>
      <c r="D113" s="7" t="s">
        <v>236</v>
      </c>
      <c r="F113" s="7" t="s">
        <v>236</v>
      </c>
      <c r="G113" s="40">
        <v>30</v>
      </c>
    </row>
    <row r="114" spans="1:7" x14ac:dyDescent="0.25">
      <c r="A114" s="7" t="s">
        <v>239</v>
      </c>
      <c r="B114" s="40">
        <v>5</v>
      </c>
      <c r="D114" s="7" t="s">
        <v>239</v>
      </c>
      <c r="F114" s="7" t="s">
        <v>239</v>
      </c>
      <c r="G114" s="40">
        <v>3</v>
      </c>
    </row>
    <row r="115" spans="1:7" x14ac:dyDescent="0.25">
      <c r="A115" s="7" t="s">
        <v>240</v>
      </c>
      <c r="B115" s="40">
        <v>250</v>
      </c>
      <c r="D115" s="7" t="s">
        <v>240</v>
      </c>
      <c r="F115" s="7" t="s">
        <v>240</v>
      </c>
      <c r="G115" s="40">
        <v>88</v>
      </c>
    </row>
    <row r="116" spans="1:7" x14ac:dyDescent="0.25">
      <c r="A116" s="7" t="s">
        <v>241</v>
      </c>
      <c r="B116" s="40">
        <v>100</v>
      </c>
      <c r="D116" s="7" t="s">
        <v>241</v>
      </c>
      <c r="F116" s="7" t="s">
        <v>241</v>
      </c>
      <c r="G116" s="40">
        <v>1100</v>
      </c>
    </row>
    <row r="117" spans="1:7" x14ac:dyDescent="0.25">
      <c r="A117" s="7" t="s">
        <v>242</v>
      </c>
      <c r="B117" s="40">
        <v>93</v>
      </c>
      <c r="D117" s="7" t="s">
        <v>242</v>
      </c>
      <c r="F117" s="7" t="s">
        <v>242</v>
      </c>
      <c r="G117" s="40">
        <v>1000</v>
      </c>
    </row>
    <row r="118" spans="1:7" x14ac:dyDescent="0.25">
      <c r="A118" s="7" t="s">
        <v>245</v>
      </c>
      <c r="B118" s="40">
        <v>0</v>
      </c>
      <c r="D118" s="7" t="s">
        <v>245</v>
      </c>
      <c r="F118" s="7" t="s">
        <v>245</v>
      </c>
      <c r="G118" s="40">
        <v>932</v>
      </c>
    </row>
    <row r="119" spans="1:7" x14ac:dyDescent="0.25">
      <c r="A119" s="7" t="s">
        <v>246</v>
      </c>
      <c r="B119" s="40">
        <v>0</v>
      </c>
      <c r="D119" s="7" t="s">
        <v>246</v>
      </c>
      <c r="F119" s="7" t="s">
        <v>246</v>
      </c>
      <c r="G119" s="40">
        <v>946</v>
      </c>
    </row>
    <row r="120" spans="1:7" x14ac:dyDescent="0.25">
      <c r="A120" s="7" t="s">
        <v>248</v>
      </c>
      <c r="B120" s="40">
        <v>65</v>
      </c>
      <c r="D120" s="7" t="s">
        <v>248</v>
      </c>
      <c r="F120" s="7" t="s">
        <v>248</v>
      </c>
      <c r="G120" s="40">
        <v>102</v>
      </c>
    </row>
    <row r="121" spans="1:7" x14ac:dyDescent="0.25">
      <c r="A121" s="7" t="s">
        <v>249</v>
      </c>
      <c r="B121" s="40">
        <v>52</v>
      </c>
      <c r="D121" s="7" t="s">
        <v>249</v>
      </c>
      <c r="F121" s="7" t="s">
        <v>249</v>
      </c>
      <c r="G121" s="40">
        <v>0</v>
      </c>
    </row>
    <row r="122" spans="1:7" x14ac:dyDescent="0.25">
      <c r="A122" s="7" t="s">
        <v>251</v>
      </c>
      <c r="B122" s="40">
        <v>70</v>
      </c>
      <c r="D122" s="7" t="s">
        <v>251</v>
      </c>
      <c r="F122" s="7" t="s">
        <v>251</v>
      </c>
      <c r="G122" s="40">
        <v>13</v>
      </c>
    </row>
    <row r="123" spans="1:7" x14ac:dyDescent="0.25">
      <c r="A123" s="7" t="s">
        <v>253</v>
      </c>
      <c r="B123" s="40">
        <v>0</v>
      </c>
      <c r="D123" s="7" t="s">
        <v>253</v>
      </c>
      <c r="F123" s="7" t="s">
        <v>253</v>
      </c>
      <c r="G123" s="40">
        <v>63</v>
      </c>
    </row>
    <row r="124" spans="1:7" x14ac:dyDescent="0.25">
      <c r="A124" s="7" t="s">
        <v>254</v>
      </c>
      <c r="B124" s="40">
        <v>126</v>
      </c>
      <c r="D124" s="7" t="s">
        <v>254</v>
      </c>
      <c r="F124" s="7" t="s">
        <v>254</v>
      </c>
      <c r="G124" s="40">
        <v>0</v>
      </c>
    </row>
    <row r="125" spans="1:7" x14ac:dyDescent="0.25">
      <c r="A125" s="7" t="s">
        <v>255</v>
      </c>
      <c r="B125" s="40">
        <v>16</v>
      </c>
      <c r="D125" s="7" t="s">
        <v>255</v>
      </c>
      <c r="F125" s="7" t="s">
        <v>255</v>
      </c>
      <c r="G125" s="40">
        <v>13</v>
      </c>
    </row>
    <row r="126" spans="1:7" x14ac:dyDescent="0.25">
      <c r="A126" s="7" t="s">
        <v>256</v>
      </c>
      <c r="B126" s="40">
        <v>31</v>
      </c>
      <c r="D126" s="7" t="s">
        <v>256</v>
      </c>
      <c r="F126" s="7" t="s">
        <v>256</v>
      </c>
      <c r="G126" s="40">
        <v>168</v>
      </c>
    </row>
    <row r="127" spans="1:7" x14ac:dyDescent="0.25">
      <c r="A127" s="7" t="s">
        <v>258</v>
      </c>
      <c r="B127" s="40">
        <v>0</v>
      </c>
      <c r="D127" s="7" t="s">
        <v>258</v>
      </c>
      <c r="F127" s="7" t="s">
        <v>258</v>
      </c>
      <c r="G127" s="40">
        <v>223</v>
      </c>
    </row>
    <row r="128" spans="1:7" x14ac:dyDescent="0.25">
      <c r="A128" s="7" t="s">
        <v>259</v>
      </c>
      <c r="B128" s="40">
        <v>30</v>
      </c>
      <c r="D128" s="7" t="s">
        <v>259</v>
      </c>
      <c r="F128" s="7" t="s">
        <v>259</v>
      </c>
      <c r="G128" s="40">
        <v>14</v>
      </c>
    </row>
    <row r="129" spans="1:7" x14ac:dyDescent="0.25">
      <c r="A129" s="7" t="s">
        <v>260</v>
      </c>
      <c r="B129" s="40">
        <v>47</v>
      </c>
      <c r="D129" s="7" t="s">
        <v>260</v>
      </c>
      <c r="F129" s="7" t="s">
        <v>260</v>
      </c>
      <c r="G129" s="40">
        <v>49</v>
      </c>
    </row>
    <row r="130" spans="1:7" x14ac:dyDescent="0.25">
      <c r="A130" s="7" t="s">
        <v>261</v>
      </c>
      <c r="B130" s="40">
        <v>137</v>
      </c>
      <c r="D130" s="7" t="s">
        <v>261</v>
      </c>
      <c r="F130" s="7" t="s">
        <v>261</v>
      </c>
      <c r="G130" s="40">
        <v>69</v>
      </c>
    </row>
    <row r="131" spans="1:7" x14ac:dyDescent="0.25">
      <c r="A131" s="7" t="s">
        <v>263</v>
      </c>
      <c r="B131" s="40">
        <v>0</v>
      </c>
      <c r="D131" s="7" t="s">
        <v>263</v>
      </c>
      <c r="F131" s="7" t="s">
        <v>263</v>
      </c>
      <c r="G131" s="40">
        <v>380</v>
      </c>
    </row>
    <row r="132" spans="1:7" x14ac:dyDescent="0.25">
      <c r="A132" s="7" t="s">
        <v>264</v>
      </c>
      <c r="B132" s="40">
        <v>0</v>
      </c>
      <c r="D132" s="7" t="s">
        <v>264</v>
      </c>
      <c r="F132" s="7" t="s">
        <v>264</v>
      </c>
      <c r="G132" s="40">
        <v>272</v>
      </c>
    </row>
    <row r="133" spans="1:7" x14ac:dyDescent="0.25">
      <c r="A133" s="7" t="s">
        <v>265</v>
      </c>
      <c r="B133" s="40">
        <v>100</v>
      </c>
      <c r="D133" s="7" t="s">
        <v>265</v>
      </c>
      <c r="F133" s="7" t="s">
        <v>265</v>
      </c>
      <c r="G133" s="40">
        <v>1000</v>
      </c>
    </row>
    <row r="134" spans="1:7" x14ac:dyDescent="0.25">
      <c r="A134" s="7" t="s">
        <v>266</v>
      </c>
      <c r="B134" s="40">
        <v>41</v>
      </c>
      <c r="D134" s="7" t="s">
        <v>266</v>
      </c>
      <c r="F134" s="7" t="s">
        <v>266</v>
      </c>
      <c r="G134" s="40">
        <v>137</v>
      </c>
    </row>
    <row r="135" spans="1:7" x14ac:dyDescent="0.25">
      <c r="A135" s="7" t="s">
        <v>268</v>
      </c>
      <c r="B135" s="40">
        <v>3900</v>
      </c>
      <c r="D135" s="7" t="s">
        <v>268</v>
      </c>
      <c r="F135" s="7" t="s">
        <v>268</v>
      </c>
      <c r="G135" s="40">
        <v>1810</v>
      </c>
    </row>
    <row r="136" spans="1:7" x14ac:dyDescent="0.25">
      <c r="A136" s="7" t="s">
        <v>269</v>
      </c>
      <c r="B136" s="40">
        <v>30</v>
      </c>
      <c r="D136" s="7" t="s">
        <v>269</v>
      </c>
      <c r="F136" s="7" t="s">
        <v>269</v>
      </c>
      <c r="G136" s="40">
        <v>408</v>
      </c>
    </row>
    <row r="137" spans="1:7" x14ac:dyDescent="0.25">
      <c r="A137" s="7" t="s">
        <v>272</v>
      </c>
      <c r="B137" s="40">
        <v>28</v>
      </c>
      <c r="D137" s="7" t="s">
        <v>272</v>
      </c>
      <c r="F137" s="7" t="s">
        <v>272</v>
      </c>
      <c r="G137" s="40">
        <v>435</v>
      </c>
    </row>
    <row r="138" spans="1:7" x14ac:dyDescent="0.25">
      <c r="A138" s="7" t="s">
        <v>273</v>
      </c>
      <c r="B138" s="40">
        <v>30</v>
      </c>
      <c r="D138" s="7" t="s">
        <v>273</v>
      </c>
      <c r="F138" s="7" t="s">
        <v>273</v>
      </c>
      <c r="G138" s="40">
        <v>60</v>
      </c>
    </row>
    <row r="139" spans="1:7" x14ac:dyDescent="0.25">
      <c r="A139" s="7" t="s">
        <v>274</v>
      </c>
      <c r="B139" s="40">
        <v>240</v>
      </c>
      <c r="D139" s="7" t="s">
        <v>274</v>
      </c>
      <c r="F139" s="7" t="s">
        <v>274</v>
      </c>
      <c r="G139" s="40">
        <v>244</v>
      </c>
    </row>
    <row r="140" spans="1:7" x14ac:dyDescent="0.25">
      <c r="A140" s="7" t="s">
        <v>275</v>
      </c>
      <c r="B140" s="40">
        <v>65</v>
      </c>
      <c r="D140" s="7" t="s">
        <v>275</v>
      </c>
      <c r="F140" s="7" t="s">
        <v>275</v>
      </c>
      <c r="G140" s="40">
        <v>16</v>
      </c>
    </row>
    <row r="141" spans="1:7" x14ac:dyDescent="0.25">
      <c r="A141" s="7" t="s">
        <v>276</v>
      </c>
      <c r="B141" s="40">
        <v>40</v>
      </c>
      <c r="D141" s="7" t="s">
        <v>276</v>
      </c>
      <c r="F141" s="7" t="s">
        <v>276</v>
      </c>
      <c r="G141" s="40">
        <v>21</v>
      </c>
    </row>
    <row r="142" spans="1:7" x14ac:dyDescent="0.25">
      <c r="A142" s="7" t="s">
        <v>277</v>
      </c>
      <c r="B142" s="40">
        <v>250</v>
      </c>
      <c r="D142" s="7" t="s">
        <v>277</v>
      </c>
      <c r="F142" s="7" t="s">
        <v>277</v>
      </c>
      <c r="G142" s="40">
        <v>95</v>
      </c>
    </row>
    <row r="143" spans="1:7" x14ac:dyDescent="0.25">
      <c r="A143" s="7" t="s">
        <v>278</v>
      </c>
      <c r="B143" s="40">
        <v>0</v>
      </c>
      <c r="D143" s="7" t="s">
        <v>278</v>
      </c>
      <c r="F143" s="7" t="s">
        <v>278</v>
      </c>
      <c r="G143" s="40">
        <v>200</v>
      </c>
    </row>
    <row r="144" spans="1:7" x14ac:dyDescent="0.25">
      <c r="A144" s="7" t="s">
        <v>279</v>
      </c>
      <c r="B144" s="40">
        <v>180</v>
      </c>
      <c r="D144" s="7" t="s">
        <v>279</v>
      </c>
      <c r="F144" s="7" t="s">
        <v>279</v>
      </c>
      <c r="G144" s="40">
        <v>224</v>
      </c>
    </row>
    <row r="145" spans="1:7" x14ac:dyDescent="0.25">
      <c r="A145" s="7" t="s">
        <v>280</v>
      </c>
      <c r="B145" s="40">
        <v>0</v>
      </c>
      <c r="D145" s="7" t="s">
        <v>280</v>
      </c>
      <c r="F145" s="7" t="s">
        <v>280</v>
      </c>
      <c r="G145" s="40">
        <v>3700</v>
      </c>
    </row>
    <row r="146" spans="1:7" x14ac:dyDescent="0.25">
      <c r="A146" s="7" t="s">
        <v>283</v>
      </c>
      <c r="B146" s="40">
        <v>120</v>
      </c>
      <c r="D146" s="7" t="s">
        <v>283</v>
      </c>
      <c r="F146" s="7" t="s">
        <v>283</v>
      </c>
      <c r="G146" s="40">
        <v>585</v>
      </c>
    </row>
    <row r="147" spans="1:7" x14ac:dyDescent="0.25">
      <c r="A147" s="7" t="s">
        <v>284</v>
      </c>
      <c r="B147" s="40">
        <v>544</v>
      </c>
      <c r="D147" s="7" t="s">
        <v>284</v>
      </c>
      <c r="F147" s="7" t="s">
        <v>284</v>
      </c>
      <c r="G147" s="40">
        <v>1406</v>
      </c>
    </row>
    <row r="148" spans="1:7" x14ac:dyDescent="0.25">
      <c r="A148" s="7" t="s">
        <v>285</v>
      </c>
      <c r="B148" s="40">
        <v>0</v>
      </c>
      <c r="D148" s="7" t="s">
        <v>285</v>
      </c>
      <c r="F148" s="7" t="s">
        <v>285</v>
      </c>
      <c r="G148" s="40">
        <v>0</v>
      </c>
    </row>
    <row r="149" spans="1:7" x14ac:dyDescent="0.25">
      <c r="A149" s="7" t="s">
        <v>286</v>
      </c>
      <c r="B149" s="40">
        <v>0</v>
      </c>
      <c r="D149" s="7" t="s">
        <v>286</v>
      </c>
      <c r="F149" s="7" t="s">
        <v>286</v>
      </c>
      <c r="G149" s="40">
        <v>69</v>
      </c>
    </row>
    <row r="150" spans="1:7" x14ac:dyDescent="0.25">
      <c r="A150" s="7" t="s">
        <v>287</v>
      </c>
      <c r="B150" s="40">
        <v>75</v>
      </c>
      <c r="D150" s="7" t="s">
        <v>287</v>
      </c>
      <c r="F150" s="7" t="s">
        <v>287</v>
      </c>
      <c r="G150" s="40">
        <v>0</v>
      </c>
    </row>
    <row r="151" spans="1:7" x14ac:dyDescent="0.25">
      <c r="A151" s="7" t="s">
        <v>290</v>
      </c>
      <c r="B151" s="40">
        <v>9</v>
      </c>
      <c r="D151" s="7" t="s">
        <v>290</v>
      </c>
      <c r="F151" s="7" t="s">
        <v>290</v>
      </c>
      <c r="G151" s="40">
        <v>30</v>
      </c>
    </row>
    <row r="152" spans="1:7" x14ac:dyDescent="0.25">
      <c r="A152" s="7" t="s">
        <v>291</v>
      </c>
      <c r="B152" s="40">
        <v>270</v>
      </c>
      <c r="D152" s="7" t="s">
        <v>291</v>
      </c>
      <c r="F152" s="7" t="s">
        <v>291</v>
      </c>
      <c r="G152" s="40">
        <v>546</v>
      </c>
    </row>
    <row r="153" spans="1:7" x14ac:dyDescent="0.25">
      <c r="A153" s="7" t="s">
        <v>294</v>
      </c>
      <c r="B153" s="40">
        <v>0</v>
      </c>
      <c r="D153" s="7" t="s">
        <v>294</v>
      </c>
      <c r="F153" s="7" t="s">
        <v>294</v>
      </c>
      <c r="G153" s="40">
        <v>83</v>
      </c>
    </row>
    <row r="154" spans="1:7" x14ac:dyDescent="0.25">
      <c r="A154" s="7" t="s">
        <v>297</v>
      </c>
      <c r="B154" s="40">
        <v>40</v>
      </c>
      <c r="D154" s="7" t="s">
        <v>297</v>
      </c>
      <c r="F154" s="7" t="s">
        <v>297</v>
      </c>
      <c r="G154" s="40">
        <v>401</v>
      </c>
    </row>
    <row r="155" spans="1:7" x14ac:dyDescent="0.25">
      <c r="A155" s="7" t="s">
        <v>298</v>
      </c>
      <c r="B155" s="40">
        <v>180</v>
      </c>
      <c r="D155" s="7" t="s">
        <v>298</v>
      </c>
      <c r="F155" s="7" t="s">
        <v>298</v>
      </c>
      <c r="G155" s="40">
        <v>756</v>
      </c>
    </row>
    <row r="156" spans="1:7" x14ac:dyDescent="0.25">
      <c r="A156" s="7" t="s">
        <v>301</v>
      </c>
      <c r="B156" s="40">
        <v>70</v>
      </c>
      <c r="D156" s="7" t="s">
        <v>301</v>
      </c>
      <c r="F156" s="7" t="s">
        <v>301</v>
      </c>
      <c r="G156" s="40">
        <v>46</v>
      </c>
    </row>
    <row r="157" spans="1:7" x14ac:dyDescent="0.25">
      <c r="A157" s="7" t="s">
        <v>302</v>
      </c>
      <c r="B157" s="40">
        <v>92</v>
      </c>
      <c r="D157" s="7" t="s">
        <v>302</v>
      </c>
      <c r="F157" s="7" t="s">
        <v>302</v>
      </c>
      <c r="G157" s="40">
        <v>0</v>
      </c>
    </row>
    <row r="158" spans="1:7" x14ac:dyDescent="0.25">
      <c r="A158" s="7" t="s">
        <v>303</v>
      </c>
      <c r="B158" s="40">
        <v>80</v>
      </c>
      <c r="D158" s="7" t="s">
        <v>303</v>
      </c>
      <c r="F158" s="7" t="s">
        <v>303</v>
      </c>
      <c r="G158" s="40">
        <v>0</v>
      </c>
    </row>
    <row r="159" spans="1:7" x14ac:dyDescent="0.25">
      <c r="A159" s="7" t="s">
        <v>304</v>
      </c>
      <c r="B159" s="40">
        <v>140</v>
      </c>
      <c r="D159" s="7" t="s">
        <v>304</v>
      </c>
      <c r="F159" s="7" t="s">
        <v>304</v>
      </c>
      <c r="G159" s="40">
        <v>70</v>
      </c>
    </row>
    <row r="160" spans="1:7" x14ac:dyDescent="0.25">
      <c r="A160" s="7" t="s">
        <v>305</v>
      </c>
      <c r="B160" s="40">
        <v>0</v>
      </c>
      <c r="D160" s="7" t="s">
        <v>305</v>
      </c>
      <c r="F160" s="7" t="s">
        <v>305</v>
      </c>
      <c r="G160" s="40">
        <v>45</v>
      </c>
    </row>
    <row r="161" spans="1:7" x14ac:dyDescent="0.25">
      <c r="A161" s="7" t="s">
        <v>306</v>
      </c>
      <c r="B161" s="40">
        <v>220</v>
      </c>
      <c r="D161" s="7" t="s">
        <v>306</v>
      </c>
      <c r="F161" s="7" t="s">
        <v>306</v>
      </c>
      <c r="G161" s="40">
        <v>388</v>
      </c>
    </row>
    <row r="162" spans="1:7" x14ac:dyDescent="0.25">
      <c r="A162" s="7" t="s">
        <v>307</v>
      </c>
      <c r="B162" s="40">
        <v>900</v>
      </c>
      <c r="D162" s="7" t="s">
        <v>307</v>
      </c>
      <c r="F162" s="7" t="s">
        <v>307</v>
      </c>
      <c r="G162" s="40">
        <v>0</v>
      </c>
    </row>
    <row r="163" spans="1:7" x14ac:dyDescent="0.25">
      <c r="A163" s="7" t="s">
        <v>310</v>
      </c>
      <c r="B163" s="40">
        <v>500</v>
      </c>
      <c r="D163" s="7" t="s">
        <v>310</v>
      </c>
      <c r="F163" s="7" t="s">
        <v>310</v>
      </c>
      <c r="G163" s="40">
        <v>272</v>
      </c>
    </row>
    <row r="164" spans="1:7" x14ac:dyDescent="0.25">
      <c r="A164" s="7" t="s">
        <v>312</v>
      </c>
      <c r="B164" s="40">
        <v>200</v>
      </c>
      <c r="D164" s="7" t="s">
        <v>312</v>
      </c>
      <c r="F164" s="7" t="s">
        <v>312</v>
      </c>
      <c r="G164" s="40">
        <v>293</v>
      </c>
    </row>
    <row r="165" spans="1:7" x14ac:dyDescent="0.25">
      <c r="A165" s="7" t="s">
        <v>314</v>
      </c>
      <c r="B165" s="40">
        <v>95</v>
      </c>
      <c r="D165" s="7" t="s">
        <v>314</v>
      </c>
      <c r="F165" s="7" t="s">
        <v>314</v>
      </c>
      <c r="G165" s="40">
        <v>220</v>
      </c>
    </row>
    <row r="166" spans="1:7" x14ac:dyDescent="0.25">
      <c r="A166" s="7" t="s">
        <v>315</v>
      </c>
      <c r="B166" s="40">
        <v>20</v>
      </c>
      <c r="D166" s="7" t="s">
        <v>315</v>
      </c>
      <c r="F166" s="7" t="s">
        <v>315</v>
      </c>
      <c r="G166" s="40">
        <v>41</v>
      </c>
    </row>
    <row r="167" spans="1:7" x14ac:dyDescent="0.25">
      <c r="A167" s="7" t="s">
        <v>316</v>
      </c>
      <c r="B167" s="40">
        <v>860</v>
      </c>
      <c r="D167" s="7" t="s">
        <v>316</v>
      </c>
      <c r="F167" s="7" t="s">
        <v>316</v>
      </c>
      <c r="G167" s="40">
        <v>2660</v>
      </c>
    </row>
    <row r="168" spans="1:7" x14ac:dyDescent="0.25">
      <c r="A168" s="7" t="s">
        <v>317</v>
      </c>
      <c r="B168" s="40">
        <v>260</v>
      </c>
      <c r="D168" s="7" t="s">
        <v>317</v>
      </c>
      <c r="F168" s="7" t="s">
        <v>317</v>
      </c>
      <c r="G168" s="40">
        <v>980</v>
      </c>
    </row>
    <row r="169" spans="1:7" x14ac:dyDescent="0.25">
      <c r="A169" s="7" t="s">
        <v>318</v>
      </c>
      <c r="B169" s="40">
        <v>250</v>
      </c>
      <c r="D169" s="7" t="s">
        <v>318</v>
      </c>
      <c r="F169" s="7" t="s">
        <v>318</v>
      </c>
      <c r="G169" s="40">
        <v>2000</v>
      </c>
    </row>
    <row r="170" spans="1:7" x14ac:dyDescent="0.25">
      <c r="A170" s="7" t="s">
        <v>319</v>
      </c>
      <c r="B170" s="40">
        <v>88</v>
      </c>
      <c r="D170" s="7" t="s">
        <v>319</v>
      </c>
      <c r="F170" s="7" t="s">
        <v>319</v>
      </c>
      <c r="G170" s="40">
        <v>0</v>
      </c>
    </row>
    <row r="171" spans="1:7" x14ac:dyDescent="0.25">
      <c r="A171" s="7" t="s">
        <v>320</v>
      </c>
      <c r="B171" s="40">
        <v>0</v>
      </c>
      <c r="D171" s="7" t="s">
        <v>320</v>
      </c>
      <c r="F171" s="7" t="s">
        <v>320</v>
      </c>
      <c r="G171" s="40">
        <v>352</v>
      </c>
    </row>
    <row r="172" spans="1:7" x14ac:dyDescent="0.25">
      <c r="A172" s="7" t="s">
        <v>321</v>
      </c>
      <c r="B172" s="40">
        <v>130</v>
      </c>
      <c r="D172" s="7" t="s">
        <v>321</v>
      </c>
      <c r="F172" s="7" t="s">
        <v>321</v>
      </c>
      <c r="G172" s="40">
        <v>77</v>
      </c>
    </row>
    <row r="173" spans="1:7" x14ac:dyDescent="0.25">
      <c r="A173" s="7" t="s">
        <v>322</v>
      </c>
      <c r="B173" s="40">
        <v>60</v>
      </c>
      <c r="D173" s="7" t="s">
        <v>322</v>
      </c>
      <c r="F173" s="7" t="s">
        <v>322</v>
      </c>
      <c r="G173" s="40">
        <v>48</v>
      </c>
    </row>
    <row r="174" spans="1:7" x14ac:dyDescent="0.25">
      <c r="A174" s="7" t="s">
        <v>323</v>
      </c>
      <c r="B174" s="40">
        <v>30</v>
      </c>
      <c r="D174" s="7" t="s">
        <v>323</v>
      </c>
      <c r="F174" s="7" t="s">
        <v>323</v>
      </c>
      <c r="G174" s="40">
        <v>0</v>
      </c>
    </row>
    <row r="175" spans="1:7" x14ac:dyDescent="0.25">
      <c r="A175" s="7" t="s">
        <v>324</v>
      </c>
      <c r="B175" s="40">
        <v>137</v>
      </c>
      <c r="D175" s="7" t="s">
        <v>324</v>
      </c>
      <c r="F175" s="7" t="s">
        <v>324</v>
      </c>
      <c r="G175" s="40">
        <v>108</v>
      </c>
    </row>
    <row r="176" spans="1:7" x14ac:dyDescent="0.25">
      <c r="A176" s="7" t="s">
        <v>326</v>
      </c>
      <c r="B176" s="40">
        <v>0</v>
      </c>
      <c r="D176" s="7" t="s">
        <v>326</v>
      </c>
      <c r="F176" s="7" t="s">
        <v>326</v>
      </c>
      <c r="G176" s="40">
        <v>0</v>
      </c>
    </row>
    <row r="177" spans="1:7" x14ac:dyDescent="0.25">
      <c r="A177" s="7" t="s">
        <v>328</v>
      </c>
      <c r="B177" s="40">
        <v>307</v>
      </c>
      <c r="D177" s="7" t="s">
        <v>328</v>
      </c>
      <c r="F177" s="7" t="s">
        <v>328</v>
      </c>
      <c r="G177" s="40">
        <v>2600</v>
      </c>
    </row>
    <row r="178" spans="1:7" x14ac:dyDescent="0.25">
      <c r="A178" s="7" t="s">
        <v>330</v>
      </c>
      <c r="B178" s="40">
        <v>59</v>
      </c>
      <c r="D178" s="7" t="s">
        <v>330</v>
      </c>
      <c r="F178" s="7" t="s">
        <v>330</v>
      </c>
      <c r="G178" s="40">
        <v>54</v>
      </c>
    </row>
    <row r="179" spans="1:7" x14ac:dyDescent="0.25">
      <c r="A179" s="7" t="s">
        <v>331</v>
      </c>
      <c r="B179" s="40">
        <v>140</v>
      </c>
      <c r="D179" s="7" t="s">
        <v>331</v>
      </c>
      <c r="F179" s="7" t="s">
        <v>331</v>
      </c>
      <c r="G179" s="40">
        <v>0</v>
      </c>
    </row>
    <row r="180" spans="1:7" x14ac:dyDescent="0.25">
      <c r="A180" s="7" t="s">
        <v>332</v>
      </c>
      <c r="B180" s="40">
        <v>12</v>
      </c>
      <c r="D180" s="7" t="s">
        <v>332</v>
      </c>
      <c r="F180" s="7" t="s">
        <v>332</v>
      </c>
      <c r="G180" s="40">
        <v>26</v>
      </c>
    </row>
    <row r="181" spans="1:7" x14ac:dyDescent="0.25">
      <c r="A181" s="7" t="s">
        <v>333</v>
      </c>
      <c r="B181" s="40">
        <v>4601</v>
      </c>
      <c r="D181" s="7" t="s">
        <v>333</v>
      </c>
      <c r="F181" s="7" t="s">
        <v>333</v>
      </c>
      <c r="G181" s="40">
        <v>0</v>
      </c>
    </row>
    <row r="182" spans="1:7" x14ac:dyDescent="0.25">
      <c r="A182" s="7" t="s">
        <v>337</v>
      </c>
      <c r="B182" s="40">
        <v>270</v>
      </c>
      <c r="D182" s="7" t="s">
        <v>337</v>
      </c>
      <c r="F182" s="7" t="s">
        <v>337</v>
      </c>
      <c r="G182" s="40">
        <v>224</v>
      </c>
    </row>
    <row r="183" spans="1:7" x14ac:dyDescent="0.25">
      <c r="A183" s="7" t="s">
        <v>338</v>
      </c>
      <c r="B183" s="40">
        <v>200</v>
      </c>
      <c r="D183" s="7" t="s">
        <v>338</v>
      </c>
      <c r="F183" s="7" t="s">
        <v>338</v>
      </c>
      <c r="G183" s="40">
        <v>48</v>
      </c>
    </row>
    <row r="184" spans="1:7" x14ac:dyDescent="0.25">
      <c r="A184" s="7" t="s">
        <v>339</v>
      </c>
      <c r="B184" s="40">
        <v>30</v>
      </c>
      <c r="D184" s="7" t="s">
        <v>339</v>
      </c>
      <c r="F184" s="7" t="s">
        <v>339</v>
      </c>
      <c r="G184" s="40">
        <v>23</v>
      </c>
    </row>
    <row r="185" spans="1:7" x14ac:dyDescent="0.25">
      <c r="A185" s="7" t="s">
        <v>340</v>
      </c>
      <c r="B185" s="40">
        <v>0</v>
      </c>
      <c r="D185" s="7" t="s">
        <v>340</v>
      </c>
      <c r="F185" s="7" t="s">
        <v>340</v>
      </c>
      <c r="G185" s="40">
        <v>137</v>
      </c>
    </row>
    <row r="186" spans="1:7" x14ac:dyDescent="0.25">
      <c r="A186" s="7" t="s">
        <v>341</v>
      </c>
      <c r="B186" s="40">
        <v>70</v>
      </c>
      <c r="D186" s="7" t="s">
        <v>341</v>
      </c>
      <c r="F186" s="7" t="s">
        <v>341</v>
      </c>
      <c r="G186" s="40">
        <v>56</v>
      </c>
    </row>
    <row r="187" spans="1:7" x14ac:dyDescent="0.25">
      <c r="A187" s="7" t="s">
        <v>343</v>
      </c>
      <c r="B187" s="40">
        <v>15</v>
      </c>
      <c r="D187" s="7" t="s">
        <v>343</v>
      </c>
      <c r="F187" s="7" t="s">
        <v>343</v>
      </c>
      <c r="G187" s="40">
        <v>72</v>
      </c>
    </row>
    <row r="188" spans="1:7" x14ac:dyDescent="0.25">
      <c r="A188" s="7" t="s">
        <v>344</v>
      </c>
      <c r="B188" s="40">
        <v>61</v>
      </c>
      <c r="D188" s="7" t="s">
        <v>344</v>
      </c>
      <c r="F188" s="7" t="s">
        <v>344</v>
      </c>
      <c r="G188" s="40">
        <v>204</v>
      </c>
    </row>
    <row r="189" spans="1:7" x14ac:dyDescent="0.25">
      <c r="A189" s="7" t="s">
        <v>345</v>
      </c>
      <c r="B189" s="40">
        <v>490</v>
      </c>
      <c r="D189" s="7" t="s">
        <v>345</v>
      </c>
      <c r="F189" s="7" t="s">
        <v>345</v>
      </c>
      <c r="G189" s="40">
        <v>856</v>
      </c>
    </row>
    <row r="190" spans="1:7" x14ac:dyDescent="0.25">
      <c r="A190" s="7" t="s">
        <v>346</v>
      </c>
      <c r="B190" s="40">
        <v>77</v>
      </c>
      <c r="D190" s="7" t="s">
        <v>346</v>
      </c>
      <c r="F190" s="7" t="s">
        <v>346</v>
      </c>
      <c r="G190" s="40">
        <v>75</v>
      </c>
    </row>
    <row r="191" spans="1:7" x14ac:dyDescent="0.25">
      <c r="A191" s="7" t="s">
        <v>347</v>
      </c>
      <c r="B191" s="40">
        <v>25</v>
      </c>
      <c r="D191" s="7" t="s">
        <v>347</v>
      </c>
      <c r="F191" s="7" t="s">
        <v>347</v>
      </c>
      <c r="G191" s="40">
        <v>148</v>
      </c>
    </row>
    <row r="192" spans="1:7" x14ac:dyDescent="0.25">
      <c r="A192" s="7" t="s">
        <v>350</v>
      </c>
      <c r="B192" s="40">
        <v>3</v>
      </c>
      <c r="D192" s="7" t="s">
        <v>350</v>
      </c>
      <c r="F192" s="7" t="s">
        <v>350</v>
      </c>
      <c r="G192" s="40">
        <v>2</v>
      </c>
    </row>
    <row r="193" spans="1:7" x14ac:dyDescent="0.25">
      <c r="A193" s="7" t="s">
        <v>351</v>
      </c>
      <c r="B193" s="40">
        <v>100</v>
      </c>
      <c r="D193" s="7" t="s">
        <v>351</v>
      </c>
      <c r="F193" s="7" t="s">
        <v>351</v>
      </c>
      <c r="G193" s="40">
        <v>367</v>
      </c>
    </row>
    <row r="194" spans="1:7" x14ac:dyDescent="0.25">
      <c r="A194" s="7" t="s">
        <v>352</v>
      </c>
      <c r="B194" s="40">
        <v>40</v>
      </c>
      <c r="D194" s="7" t="s">
        <v>352</v>
      </c>
      <c r="F194" s="7" t="s">
        <v>352</v>
      </c>
      <c r="G194" s="40">
        <v>42</v>
      </c>
    </row>
    <row r="195" spans="1:7" x14ac:dyDescent="0.25">
      <c r="A195" s="7" t="s">
        <v>353</v>
      </c>
      <c r="B195" s="40">
        <v>50</v>
      </c>
      <c r="D195" s="7" t="s">
        <v>353</v>
      </c>
      <c r="F195" s="7" t="s">
        <v>353</v>
      </c>
      <c r="G195" s="40">
        <v>6</v>
      </c>
    </row>
    <row r="196" spans="1:7" x14ac:dyDescent="0.25">
      <c r="A196" s="7" t="s">
        <v>355</v>
      </c>
      <c r="B196" s="40">
        <v>120</v>
      </c>
      <c r="D196" s="7" t="s">
        <v>355</v>
      </c>
      <c r="F196" s="7" t="s">
        <v>355</v>
      </c>
      <c r="G196" s="40">
        <v>131</v>
      </c>
    </row>
    <row r="197" spans="1:7" x14ac:dyDescent="0.25">
      <c r="A197" s="7" t="s">
        <v>356</v>
      </c>
      <c r="B197" s="40">
        <v>198</v>
      </c>
      <c r="D197" s="7" t="s">
        <v>356</v>
      </c>
      <c r="F197" s="7" t="s">
        <v>356</v>
      </c>
      <c r="G197" s="40">
        <v>2232</v>
      </c>
    </row>
    <row r="198" spans="1:7" x14ac:dyDescent="0.25">
      <c r="A198" s="7" t="s">
        <v>357</v>
      </c>
      <c r="B198" s="40">
        <v>154</v>
      </c>
      <c r="D198" s="7" t="s">
        <v>357</v>
      </c>
      <c r="F198" s="7" t="s">
        <v>357</v>
      </c>
      <c r="G198" s="40">
        <v>45</v>
      </c>
    </row>
    <row r="199" spans="1:7" x14ac:dyDescent="0.25">
      <c r="A199" s="7" t="s">
        <v>359</v>
      </c>
      <c r="B199" s="40">
        <v>13</v>
      </c>
      <c r="D199" s="7" t="s">
        <v>359</v>
      </c>
      <c r="F199" s="7" t="s">
        <v>359</v>
      </c>
      <c r="G199" s="40">
        <v>36</v>
      </c>
    </row>
    <row r="200" spans="1:7" x14ac:dyDescent="0.25">
      <c r="A200" s="7" t="s">
        <v>361</v>
      </c>
      <c r="B200" s="40">
        <v>30</v>
      </c>
      <c r="D200" s="7" t="s">
        <v>361</v>
      </c>
      <c r="F200" s="7" t="s">
        <v>361</v>
      </c>
      <c r="G200" s="40">
        <v>250</v>
      </c>
    </row>
    <row r="201" spans="1:7" x14ac:dyDescent="0.25">
      <c r="A201" s="7" t="s">
        <v>362</v>
      </c>
      <c r="B201" s="40">
        <v>100</v>
      </c>
      <c r="D201" s="7" t="s">
        <v>362</v>
      </c>
      <c r="F201" s="7" t="s">
        <v>362</v>
      </c>
      <c r="G201" s="40">
        <v>31</v>
      </c>
    </row>
    <row r="202" spans="1:7" x14ac:dyDescent="0.25">
      <c r="A202" s="7" t="s">
        <v>363</v>
      </c>
      <c r="B202" s="40">
        <v>88</v>
      </c>
      <c r="D202" s="7" t="s">
        <v>363</v>
      </c>
      <c r="F202" s="7" t="s">
        <v>363</v>
      </c>
      <c r="G202" s="40">
        <v>290</v>
      </c>
    </row>
    <row r="203" spans="1:7" x14ac:dyDescent="0.25">
      <c r="A203" s="7" t="s">
        <v>364</v>
      </c>
      <c r="B203" s="40">
        <v>0</v>
      </c>
      <c r="D203" s="7" t="s">
        <v>364</v>
      </c>
      <c r="F203" s="7" t="s">
        <v>364</v>
      </c>
      <c r="G203" s="40">
        <v>212</v>
      </c>
    </row>
    <row r="204" spans="1:7" x14ac:dyDescent="0.25">
      <c r="A204" s="7" t="s">
        <v>365</v>
      </c>
      <c r="B204" s="40">
        <v>10</v>
      </c>
      <c r="D204" s="7" t="s">
        <v>365</v>
      </c>
      <c r="F204" s="7" t="s">
        <v>365</v>
      </c>
      <c r="G204" s="40">
        <v>84</v>
      </c>
    </row>
    <row r="205" spans="1:7" x14ac:dyDescent="0.25">
      <c r="A205" s="7" t="s">
        <v>366</v>
      </c>
      <c r="B205" s="40">
        <v>206</v>
      </c>
      <c r="D205" s="7" t="s">
        <v>366</v>
      </c>
      <c r="F205" s="7" t="s">
        <v>366</v>
      </c>
      <c r="G205" s="40">
        <v>2400</v>
      </c>
    </row>
    <row r="206" spans="1:7" x14ac:dyDescent="0.25">
      <c r="A206" s="7" t="s">
        <v>367</v>
      </c>
      <c r="B206" s="40">
        <v>26</v>
      </c>
      <c r="D206" s="7" t="s">
        <v>367</v>
      </c>
      <c r="F206" s="7" t="s">
        <v>367</v>
      </c>
      <c r="G206" s="40">
        <v>10</v>
      </c>
    </row>
    <row r="207" spans="1:7" x14ac:dyDescent="0.25">
      <c r="A207" s="7" t="s">
        <v>368</v>
      </c>
      <c r="B207" s="40">
        <v>0</v>
      </c>
      <c r="D207" s="7" t="s">
        <v>368</v>
      </c>
      <c r="F207" s="7" t="s">
        <v>368</v>
      </c>
      <c r="G207" s="40">
        <v>25</v>
      </c>
    </row>
    <row r="208" spans="1:7" x14ac:dyDescent="0.25">
      <c r="A208" s="7" t="s">
        <v>369</v>
      </c>
      <c r="B208" s="40">
        <v>100</v>
      </c>
      <c r="D208" s="7" t="s">
        <v>369</v>
      </c>
      <c r="F208" s="7" t="s">
        <v>369</v>
      </c>
      <c r="G208" s="40">
        <v>89</v>
      </c>
    </row>
    <row r="209" spans="1:7" x14ac:dyDescent="0.25">
      <c r="A209" s="7" t="s">
        <v>370</v>
      </c>
      <c r="B209" s="40">
        <v>80</v>
      </c>
      <c r="D209" s="7" t="s">
        <v>370</v>
      </c>
      <c r="F209" s="7" t="s">
        <v>370</v>
      </c>
      <c r="G209" s="40">
        <v>11</v>
      </c>
    </row>
    <row r="210" spans="1:7" x14ac:dyDescent="0.25">
      <c r="A210" s="7" t="s">
        <v>373</v>
      </c>
      <c r="B210" s="40">
        <v>39</v>
      </c>
      <c r="D210" s="7" t="s">
        <v>373</v>
      </c>
      <c r="F210" s="7" t="s">
        <v>373</v>
      </c>
      <c r="G210" s="40">
        <v>29</v>
      </c>
    </row>
    <row r="211" spans="1:7" x14ac:dyDescent="0.25">
      <c r="A211" s="7" t="s">
        <v>374</v>
      </c>
      <c r="B211" s="40">
        <v>78</v>
      </c>
      <c r="D211" s="7" t="s">
        <v>374</v>
      </c>
      <c r="F211" s="7" t="s">
        <v>374</v>
      </c>
      <c r="G211" s="40">
        <v>58</v>
      </c>
    </row>
    <row r="212" spans="1:7" x14ac:dyDescent="0.25">
      <c r="A212" s="7" t="s">
        <v>375</v>
      </c>
      <c r="B212" s="40">
        <v>100</v>
      </c>
      <c r="D212" s="7" t="s">
        <v>375</v>
      </c>
      <c r="F212" s="7" t="s">
        <v>375</v>
      </c>
      <c r="G212" s="40">
        <v>32</v>
      </c>
    </row>
    <row r="213" spans="1:7" x14ac:dyDescent="0.25">
      <c r="A213" s="7" t="s">
        <v>376</v>
      </c>
      <c r="B213" s="40">
        <v>30</v>
      </c>
      <c r="D213" s="7" t="s">
        <v>376</v>
      </c>
      <c r="F213" s="7" t="s">
        <v>376</v>
      </c>
      <c r="G213" s="40">
        <v>300</v>
      </c>
    </row>
    <row r="214" spans="1:7" x14ac:dyDescent="0.25">
      <c r="A214" s="7" t="s">
        <v>377</v>
      </c>
      <c r="B214" s="40">
        <v>70</v>
      </c>
      <c r="D214" s="7" t="s">
        <v>377</v>
      </c>
      <c r="F214" s="7" t="s">
        <v>377</v>
      </c>
      <c r="G214" s="40">
        <v>171</v>
      </c>
    </row>
    <row r="215" spans="1:7" x14ac:dyDescent="0.25">
      <c r="A215" s="7" t="s">
        <v>378</v>
      </c>
      <c r="B215" s="40">
        <v>23</v>
      </c>
      <c r="D215" s="7" t="s">
        <v>378</v>
      </c>
      <c r="F215" s="7" t="s">
        <v>378</v>
      </c>
      <c r="G215" s="40">
        <v>21</v>
      </c>
    </row>
    <row r="216" spans="1:7" x14ac:dyDescent="0.25">
      <c r="A216" s="7" t="s">
        <v>379</v>
      </c>
      <c r="B216" s="40">
        <v>160</v>
      </c>
      <c r="D216" s="7" t="s">
        <v>379</v>
      </c>
      <c r="F216" s="7" t="s">
        <v>379</v>
      </c>
      <c r="G216" s="40">
        <v>138</v>
      </c>
    </row>
    <row r="217" spans="1:7" x14ac:dyDescent="0.25">
      <c r="A217" s="7" t="s">
        <v>380</v>
      </c>
      <c r="B217" s="40">
        <v>43</v>
      </c>
      <c r="D217" s="7" t="s">
        <v>380</v>
      </c>
      <c r="F217" s="7" t="s">
        <v>380</v>
      </c>
      <c r="G217" s="40">
        <v>240</v>
      </c>
    </row>
    <row r="218" spans="1:7" x14ac:dyDescent="0.25">
      <c r="A218" s="7" t="s">
        <v>381</v>
      </c>
      <c r="B218" s="40">
        <v>1000</v>
      </c>
      <c r="D218" s="7" t="s">
        <v>381</v>
      </c>
      <c r="F218" s="7" t="s">
        <v>381</v>
      </c>
      <c r="G218" s="40">
        <v>50</v>
      </c>
    </row>
    <row r="219" spans="1:7" x14ac:dyDescent="0.25">
      <c r="A219" s="7" t="s">
        <v>382</v>
      </c>
      <c r="B219" s="40">
        <v>0</v>
      </c>
      <c r="D219" s="7" t="s">
        <v>382</v>
      </c>
      <c r="F219" s="7" t="s">
        <v>382</v>
      </c>
      <c r="G219" s="40">
        <v>1060</v>
      </c>
    </row>
    <row r="220" spans="1:7" x14ac:dyDescent="0.25">
      <c r="A220" s="7" t="s">
        <v>384</v>
      </c>
      <c r="B220" s="40">
        <v>48</v>
      </c>
      <c r="D220" s="7" t="s">
        <v>384</v>
      </c>
      <c r="F220" s="7" t="s">
        <v>384</v>
      </c>
      <c r="G220" s="40">
        <v>64</v>
      </c>
    </row>
    <row r="221" spans="1:7" x14ac:dyDescent="0.25">
      <c r="A221" s="7" t="s">
        <v>385</v>
      </c>
      <c r="B221" s="40">
        <v>87</v>
      </c>
      <c r="D221" s="7" t="s">
        <v>385</v>
      </c>
      <c r="F221" s="7" t="s">
        <v>385</v>
      </c>
      <c r="G221" s="40">
        <v>42</v>
      </c>
    </row>
    <row r="222" spans="1:7" x14ac:dyDescent="0.25">
      <c r="A222" s="7" t="s">
        <v>386</v>
      </c>
      <c r="B222" s="40">
        <v>0</v>
      </c>
      <c r="D222" s="7" t="s">
        <v>386</v>
      </c>
      <c r="F222" s="7" t="s">
        <v>386</v>
      </c>
      <c r="G222" s="40">
        <v>32</v>
      </c>
    </row>
    <row r="223" spans="1:7" x14ac:dyDescent="0.25">
      <c r="A223" s="7" t="s">
        <v>387</v>
      </c>
      <c r="B223" s="40">
        <v>180</v>
      </c>
      <c r="D223" s="7" t="s">
        <v>387</v>
      </c>
      <c r="F223" s="7" t="s">
        <v>387</v>
      </c>
      <c r="G223" s="40">
        <v>696</v>
      </c>
    </row>
    <row r="224" spans="1:7" x14ac:dyDescent="0.25">
      <c r="A224" s="7" t="s">
        <v>388</v>
      </c>
      <c r="B224" s="40">
        <v>25</v>
      </c>
      <c r="D224" s="7" t="s">
        <v>388</v>
      </c>
      <c r="F224" s="7" t="s">
        <v>388</v>
      </c>
      <c r="G224" s="40">
        <v>0</v>
      </c>
    </row>
    <row r="225" spans="1:7" x14ac:dyDescent="0.25">
      <c r="A225" s="7" t="s">
        <v>390</v>
      </c>
      <c r="B225" s="40">
        <v>600</v>
      </c>
      <c r="D225" s="7" t="s">
        <v>390</v>
      </c>
      <c r="F225" s="7" t="s">
        <v>390</v>
      </c>
      <c r="G225" s="40">
        <v>0</v>
      </c>
    </row>
    <row r="226" spans="1:7" x14ac:dyDescent="0.25">
      <c r="A226" s="7" t="s">
        <v>391</v>
      </c>
      <c r="B226" s="40">
        <v>4000</v>
      </c>
      <c r="D226" s="7" t="s">
        <v>391</v>
      </c>
      <c r="F226" s="7" t="s">
        <v>391</v>
      </c>
      <c r="G226" s="40">
        <v>11000</v>
      </c>
    </row>
    <row r="227" spans="1:7" x14ac:dyDescent="0.25">
      <c r="A227" s="7" t="s">
        <v>392</v>
      </c>
      <c r="B227" s="40">
        <v>3750</v>
      </c>
      <c r="D227" s="7" t="s">
        <v>392</v>
      </c>
      <c r="F227" s="7" t="s">
        <v>392</v>
      </c>
      <c r="G227" s="40">
        <v>35600</v>
      </c>
    </row>
    <row r="228" spans="1:7" x14ac:dyDescent="0.25">
      <c r="A228" s="7" t="s">
        <v>394</v>
      </c>
      <c r="B228" s="40">
        <v>20</v>
      </c>
      <c r="D228" s="7" t="s">
        <v>394</v>
      </c>
      <c r="F228" s="7" t="s">
        <v>394</v>
      </c>
      <c r="G228" s="40">
        <v>537</v>
      </c>
    </row>
    <row r="229" spans="1:7" x14ac:dyDescent="0.25">
      <c r="A229" s="7" t="s">
        <v>397</v>
      </c>
      <c r="B229" s="40">
        <v>60</v>
      </c>
      <c r="D229" s="7" t="s">
        <v>397</v>
      </c>
      <c r="F229" s="7" t="s">
        <v>397</v>
      </c>
      <c r="G229" s="40">
        <v>0</v>
      </c>
    </row>
    <row r="230" spans="1:7" x14ac:dyDescent="0.25">
      <c r="A230" s="7" t="s">
        <v>398</v>
      </c>
      <c r="B230" s="40">
        <v>0</v>
      </c>
      <c r="D230" s="7" t="s">
        <v>398</v>
      </c>
      <c r="F230" s="7" t="s">
        <v>398</v>
      </c>
      <c r="G230" s="40">
        <v>3</v>
      </c>
    </row>
    <row r="231" spans="1:7" x14ac:dyDescent="0.25">
      <c r="A231" s="7" t="s">
        <v>399</v>
      </c>
      <c r="B231" s="40">
        <v>28</v>
      </c>
      <c r="D231" s="7" t="s">
        <v>399</v>
      </c>
      <c r="F231" s="7" t="s">
        <v>399</v>
      </c>
      <c r="G231" s="40">
        <v>133</v>
      </c>
    </row>
    <row r="232" spans="1:7" x14ac:dyDescent="0.25">
      <c r="A232" s="7" t="s">
        <v>400</v>
      </c>
      <c r="B232" s="40">
        <v>156</v>
      </c>
      <c r="D232" s="7" t="s">
        <v>400</v>
      </c>
      <c r="F232" s="7" t="s">
        <v>400</v>
      </c>
      <c r="G232" s="40">
        <v>127</v>
      </c>
    </row>
    <row r="233" spans="1:7" x14ac:dyDescent="0.25">
      <c r="A233" s="7" t="s">
        <v>401</v>
      </c>
      <c r="B233" s="40">
        <v>20</v>
      </c>
      <c r="D233" s="7" t="s">
        <v>401</v>
      </c>
      <c r="F233" s="7" t="s">
        <v>401</v>
      </c>
      <c r="G233" s="40">
        <v>75</v>
      </c>
    </row>
    <row r="234" spans="1:7" x14ac:dyDescent="0.25">
      <c r="A234" s="7" t="s">
        <v>402</v>
      </c>
      <c r="B234" s="40">
        <v>140</v>
      </c>
      <c r="D234" s="7" t="s">
        <v>402</v>
      </c>
      <c r="F234" s="7" t="s">
        <v>402</v>
      </c>
      <c r="G234" s="40">
        <v>0</v>
      </c>
    </row>
    <row r="235" spans="1:7" x14ac:dyDescent="0.25">
      <c r="A235" s="7" t="s">
        <v>403</v>
      </c>
      <c r="B235" s="40">
        <v>90</v>
      </c>
      <c r="D235" s="7" t="s">
        <v>403</v>
      </c>
      <c r="F235" s="7" t="s">
        <v>403</v>
      </c>
      <c r="G235" s="40">
        <v>218</v>
      </c>
    </row>
    <row r="236" spans="1:7" x14ac:dyDescent="0.25">
      <c r="A236" s="7" t="s">
        <v>404</v>
      </c>
      <c r="B236" s="40">
        <v>167</v>
      </c>
      <c r="D236" s="7" t="s">
        <v>404</v>
      </c>
      <c r="F236" s="7" t="s">
        <v>404</v>
      </c>
      <c r="G236" s="40">
        <v>330</v>
      </c>
    </row>
    <row r="237" spans="1:7" x14ac:dyDescent="0.25">
      <c r="A237" s="7" t="s">
        <v>405</v>
      </c>
      <c r="B237" s="40">
        <v>0</v>
      </c>
      <c r="D237" s="7" t="s">
        <v>405</v>
      </c>
      <c r="F237" s="7" t="s">
        <v>405</v>
      </c>
      <c r="G237" s="40">
        <v>16</v>
      </c>
    </row>
    <row r="238" spans="1:7" x14ac:dyDescent="0.25">
      <c r="A238" s="7" t="s">
        <v>407</v>
      </c>
      <c r="B238" s="40">
        <v>33</v>
      </c>
      <c r="D238" s="7" t="s">
        <v>407</v>
      </c>
      <c r="F238" s="7" t="s">
        <v>407</v>
      </c>
      <c r="G238" s="40">
        <v>100</v>
      </c>
    </row>
    <row r="239" spans="1:7" x14ac:dyDescent="0.25">
      <c r="A239" s="7" t="s">
        <v>408</v>
      </c>
      <c r="B239" s="40">
        <v>58</v>
      </c>
      <c r="D239" s="7" t="s">
        <v>408</v>
      </c>
      <c r="F239" s="7" t="s">
        <v>408</v>
      </c>
      <c r="G239" s="40">
        <v>300</v>
      </c>
    </row>
    <row r="240" spans="1:7" x14ac:dyDescent="0.25">
      <c r="A240" s="7" t="s">
        <v>409</v>
      </c>
      <c r="B240" s="40">
        <v>1100</v>
      </c>
      <c r="D240" s="7" t="s">
        <v>409</v>
      </c>
      <c r="F240" s="7" t="s">
        <v>409</v>
      </c>
      <c r="G240" s="40">
        <v>0</v>
      </c>
    </row>
    <row r="241" spans="1:7" x14ac:dyDescent="0.25">
      <c r="A241" s="7" t="s">
        <v>410</v>
      </c>
      <c r="B241" s="40">
        <v>37</v>
      </c>
      <c r="D241" s="7" t="s">
        <v>410</v>
      </c>
      <c r="F241" s="7" t="s">
        <v>410</v>
      </c>
      <c r="G241" s="40">
        <v>562</v>
      </c>
    </row>
    <row r="242" spans="1:7" x14ac:dyDescent="0.25">
      <c r="A242" s="7" t="s">
        <v>411</v>
      </c>
      <c r="B242" s="40">
        <v>0</v>
      </c>
      <c r="D242" s="7" t="s">
        <v>411</v>
      </c>
      <c r="F242" s="7" t="s">
        <v>411</v>
      </c>
      <c r="G242" s="40">
        <v>570</v>
      </c>
    </row>
    <row r="243" spans="1:7" x14ac:dyDescent="0.25">
      <c r="A243" s="7" t="s">
        <v>412</v>
      </c>
      <c r="B243" s="40">
        <v>120</v>
      </c>
      <c r="D243" s="7" t="s">
        <v>412</v>
      </c>
      <c r="F243" s="7" t="s">
        <v>412</v>
      </c>
      <c r="G243" s="40">
        <v>126</v>
      </c>
    </row>
    <row r="244" spans="1:7" x14ac:dyDescent="0.25">
      <c r="A244" s="7" t="s">
        <v>413</v>
      </c>
      <c r="B244" s="40">
        <v>31</v>
      </c>
      <c r="D244" s="7" t="s">
        <v>413</v>
      </c>
      <c r="F244" s="7" t="s">
        <v>413</v>
      </c>
      <c r="G244" s="40">
        <v>164</v>
      </c>
    </row>
    <row r="245" spans="1:7" x14ac:dyDescent="0.25">
      <c r="A245" s="7" t="s">
        <v>414</v>
      </c>
      <c r="B245" s="40">
        <v>450</v>
      </c>
      <c r="D245" s="7" t="s">
        <v>414</v>
      </c>
      <c r="F245" s="7" t="s">
        <v>414</v>
      </c>
      <c r="G245" s="40">
        <v>1044</v>
      </c>
    </row>
    <row r="246" spans="1:7" x14ac:dyDescent="0.25">
      <c r="A246" s="7" t="s">
        <v>415</v>
      </c>
      <c r="B246" s="40">
        <v>200</v>
      </c>
      <c r="D246" s="7" t="s">
        <v>415</v>
      </c>
      <c r="F246" s="7" t="s">
        <v>415</v>
      </c>
      <c r="G246" s="40">
        <v>247</v>
      </c>
    </row>
    <row r="247" spans="1:7" x14ac:dyDescent="0.25">
      <c r="A247" s="7" t="s">
        <v>416</v>
      </c>
      <c r="B247" s="40">
        <v>51</v>
      </c>
      <c r="D247" s="7" t="s">
        <v>416</v>
      </c>
      <c r="F247" s="7" t="s">
        <v>416</v>
      </c>
      <c r="G247" s="40">
        <v>212</v>
      </c>
    </row>
    <row r="248" spans="1:7" x14ac:dyDescent="0.25">
      <c r="A248" s="7" t="s">
        <v>417</v>
      </c>
      <c r="B248" s="40">
        <v>81</v>
      </c>
      <c r="D248" s="7" t="s">
        <v>417</v>
      </c>
      <c r="F248" s="7" t="s">
        <v>417</v>
      </c>
      <c r="G248" s="40">
        <v>156</v>
      </c>
    </row>
    <row r="249" spans="1:7" x14ac:dyDescent="0.25">
      <c r="A249" s="7" t="s">
        <v>418</v>
      </c>
      <c r="B249" s="40">
        <v>536</v>
      </c>
      <c r="D249" s="7" t="s">
        <v>418</v>
      </c>
      <c r="F249" s="7" t="s">
        <v>418</v>
      </c>
      <c r="G249" s="40">
        <v>771</v>
      </c>
    </row>
    <row r="250" spans="1:7" x14ac:dyDescent="0.25">
      <c r="A250" s="7" t="s">
        <v>419</v>
      </c>
      <c r="B250" s="40">
        <v>82</v>
      </c>
      <c r="D250" s="7" t="s">
        <v>419</v>
      </c>
      <c r="F250" s="7" t="s">
        <v>419</v>
      </c>
      <c r="G250" s="40">
        <v>102</v>
      </c>
    </row>
    <row r="251" spans="1:7" x14ac:dyDescent="0.25">
      <c r="A251" s="7" t="s">
        <v>420</v>
      </c>
      <c r="B251" s="40">
        <v>130</v>
      </c>
      <c r="D251" s="7" t="s">
        <v>420</v>
      </c>
      <c r="F251" s="7" t="s">
        <v>420</v>
      </c>
      <c r="G251" s="40">
        <v>1</v>
      </c>
    </row>
    <row r="252" spans="1:7" x14ac:dyDescent="0.25">
      <c r="A252" s="7" t="s">
        <v>421</v>
      </c>
      <c r="B252" s="40">
        <v>110</v>
      </c>
      <c r="D252" s="7" t="s">
        <v>421</v>
      </c>
      <c r="F252" s="7" t="s">
        <v>421</v>
      </c>
      <c r="G252" s="40">
        <v>372</v>
      </c>
    </row>
    <row r="253" spans="1:7" x14ac:dyDescent="0.25">
      <c r="A253" s="7" t="s">
        <v>422</v>
      </c>
      <c r="B253" s="40">
        <v>600</v>
      </c>
      <c r="D253" s="7" t="s">
        <v>422</v>
      </c>
      <c r="F253" s="7" t="s">
        <v>422</v>
      </c>
      <c r="G253" s="40">
        <v>1300</v>
      </c>
    </row>
    <row r="254" spans="1:7" x14ac:dyDescent="0.25">
      <c r="A254" s="7" t="s">
        <v>424</v>
      </c>
      <c r="B254" s="40">
        <v>0</v>
      </c>
      <c r="D254" s="7" t="s">
        <v>424</v>
      </c>
      <c r="F254" s="7" t="s">
        <v>424</v>
      </c>
      <c r="G254" s="40">
        <v>607</v>
      </c>
    </row>
    <row r="255" spans="1:7" x14ac:dyDescent="0.25">
      <c r="A255" s="7" t="s">
        <v>427</v>
      </c>
      <c r="B255" s="40">
        <v>161</v>
      </c>
      <c r="D255" s="7" t="s">
        <v>427</v>
      </c>
      <c r="F255" s="7" t="s">
        <v>427</v>
      </c>
      <c r="G255" s="40">
        <v>1547</v>
      </c>
    </row>
    <row r="256" spans="1:7" x14ac:dyDescent="0.25">
      <c r="A256" s="7" t="s">
        <v>428</v>
      </c>
      <c r="B256" s="40">
        <v>4000</v>
      </c>
      <c r="D256" s="7" t="s">
        <v>428</v>
      </c>
      <c r="F256" s="7" t="s">
        <v>428</v>
      </c>
      <c r="G256" s="40">
        <v>3200</v>
      </c>
    </row>
    <row r="257" spans="1:7" x14ac:dyDescent="0.25">
      <c r="A257" s="7" t="s">
        <v>429</v>
      </c>
      <c r="B257" s="40">
        <v>70</v>
      </c>
      <c r="D257" s="7" t="s">
        <v>429</v>
      </c>
      <c r="F257" s="7" t="s">
        <v>429</v>
      </c>
      <c r="G257" s="40">
        <v>157</v>
      </c>
    </row>
    <row r="258" spans="1:7" x14ac:dyDescent="0.25">
      <c r="A258" s="7" t="s">
        <v>430</v>
      </c>
      <c r="B258" s="40">
        <v>0</v>
      </c>
      <c r="D258" s="7" t="s">
        <v>430</v>
      </c>
      <c r="F258" s="7" t="s">
        <v>430</v>
      </c>
      <c r="G258" s="40">
        <v>708</v>
      </c>
    </row>
    <row r="259" spans="1:7" x14ac:dyDescent="0.25">
      <c r="A259" s="7" t="s">
        <v>433</v>
      </c>
      <c r="B259" s="40">
        <v>100</v>
      </c>
      <c r="D259" s="7" t="s">
        <v>433</v>
      </c>
      <c r="F259" s="7" t="s">
        <v>433</v>
      </c>
      <c r="G259" s="40">
        <v>41</v>
      </c>
    </row>
    <row r="260" spans="1:7" x14ac:dyDescent="0.25">
      <c r="A260" s="7" t="s">
        <v>434</v>
      </c>
      <c r="B260" s="40">
        <v>78</v>
      </c>
      <c r="D260" s="7" t="s">
        <v>434</v>
      </c>
      <c r="F260" s="7" t="s">
        <v>434</v>
      </c>
      <c r="G260" s="40">
        <v>339</v>
      </c>
    </row>
    <row r="261" spans="1:7" x14ac:dyDescent="0.25">
      <c r="A261" s="7" t="s">
        <v>435</v>
      </c>
      <c r="B261" s="40">
        <v>0</v>
      </c>
      <c r="D261" s="7" t="s">
        <v>435</v>
      </c>
      <c r="F261" s="7" t="s">
        <v>435</v>
      </c>
      <c r="G261" s="40">
        <v>184</v>
      </c>
    </row>
    <row r="262" spans="1:7" x14ac:dyDescent="0.25">
      <c r="A262" s="7" t="s">
        <v>436</v>
      </c>
      <c r="B262" s="40">
        <v>30</v>
      </c>
      <c r="D262" s="7" t="s">
        <v>436</v>
      </c>
      <c r="F262" s="7" t="s">
        <v>436</v>
      </c>
      <c r="G262" s="40">
        <v>110</v>
      </c>
    </row>
    <row r="263" spans="1:7" x14ac:dyDescent="0.25">
      <c r="A263" s="7" t="s">
        <v>437</v>
      </c>
      <c r="B263" s="40">
        <v>100</v>
      </c>
      <c r="D263" s="7" t="s">
        <v>437</v>
      </c>
      <c r="F263" s="7" t="s">
        <v>437</v>
      </c>
      <c r="G263" s="40">
        <v>80</v>
      </c>
    </row>
    <row r="264" spans="1:7" x14ac:dyDescent="0.25">
      <c r="A264" s="7" t="s">
        <v>438</v>
      </c>
      <c r="B264" s="40">
        <v>750</v>
      </c>
      <c r="D264" s="7" t="s">
        <v>438</v>
      </c>
      <c r="F264" s="7" t="s">
        <v>438</v>
      </c>
      <c r="G264" s="40">
        <v>2000</v>
      </c>
    </row>
    <row r="265" spans="1:7" x14ac:dyDescent="0.25">
      <c r="A265" s="7" t="s">
        <v>439</v>
      </c>
      <c r="B265" s="40">
        <v>0</v>
      </c>
      <c r="D265" s="7" t="s">
        <v>439</v>
      </c>
      <c r="F265" s="7" t="s">
        <v>439</v>
      </c>
      <c r="G265" s="40">
        <v>351</v>
      </c>
    </row>
    <row r="266" spans="1:7" x14ac:dyDescent="0.25">
      <c r="A266" s="7" t="s">
        <v>440</v>
      </c>
      <c r="B266" s="40">
        <v>150</v>
      </c>
      <c r="D266" s="7" t="s">
        <v>440</v>
      </c>
      <c r="F266" s="7" t="s">
        <v>440</v>
      </c>
      <c r="G266" s="40">
        <v>864</v>
      </c>
    </row>
    <row r="267" spans="1:7" x14ac:dyDescent="0.25">
      <c r="A267" s="7" t="s">
        <v>441</v>
      </c>
      <c r="B267" s="40">
        <v>685</v>
      </c>
      <c r="D267" s="7" t="s">
        <v>441</v>
      </c>
      <c r="F267" s="7" t="s">
        <v>441</v>
      </c>
      <c r="G267" s="40">
        <v>924</v>
      </c>
    </row>
    <row r="268" spans="1:7" x14ac:dyDescent="0.25">
      <c r="A268" s="7" t="s">
        <v>442</v>
      </c>
      <c r="B268" s="40">
        <v>44</v>
      </c>
      <c r="D268" s="7" t="s">
        <v>442</v>
      </c>
      <c r="F268" s="7" t="s">
        <v>442</v>
      </c>
      <c r="G268" s="40">
        <v>536</v>
      </c>
    </row>
    <row r="269" spans="1:7" x14ac:dyDescent="0.25">
      <c r="A269" s="7" t="s">
        <v>443</v>
      </c>
      <c r="B269" s="40">
        <v>0</v>
      </c>
      <c r="D269" s="7" t="s">
        <v>443</v>
      </c>
      <c r="F269" s="7" t="s">
        <v>443</v>
      </c>
      <c r="G269" s="40">
        <v>22</v>
      </c>
    </row>
    <row r="270" spans="1:7" x14ac:dyDescent="0.25">
      <c r="A270" s="7" t="s">
        <v>444</v>
      </c>
      <c r="B270" s="40">
        <v>0</v>
      </c>
      <c r="D270" s="7" t="s">
        <v>444</v>
      </c>
      <c r="F270" s="7" t="s">
        <v>444</v>
      </c>
      <c r="G270" s="40">
        <v>72</v>
      </c>
    </row>
    <row r="271" spans="1:7" x14ac:dyDescent="0.25">
      <c r="A271" s="7" t="s">
        <v>445</v>
      </c>
      <c r="B271" s="40">
        <v>142</v>
      </c>
      <c r="D271" s="7" t="s">
        <v>445</v>
      </c>
      <c r="F271" s="7" t="s">
        <v>445</v>
      </c>
      <c r="G271" s="40">
        <v>468</v>
      </c>
    </row>
    <row r="272" spans="1:7" x14ac:dyDescent="0.25">
      <c r="A272" s="7" t="s">
        <v>446</v>
      </c>
      <c r="B272" s="40">
        <v>100</v>
      </c>
      <c r="D272" s="7" t="s">
        <v>446</v>
      </c>
      <c r="F272" s="7" t="s">
        <v>446</v>
      </c>
      <c r="G272" s="40">
        <v>92</v>
      </c>
    </row>
    <row r="273" spans="1:7" x14ac:dyDescent="0.25">
      <c r="A273" s="7" t="s">
        <v>447</v>
      </c>
      <c r="B273" s="40">
        <v>100</v>
      </c>
      <c r="D273" s="7" t="s">
        <v>447</v>
      </c>
      <c r="F273" s="7" t="s">
        <v>447</v>
      </c>
      <c r="G273" s="40">
        <v>1800</v>
      </c>
    </row>
    <row r="274" spans="1:7" x14ac:dyDescent="0.25">
      <c r="A274" s="7" t="s">
        <v>448</v>
      </c>
      <c r="B274" s="40">
        <v>64</v>
      </c>
      <c r="D274" s="7" t="s">
        <v>448</v>
      </c>
      <c r="F274" s="7" t="s">
        <v>448</v>
      </c>
      <c r="G274" s="40">
        <v>309</v>
      </c>
    </row>
    <row r="275" spans="1:7" x14ac:dyDescent="0.25">
      <c r="A275" s="7" t="s">
        <v>449</v>
      </c>
      <c r="B275" s="40">
        <v>29</v>
      </c>
      <c r="D275" s="7" t="s">
        <v>449</v>
      </c>
      <c r="F275" s="7" t="s">
        <v>449</v>
      </c>
      <c r="G275" s="40">
        <v>0</v>
      </c>
    </row>
    <row r="276" spans="1:7" x14ac:dyDescent="0.25">
      <c r="A276" s="7" t="s">
        <v>450</v>
      </c>
      <c r="B276" s="40">
        <v>58</v>
      </c>
      <c r="D276" s="7" t="s">
        <v>450</v>
      </c>
      <c r="F276" s="7" t="s">
        <v>450</v>
      </c>
      <c r="G276" s="40">
        <v>54</v>
      </c>
    </row>
    <row r="277" spans="1:7" x14ac:dyDescent="0.25">
      <c r="A277" s="7" t="s">
        <v>451</v>
      </c>
      <c r="B277" s="40">
        <v>156</v>
      </c>
      <c r="D277" s="7" t="s">
        <v>451</v>
      </c>
      <c r="F277" s="7" t="s">
        <v>451</v>
      </c>
      <c r="G277" s="40">
        <v>2300</v>
      </c>
    </row>
    <row r="278" spans="1:7" x14ac:dyDescent="0.25">
      <c r="A278" s="7" t="s">
        <v>452</v>
      </c>
      <c r="B278" s="40">
        <v>150</v>
      </c>
      <c r="D278" s="7" t="s">
        <v>452</v>
      </c>
      <c r="F278" s="7" t="s">
        <v>452</v>
      </c>
      <c r="G278" s="40">
        <v>604</v>
      </c>
    </row>
    <row r="279" spans="1:7" x14ac:dyDescent="0.25">
      <c r="A279" s="7" t="s">
        <v>453</v>
      </c>
      <c r="B279" s="40">
        <v>65</v>
      </c>
      <c r="D279" s="7" t="s">
        <v>453</v>
      </c>
      <c r="F279" s="7" t="s">
        <v>453</v>
      </c>
      <c r="G279" s="40">
        <v>50</v>
      </c>
    </row>
    <row r="280" spans="1:7" x14ac:dyDescent="0.25">
      <c r="A280" s="7" t="s">
        <v>454</v>
      </c>
      <c r="B280" s="40">
        <v>140</v>
      </c>
      <c r="D280" s="7" t="s">
        <v>454</v>
      </c>
      <c r="F280" s="7" t="s">
        <v>454</v>
      </c>
      <c r="G280" s="40">
        <v>128</v>
      </c>
    </row>
    <row r="281" spans="1:7" x14ac:dyDescent="0.25">
      <c r="A281" s="7" t="s">
        <v>455</v>
      </c>
      <c r="B281" s="40">
        <v>145</v>
      </c>
      <c r="D281" s="7" t="s">
        <v>455</v>
      </c>
      <c r="F281" s="7" t="s">
        <v>455</v>
      </c>
      <c r="G281" s="40">
        <v>410</v>
      </c>
    </row>
    <row r="282" spans="1:7" x14ac:dyDescent="0.25">
      <c r="A282" s="7" t="s">
        <v>457</v>
      </c>
      <c r="B282" s="40">
        <v>100</v>
      </c>
      <c r="D282" s="7" t="s">
        <v>457</v>
      </c>
      <c r="F282" s="7" t="s">
        <v>457</v>
      </c>
      <c r="G282" s="40">
        <v>55</v>
      </c>
    </row>
    <row r="283" spans="1:7" x14ac:dyDescent="0.25">
      <c r="A283" s="7" t="s">
        <v>458</v>
      </c>
      <c r="B283" s="40">
        <v>0</v>
      </c>
      <c r="D283" s="7" t="s">
        <v>458</v>
      </c>
      <c r="F283" s="7" t="s">
        <v>458</v>
      </c>
      <c r="G283" s="40">
        <v>315</v>
      </c>
    </row>
    <row r="284" spans="1:7" x14ac:dyDescent="0.25">
      <c r="A284" s="7" t="s">
        <v>459</v>
      </c>
      <c r="B284" s="40">
        <v>0</v>
      </c>
      <c r="D284" s="7" t="s">
        <v>459</v>
      </c>
      <c r="F284" s="7" t="s">
        <v>459</v>
      </c>
      <c r="G284" s="40">
        <v>50</v>
      </c>
    </row>
    <row r="285" spans="1:7" x14ac:dyDescent="0.25">
      <c r="A285" s="7" t="s">
        <v>460</v>
      </c>
      <c r="B285" s="40">
        <v>4100</v>
      </c>
      <c r="D285" s="7" t="s">
        <v>460</v>
      </c>
      <c r="F285" s="7" t="s">
        <v>460</v>
      </c>
      <c r="G285" s="40">
        <v>2</v>
      </c>
    </row>
    <row r="286" spans="1:7" x14ac:dyDescent="0.25">
      <c r="A286" s="7" t="s">
        <v>461</v>
      </c>
      <c r="B286" s="40">
        <v>33</v>
      </c>
      <c r="D286" s="7" t="s">
        <v>461</v>
      </c>
      <c r="F286" s="7" t="s">
        <v>461</v>
      </c>
      <c r="G286" s="40">
        <v>133</v>
      </c>
    </row>
    <row r="287" spans="1:7" x14ac:dyDescent="0.25">
      <c r="A287" s="7" t="s">
        <v>462</v>
      </c>
      <c r="B287" s="40">
        <v>22</v>
      </c>
      <c r="D287" s="7" t="s">
        <v>462</v>
      </c>
      <c r="F287" s="7" t="s">
        <v>462</v>
      </c>
      <c r="G287" s="40">
        <v>64</v>
      </c>
    </row>
    <row r="288" spans="1:7" x14ac:dyDescent="0.25">
      <c r="A288" s="7" t="s">
        <v>463</v>
      </c>
      <c r="B288" s="40">
        <v>0</v>
      </c>
      <c r="D288" s="7" t="s">
        <v>463</v>
      </c>
      <c r="F288" s="7" t="s">
        <v>463</v>
      </c>
      <c r="G288" s="40">
        <v>20</v>
      </c>
    </row>
    <row r="289" spans="1:7" x14ac:dyDescent="0.25">
      <c r="A289" s="7" t="s">
        <v>464</v>
      </c>
      <c r="B289" s="40">
        <v>191</v>
      </c>
      <c r="D289" s="7" t="s">
        <v>464</v>
      </c>
      <c r="F289" s="7" t="s">
        <v>464</v>
      </c>
      <c r="G289" s="40">
        <v>112</v>
      </c>
    </row>
    <row r="290" spans="1:7" x14ac:dyDescent="0.25">
      <c r="A290" s="7" t="s">
        <v>465</v>
      </c>
      <c r="B290" s="40">
        <v>65</v>
      </c>
      <c r="D290" s="7" t="s">
        <v>465</v>
      </c>
      <c r="F290" s="7" t="s">
        <v>465</v>
      </c>
      <c r="G290" s="40">
        <v>992</v>
      </c>
    </row>
    <row r="291" spans="1:7" x14ac:dyDescent="0.25">
      <c r="A291" s="7" t="s">
        <v>466</v>
      </c>
      <c r="B291" s="40">
        <v>15</v>
      </c>
      <c r="D291" s="7" t="s">
        <v>466</v>
      </c>
      <c r="F291" s="7" t="s">
        <v>466</v>
      </c>
      <c r="G291" s="40">
        <v>328</v>
      </c>
    </row>
    <row r="292" spans="1:7" x14ac:dyDescent="0.25">
      <c r="A292" s="7" t="s">
        <v>467</v>
      </c>
      <c r="B292" s="40">
        <v>154</v>
      </c>
      <c r="D292" s="7" t="s">
        <v>467</v>
      </c>
      <c r="F292" s="7" t="s">
        <v>467</v>
      </c>
      <c r="G292" s="40">
        <v>549</v>
      </c>
    </row>
    <row r="293" spans="1:7" x14ac:dyDescent="0.25">
      <c r="A293" s="7" t="s">
        <v>469</v>
      </c>
      <c r="B293" s="40">
        <v>190</v>
      </c>
      <c r="D293" s="7" t="s">
        <v>469</v>
      </c>
      <c r="F293" s="7" t="s">
        <v>469</v>
      </c>
      <c r="G293" s="40">
        <v>140</v>
      </c>
    </row>
    <row r="294" spans="1:7" x14ac:dyDescent="0.25">
      <c r="A294" s="7" t="s">
        <v>470</v>
      </c>
      <c r="B294" s="40">
        <v>628</v>
      </c>
      <c r="D294" s="7" t="s">
        <v>470</v>
      </c>
      <c r="F294" s="7" t="s">
        <v>470</v>
      </c>
      <c r="G294" s="40">
        <v>0</v>
      </c>
    </row>
    <row r="295" spans="1:7" x14ac:dyDescent="0.25">
      <c r="A295" s="7" t="s">
        <v>472</v>
      </c>
      <c r="B295" s="40">
        <v>17</v>
      </c>
      <c r="D295" s="7" t="s">
        <v>472</v>
      </c>
      <c r="F295" s="7" t="s">
        <v>472</v>
      </c>
      <c r="G295" s="40">
        <v>119</v>
      </c>
    </row>
    <row r="296" spans="1:7" x14ac:dyDescent="0.25">
      <c r="A296" s="7" t="s">
        <v>473</v>
      </c>
      <c r="B296" s="40">
        <v>235</v>
      </c>
      <c r="D296" s="7" t="s">
        <v>473</v>
      </c>
      <c r="F296" s="7" t="s">
        <v>473</v>
      </c>
      <c r="G296" s="40">
        <v>2060</v>
      </c>
    </row>
    <row r="297" spans="1:7" x14ac:dyDescent="0.25">
      <c r="A297" s="7" t="s">
        <v>476</v>
      </c>
      <c r="B297" s="40">
        <v>60</v>
      </c>
      <c r="D297" s="7" t="s">
        <v>476</v>
      </c>
      <c r="F297" s="7" t="s">
        <v>476</v>
      </c>
      <c r="G297" s="40">
        <v>76</v>
      </c>
    </row>
    <row r="298" spans="1:7" x14ac:dyDescent="0.25">
      <c r="A298" s="7" t="s">
        <v>477</v>
      </c>
      <c r="B298" s="40">
        <v>60</v>
      </c>
      <c r="D298" s="7" t="s">
        <v>477</v>
      </c>
      <c r="F298" s="7" t="s">
        <v>477</v>
      </c>
      <c r="G298" s="40">
        <v>537</v>
      </c>
    </row>
    <row r="299" spans="1:7" x14ac:dyDescent="0.25">
      <c r="A299" s="7" t="s">
        <v>478</v>
      </c>
      <c r="B299" s="40">
        <v>40</v>
      </c>
      <c r="D299" s="7" t="s">
        <v>478</v>
      </c>
      <c r="F299" s="7" t="s">
        <v>478</v>
      </c>
      <c r="G299" s="40">
        <v>59</v>
      </c>
    </row>
    <row r="300" spans="1:7" x14ac:dyDescent="0.25">
      <c r="A300" s="7" t="s">
        <v>480</v>
      </c>
      <c r="B300" s="40">
        <v>0</v>
      </c>
      <c r="D300" s="7" t="s">
        <v>480</v>
      </c>
      <c r="F300" s="7" t="s">
        <v>480</v>
      </c>
      <c r="G300" s="40">
        <v>78</v>
      </c>
    </row>
    <row r="301" spans="1:7" x14ac:dyDescent="0.25">
      <c r="A301" s="7" t="s">
        <v>483</v>
      </c>
      <c r="B301" s="40">
        <v>40</v>
      </c>
      <c r="D301" s="7" t="s">
        <v>483</v>
      </c>
      <c r="F301" s="7" t="s">
        <v>483</v>
      </c>
      <c r="G301" s="40">
        <v>100</v>
      </c>
    </row>
    <row r="302" spans="1:7" x14ac:dyDescent="0.25">
      <c r="A302" s="7" t="s">
        <v>484</v>
      </c>
      <c r="B302" s="40">
        <v>31</v>
      </c>
      <c r="D302" s="7" t="s">
        <v>484</v>
      </c>
      <c r="F302" s="7" t="s">
        <v>484</v>
      </c>
      <c r="G302" s="40">
        <v>47</v>
      </c>
    </row>
    <row r="303" spans="1:7" x14ac:dyDescent="0.25">
      <c r="A303" s="7" t="s">
        <v>485</v>
      </c>
      <c r="B303" s="40">
        <v>226</v>
      </c>
      <c r="D303" s="7" t="s">
        <v>485</v>
      </c>
      <c r="F303" s="7" t="s">
        <v>485</v>
      </c>
      <c r="G303" s="40">
        <v>406</v>
      </c>
    </row>
    <row r="304" spans="1:7" x14ac:dyDescent="0.25">
      <c r="A304" s="7" t="s">
        <v>486</v>
      </c>
      <c r="B304" s="40">
        <v>0</v>
      </c>
      <c r="D304" s="7" t="s">
        <v>486</v>
      </c>
      <c r="F304" s="7" t="s">
        <v>486</v>
      </c>
      <c r="G304" s="40">
        <v>296</v>
      </c>
    </row>
    <row r="305" spans="1:7" x14ac:dyDescent="0.25">
      <c r="A305" s="7" t="s">
        <v>487</v>
      </c>
      <c r="B305" s="40">
        <v>22</v>
      </c>
      <c r="D305" s="7" t="s">
        <v>487</v>
      </c>
      <c r="F305" s="7" t="s">
        <v>487</v>
      </c>
      <c r="G305" s="40">
        <v>58</v>
      </c>
    </row>
    <row r="306" spans="1:7" x14ac:dyDescent="0.25">
      <c r="A306" s="7" t="s">
        <v>488</v>
      </c>
      <c r="B306" s="40">
        <v>12</v>
      </c>
      <c r="D306" s="7" t="s">
        <v>488</v>
      </c>
      <c r="F306" s="7" t="s">
        <v>488</v>
      </c>
      <c r="G306" s="40">
        <v>20</v>
      </c>
    </row>
    <row r="307" spans="1:7" x14ac:dyDescent="0.25">
      <c r="A307" s="7" t="s">
        <v>489</v>
      </c>
      <c r="B307" s="40">
        <v>0</v>
      </c>
      <c r="D307" s="7" t="s">
        <v>489</v>
      </c>
      <c r="F307" s="7" t="s">
        <v>489</v>
      </c>
      <c r="G307" s="40">
        <v>332</v>
      </c>
    </row>
    <row r="308" spans="1:7" x14ac:dyDescent="0.25">
      <c r="A308" s="7" t="s">
        <v>490</v>
      </c>
      <c r="B308" s="40">
        <v>25</v>
      </c>
      <c r="D308" s="7" t="s">
        <v>490</v>
      </c>
      <c r="F308" s="7" t="s">
        <v>490</v>
      </c>
      <c r="G308" s="40">
        <v>275</v>
      </c>
    </row>
    <row r="309" spans="1:7" x14ac:dyDescent="0.25">
      <c r="A309" s="7" t="s">
        <v>491</v>
      </c>
      <c r="B309" s="40">
        <v>8</v>
      </c>
      <c r="D309" s="7" t="s">
        <v>491</v>
      </c>
      <c r="F309" s="7" t="s">
        <v>491</v>
      </c>
      <c r="G309" s="40">
        <v>8</v>
      </c>
    </row>
    <row r="310" spans="1:7" x14ac:dyDescent="0.25">
      <c r="A310" s="7" t="s">
        <v>492</v>
      </c>
      <c r="B310" s="40">
        <v>0</v>
      </c>
      <c r="D310" s="7" t="s">
        <v>492</v>
      </c>
      <c r="F310" s="7" t="s">
        <v>492</v>
      </c>
      <c r="G310" s="40">
        <v>162</v>
      </c>
    </row>
    <row r="311" spans="1:7" x14ac:dyDescent="0.25">
      <c r="A311" s="7" t="s">
        <v>493</v>
      </c>
      <c r="B311" s="40">
        <v>7</v>
      </c>
      <c r="D311" s="7" t="s">
        <v>493</v>
      </c>
      <c r="F311" s="7" t="s">
        <v>493</v>
      </c>
      <c r="G311" s="40">
        <v>2</v>
      </c>
    </row>
    <row r="312" spans="1:7" x14ac:dyDescent="0.25">
      <c r="A312" s="7" t="s">
        <v>494</v>
      </c>
      <c r="B312" s="40">
        <v>24</v>
      </c>
      <c r="D312" s="7" t="s">
        <v>494</v>
      </c>
      <c r="F312" s="7" t="s">
        <v>494</v>
      </c>
      <c r="G312" s="40">
        <v>92</v>
      </c>
    </row>
    <row r="313" spans="1:7" x14ac:dyDescent="0.25">
      <c r="A313" s="7" t="s">
        <v>495</v>
      </c>
      <c r="B313" s="40">
        <v>100</v>
      </c>
      <c r="D313" s="7" t="s">
        <v>495</v>
      </c>
      <c r="F313" s="7" t="s">
        <v>495</v>
      </c>
      <c r="G313" s="40">
        <v>0</v>
      </c>
    </row>
    <row r="314" spans="1:7" x14ac:dyDescent="0.25">
      <c r="A314" s="7" t="s">
        <v>496</v>
      </c>
      <c r="B314" s="40">
        <v>2110</v>
      </c>
      <c r="D314" s="7" t="s">
        <v>496</v>
      </c>
      <c r="F314" s="7" t="s">
        <v>496</v>
      </c>
      <c r="G314" s="40">
        <v>1647</v>
      </c>
    </row>
    <row r="315" spans="1:7" x14ac:dyDescent="0.25">
      <c r="A315" s="7" t="s">
        <v>497</v>
      </c>
      <c r="B315" s="40">
        <v>80</v>
      </c>
      <c r="D315" s="7" t="s">
        <v>497</v>
      </c>
      <c r="F315" s="7" t="s">
        <v>497</v>
      </c>
      <c r="G315" s="40">
        <v>244</v>
      </c>
    </row>
    <row r="316" spans="1:7" x14ac:dyDescent="0.25">
      <c r="A316" s="7" t="s">
        <v>498</v>
      </c>
      <c r="B316" s="40">
        <v>10</v>
      </c>
      <c r="D316" s="7" t="s">
        <v>498</v>
      </c>
      <c r="F316" s="7" t="s">
        <v>498</v>
      </c>
      <c r="G316" s="40">
        <v>1</v>
      </c>
    </row>
    <row r="317" spans="1:7" x14ac:dyDescent="0.25">
      <c r="A317" s="7" t="s">
        <v>499</v>
      </c>
      <c r="B317" s="40">
        <v>30</v>
      </c>
      <c r="D317" s="7" t="s">
        <v>499</v>
      </c>
      <c r="F317" s="7" t="s">
        <v>499</v>
      </c>
      <c r="G317" s="40">
        <v>98</v>
      </c>
    </row>
    <row r="318" spans="1:7" x14ac:dyDescent="0.25">
      <c r="A318" s="7" t="s">
        <v>500</v>
      </c>
      <c r="B318" s="40">
        <v>19</v>
      </c>
      <c r="D318" s="7" t="s">
        <v>500</v>
      </c>
      <c r="F318" s="7" t="s">
        <v>500</v>
      </c>
      <c r="G318" s="40">
        <v>101</v>
      </c>
    </row>
    <row r="319" spans="1:7" x14ac:dyDescent="0.25">
      <c r="A319" s="7" t="s">
        <v>501</v>
      </c>
      <c r="B319" s="40">
        <v>54</v>
      </c>
      <c r="D319" s="7" t="s">
        <v>501</v>
      </c>
      <c r="F319" s="7" t="s">
        <v>501</v>
      </c>
      <c r="G319" s="40">
        <v>719</v>
      </c>
    </row>
    <row r="320" spans="1:7" x14ac:dyDescent="0.25">
      <c r="A320" s="7" t="s">
        <v>502</v>
      </c>
      <c r="B320" s="40">
        <v>300</v>
      </c>
      <c r="D320" s="7" t="s">
        <v>502</v>
      </c>
      <c r="F320" s="7" t="s">
        <v>502</v>
      </c>
      <c r="G320" s="40">
        <v>482</v>
      </c>
    </row>
    <row r="321" spans="1:7" x14ac:dyDescent="0.25">
      <c r="A321" s="7" t="s">
        <v>503</v>
      </c>
      <c r="B321" s="40">
        <v>97</v>
      </c>
      <c r="D321" s="7" t="s">
        <v>503</v>
      </c>
      <c r="F321" s="7" t="s">
        <v>503</v>
      </c>
      <c r="G321" s="40">
        <v>41</v>
      </c>
    </row>
    <row r="322" spans="1:7" x14ac:dyDescent="0.25">
      <c r="A322" s="7" t="s">
        <v>504</v>
      </c>
      <c r="B322" s="40">
        <v>371</v>
      </c>
      <c r="D322" s="7" t="s">
        <v>504</v>
      </c>
      <c r="F322" s="7" t="s">
        <v>504</v>
      </c>
      <c r="G322" s="40">
        <v>0</v>
      </c>
    </row>
    <row r="323" spans="1:7" x14ac:dyDescent="0.25">
      <c r="A323" s="7" t="s">
        <v>506</v>
      </c>
      <c r="B323" s="40">
        <v>22</v>
      </c>
      <c r="D323" s="7" t="s">
        <v>506</v>
      </c>
      <c r="F323" s="7" t="s">
        <v>506</v>
      </c>
      <c r="G323" s="40">
        <v>255</v>
      </c>
    </row>
    <row r="324" spans="1:7" x14ac:dyDescent="0.25">
      <c r="A324" s="7" t="s">
        <v>507</v>
      </c>
      <c r="B324" s="40">
        <v>40</v>
      </c>
      <c r="D324" s="7" t="s">
        <v>507</v>
      </c>
      <c r="F324" s="7" t="s">
        <v>507</v>
      </c>
      <c r="G324" s="40">
        <v>40</v>
      </c>
    </row>
    <row r="325" spans="1:7" x14ac:dyDescent="0.25">
      <c r="A325" s="7" t="s">
        <v>508</v>
      </c>
      <c r="B325" s="40">
        <v>1096</v>
      </c>
      <c r="D325" s="7" t="s">
        <v>508</v>
      </c>
      <c r="F325" s="7" t="s">
        <v>508</v>
      </c>
      <c r="G325" s="40">
        <v>4800</v>
      </c>
    </row>
    <row r="326" spans="1:7" x14ac:dyDescent="0.25">
      <c r="A326" s="7" t="s">
        <v>509</v>
      </c>
      <c r="B326" s="40">
        <v>11</v>
      </c>
      <c r="D326" s="7" t="s">
        <v>509</v>
      </c>
      <c r="F326" s="7" t="s">
        <v>509</v>
      </c>
      <c r="G326" s="40">
        <v>17</v>
      </c>
    </row>
    <row r="327" spans="1:7" x14ac:dyDescent="0.25">
      <c r="A327" s="7" t="s">
        <v>510</v>
      </c>
      <c r="B327" s="40">
        <v>221</v>
      </c>
      <c r="D327" s="7" t="s">
        <v>510</v>
      </c>
      <c r="F327" s="7" t="s">
        <v>510</v>
      </c>
      <c r="G327" s="40">
        <v>455</v>
      </c>
    </row>
    <row r="328" spans="1:7" x14ac:dyDescent="0.25">
      <c r="A328" s="7" t="s">
        <v>511</v>
      </c>
      <c r="B328" s="40">
        <v>0</v>
      </c>
      <c r="D328" s="7" t="s">
        <v>511</v>
      </c>
      <c r="F328" s="7" t="s">
        <v>511</v>
      </c>
      <c r="G328" s="40">
        <v>117</v>
      </c>
    </row>
    <row r="329" spans="1:7" x14ac:dyDescent="0.25">
      <c r="A329" s="7" t="s">
        <v>512</v>
      </c>
      <c r="B329" s="40">
        <v>17</v>
      </c>
      <c r="D329" s="7" t="s">
        <v>512</v>
      </c>
      <c r="F329" s="7" t="s">
        <v>512</v>
      </c>
      <c r="G329" s="40">
        <v>0</v>
      </c>
    </row>
    <row r="330" spans="1:7" x14ac:dyDescent="0.25">
      <c r="A330" s="7" t="s">
        <v>513</v>
      </c>
      <c r="B330" s="40">
        <v>191</v>
      </c>
      <c r="D330" s="7" t="s">
        <v>513</v>
      </c>
      <c r="F330" s="7" t="s">
        <v>513</v>
      </c>
      <c r="G330" s="40">
        <v>736</v>
      </c>
    </row>
    <row r="331" spans="1:7" x14ac:dyDescent="0.25">
      <c r="A331" s="7" t="s">
        <v>514</v>
      </c>
      <c r="B331" s="40">
        <v>13</v>
      </c>
      <c r="D331" s="7" t="s">
        <v>514</v>
      </c>
      <c r="F331" s="7" t="s">
        <v>514</v>
      </c>
      <c r="G331" s="40">
        <v>5</v>
      </c>
    </row>
    <row r="332" spans="1:7" x14ac:dyDescent="0.25">
      <c r="A332" s="7" t="s">
        <v>515</v>
      </c>
      <c r="B332" s="40">
        <v>140</v>
      </c>
      <c r="D332" s="7" t="s">
        <v>515</v>
      </c>
      <c r="F332" s="7" t="s">
        <v>515</v>
      </c>
      <c r="G332" s="40">
        <v>37</v>
      </c>
    </row>
    <row r="333" spans="1:7" x14ac:dyDescent="0.25">
      <c r="A333" s="7" t="s">
        <v>517</v>
      </c>
      <c r="B333" s="40">
        <v>16</v>
      </c>
      <c r="D333" s="7" t="s">
        <v>517</v>
      </c>
      <c r="F333" s="7" t="s">
        <v>517</v>
      </c>
      <c r="G333" s="40">
        <v>380</v>
      </c>
    </row>
    <row r="334" spans="1:7" x14ac:dyDescent="0.25">
      <c r="A334" s="7" t="s">
        <v>518</v>
      </c>
      <c r="B334" s="40">
        <v>150</v>
      </c>
      <c r="D334" s="7" t="s">
        <v>518</v>
      </c>
      <c r="F334" s="7" t="s">
        <v>518</v>
      </c>
      <c r="G334" s="40">
        <v>280</v>
      </c>
    </row>
    <row r="335" spans="1:7" x14ac:dyDescent="0.25">
      <c r="A335" s="7" t="s">
        <v>519</v>
      </c>
      <c r="B335" s="40">
        <v>90</v>
      </c>
      <c r="D335" s="7" t="s">
        <v>519</v>
      </c>
      <c r="F335" s="7" t="s">
        <v>519</v>
      </c>
      <c r="G335" s="40">
        <v>1765</v>
      </c>
    </row>
    <row r="336" spans="1:7" x14ac:dyDescent="0.25">
      <c r="A336" s="7" t="s">
        <v>520</v>
      </c>
      <c r="B336" s="40">
        <v>35</v>
      </c>
      <c r="D336" s="7" t="s">
        <v>520</v>
      </c>
      <c r="F336" s="7" t="s">
        <v>520</v>
      </c>
      <c r="G336" s="40">
        <v>102</v>
      </c>
    </row>
    <row r="337" spans="1:7" x14ac:dyDescent="0.25">
      <c r="A337" s="7" t="s">
        <v>521</v>
      </c>
      <c r="B337" s="40">
        <v>0</v>
      </c>
      <c r="D337" s="7" t="s">
        <v>521</v>
      </c>
      <c r="F337" s="7" t="s">
        <v>521</v>
      </c>
      <c r="G337" s="40">
        <v>169</v>
      </c>
    </row>
    <row r="338" spans="1:7" x14ac:dyDescent="0.25">
      <c r="A338" s="7" t="s">
        <v>522</v>
      </c>
      <c r="B338" s="40">
        <v>0</v>
      </c>
      <c r="D338" s="7" t="s">
        <v>522</v>
      </c>
      <c r="F338" s="7" t="s">
        <v>522</v>
      </c>
      <c r="G338" s="40">
        <v>160</v>
      </c>
    </row>
    <row r="339" spans="1:7" x14ac:dyDescent="0.25">
      <c r="A339" s="7" t="s">
        <v>523</v>
      </c>
      <c r="B339" s="40">
        <v>30</v>
      </c>
      <c r="D339" s="7" t="s">
        <v>523</v>
      </c>
      <c r="F339" s="7" t="s">
        <v>523</v>
      </c>
      <c r="G339" s="40">
        <v>70</v>
      </c>
    </row>
    <row r="340" spans="1:7" x14ac:dyDescent="0.25">
      <c r="A340" s="7" t="s">
        <v>524</v>
      </c>
      <c r="B340" s="40">
        <v>20</v>
      </c>
      <c r="D340" s="7" t="s">
        <v>524</v>
      </c>
      <c r="F340" s="7" t="s">
        <v>524</v>
      </c>
      <c r="G340" s="40">
        <v>16</v>
      </c>
    </row>
    <row r="341" spans="1:7" x14ac:dyDescent="0.25">
      <c r="A341" s="7" t="s">
        <v>525</v>
      </c>
      <c r="B341" s="40">
        <v>22</v>
      </c>
      <c r="D341" s="7" t="s">
        <v>525</v>
      </c>
      <c r="F341" s="7" t="s">
        <v>525</v>
      </c>
      <c r="G341" s="40">
        <v>120</v>
      </c>
    </row>
    <row r="342" spans="1:7" x14ac:dyDescent="0.25">
      <c r="A342" s="7" t="s">
        <v>526</v>
      </c>
      <c r="B342" s="40">
        <v>0</v>
      </c>
      <c r="D342" s="7" t="s">
        <v>526</v>
      </c>
      <c r="F342" s="7" t="s">
        <v>526</v>
      </c>
      <c r="G342" s="40">
        <v>314</v>
      </c>
    </row>
    <row r="343" spans="1:7" x14ac:dyDescent="0.25">
      <c r="A343" s="7" t="s">
        <v>527</v>
      </c>
      <c r="B343" s="40">
        <v>170</v>
      </c>
      <c r="D343" s="7" t="s">
        <v>527</v>
      </c>
      <c r="F343" s="7" t="s">
        <v>527</v>
      </c>
      <c r="G343" s="40">
        <v>3</v>
      </c>
    </row>
    <row r="344" spans="1:7" x14ac:dyDescent="0.25">
      <c r="A344" s="7" t="s">
        <v>528</v>
      </c>
      <c r="B344" s="40">
        <v>24</v>
      </c>
      <c r="D344" s="7" t="s">
        <v>528</v>
      </c>
      <c r="F344" s="7" t="s">
        <v>528</v>
      </c>
      <c r="G344" s="40">
        <v>24</v>
      </c>
    </row>
    <row r="345" spans="1:7" x14ac:dyDescent="0.25">
      <c r="A345" s="7" t="s">
        <v>529</v>
      </c>
      <c r="B345" s="40">
        <v>150</v>
      </c>
      <c r="D345" s="7" t="s">
        <v>529</v>
      </c>
      <c r="F345" s="7" t="s">
        <v>529</v>
      </c>
      <c r="G345" s="40">
        <v>5300</v>
      </c>
    </row>
    <row r="346" spans="1:7" x14ac:dyDescent="0.25">
      <c r="A346" s="7" t="s">
        <v>530</v>
      </c>
      <c r="B346" s="40">
        <v>85</v>
      </c>
      <c r="D346" s="7" t="s">
        <v>530</v>
      </c>
      <c r="F346" s="7" t="s">
        <v>530</v>
      </c>
      <c r="G346" s="40">
        <v>26</v>
      </c>
    </row>
    <row r="347" spans="1:7" x14ac:dyDescent="0.25">
      <c r="A347" s="7" t="s">
        <v>533</v>
      </c>
      <c r="B347" s="40">
        <v>2260</v>
      </c>
      <c r="D347" s="7" t="s">
        <v>533</v>
      </c>
      <c r="F347" s="7" t="s">
        <v>533</v>
      </c>
      <c r="G347" s="40">
        <v>312</v>
      </c>
    </row>
    <row r="348" spans="1:7" x14ac:dyDescent="0.25">
      <c r="A348" s="7" t="s">
        <v>534</v>
      </c>
      <c r="B348" s="40">
        <v>62</v>
      </c>
      <c r="D348" s="7" t="s">
        <v>534</v>
      </c>
      <c r="F348" s="7" t="s">
        <v>534</v>
      </c>
      <c r="G348" s="40">
        <v>233</v>
      </c>
    </row>
    <row r="349" spans="1:7" x14ac:dyDescent="0.25">
      <c r="A349" s="7" t="s">
        <v>536</v>
      </c>
      <c r="B349" s="40">
        <v>30</v>
      </c>
      <c r="D349" s="7" t="s">
        <v>536</v>
      </c>
      <c r="F349" s="7" t="s">
        <v>536</v>
      </c>
      <c r="G349" s="40">
        <v>7</v>
      </c>
    </row>
    <row r="350" spans="1:7" x14ac:dyDescent="0.25">
      <c r="A350" s="7" t="s">
        <v>537</v>
      </c>
      <c r="B350" s="40">
        <v>558</v>
      </c>
      <c r="D350" s="7" t="s">
        <v>537</v>
      </c>
      <c r="F350" s="7" t="s">
        <v>537</v>
      </c>
      <c r="G350" s="40">
        <v>1998</v>
      </c>
    </row>
    <row r="351" spans="1:7" x14ac:dyDescent="0.25">
      <c r="A351" s="7" t="s">
        <v>538</v>
      </c>
      <c r="B351" s="40">
        <v>36</v>
      </c>
      <c r="D351" s="7" t="s">
        <v>538</v>
      </c>
      <c r="F351" s="7" t="s">
        <v>538</v>
      </c>
      <c r="G351" s="40">
        <v>157</v>
      </c>
    </row>
    <row r="352" spans="1:7" x14ac:dyDescent="0.25">
      <c r="A352" s="7" t="s">
        <v>539</v>
      </c>
      <c r="B352" s="40">
        <v>95</v>
      </c>
      <c r="D352" s="7" t="s">
        <v>539</v>
      </c>
      <c r="F352" s="7" t="s">
        <v>539</v>
      </c>
      <c r="G352" s="40">
        <v>102</v>
      </c>
    </row>
    <row r="353" spans="1:7" x14ac:dyDescent="0.25">
      <c r="A353" s="7" t="s">
        <v>540</v>
      </c>
      <c r="B353" s="40">
        <v>109</v>
      </c>
      <c r="D353" s="7" t="s">
        <v>540</v>
      </c>
      <c r="F353" s="7" t="s">
        <v>540</v>
      </c>
      <c r="G353" s="40">
        <v>8</v>
      </c>
    </row>
    <row r="354" spans="1:7" x14ac:dyDescent="0.25">
      <c r="A354" s="7" t="s">
        <v>541</v>
      </c>
      <c r="B354" s="40">
        <v>920</v>
      </c>
      <c r="D354" s="7" t="s">
        <v>541</v>
      </c>
      <c r="F354" s="7" t="s">
        <v>541</v>
      </c>
      <c r="G354" s="40">
        <v>809</v>
      </c>
    </row>
    <row r="355" spans="1:7" x14ac:dyDescent="0.25">
      <c r="A355" s="7" t="s">
        <v>543</v>
      </c>
      <c r="B355" s="40">
        <v>150</v>
      </c>
      <c r="D355" s="7" t="s">
        <v>543</v>
      </c>
      <c r="F355" s="7" t="s">
        <v>543</v>
      </c>
      <c r="G355" s="40">
        <v>19</v>
      </c>
    </row>
    <row r="356" spans="1:7" x14ac:dyDescent="0.25">
      <c r="A356" s="7" t="s">
        <v>544</v>
      </c>
      <c r="B356" s="40">
        <v>65</v>
      </c>
      <c r="D356" s="7" t="s">
        <v>544</v>
      </c>
      <c r="F356" s="7" t="s">
        <v>544</v>
      </c>
      <c r="G356" s="40">
        <v>182</v>
      </c>
    </row>
    <row r="357" spans="1:7" x14ac:dyDescent="0.25">
      <c r="A357" s="7" t="s">
        <v>545</v>
      </c>
      <c r="B357" s="40">
        <v>400</v>
      </c>
      <c r="D357" s="7" t="s">
        <v>545</v>
      </c>
      <c r="F357" s="7" t="s">
        <v>545</v>
      </c>
      <c r="G357" s="40">
        <v>146</v>
      </c>
    </row>
    <row r="358" spans="1:7" x14ac:dyDescent="0.25">
      <c r="A358" s="7" t="s">
        <v>546</v>
      </c>
      <c r="B358" s="40">
        <v>300</v>
      </c>
      <c r="D358" s="7" t="s">
        <v>546</v>
      </c>
      <c r="F358" s="7" t="s">
        <v>546</v>
      </c>
      <c r="G358" s="40">
        <v>1500</v>
      </c>
    </row>
    <row r="359" spans="1:7" x14ac:dyDescent="0.25">
      <c r="A359" s="7" t="s">
        <v>547</v>
      </c>
      <c r="B359" s="40">
        <v>30</v>
      </c>
      <c r="D359" s="7" t="s">
        <v>547</v>
      </c>
      <c r="F359" s="7" t="s">
        <v>547</v>
      </c>
      <c r="G359" s="40">
        <v>153</v>
      </c>
    </row>
    <row r="360" spans="1:7" x14ac:dyDescent="0.25">
      <c r="A360" s="7" t="s">
        <v>548</v>
      </c>
      <c r="B360" s="40">
        <v>121</v>
      </c>
      <c r="D360" s="7" t="s">
        <v>548</v>
      </c>
      <c r="F360" s="7" t="s">
        <v>548</v>
      </c>
      <c r="G360" s="40">
        <v>161</v>
      </c>
    </row>
    <row r="361" spans="1:7" x14ac:dyDescent="0.25">
      <c r="A361" s="7" t="s">
        <v>549</v>
      </c>
      <c r="B361" s="40">
        <v>0</v>
      </c>
      <c r="D361" s="7" t="s">
        <v>549</v>
      </c>
      <c r="F361" s="7" t="s">
        <v>549</v>
      </c>
      <c r="G361" s="40">
        <v>156</v>
      </c>
    </row>
    <row r="362" spans="1:7" x14ac:dyDescent="0.25">
      <c r="A362" s="7" t="s">
        <v>550</v>
      </c>
      <c r="B362" s="40">
        <v>34</v>
      </c>
      <c r="D362" s="7" t="s">
        <v>550</v>
      </c>
      <c r="F362" s="7" t="s">
        <v>550</v>
      </c>
      <c r="G362" s="40">
        <v>247</v>
      </c>
    </row>
    <row r="363" spans="1:7" x14ac:dyDescent="0.25">
      <c r="A363" s="7" t="s">
        <v>551</v>
      </c>
      <c r="B363" s="40">
        <v>0</v>
      </c>
      <c r="D363" s="7" t="s">
        <v>551</v>
      </c>
      <c r="F363" s="7" t="s">
        <v>551</v>
      </c>
      <c r="G363" s="40">
        <v>168</v>
      </c>
    </row>
    <row r="364" spans="1:7" x14ac:dyDescent="0.25">
      <c r="A364" s="7" t="s">
        <v>552</v>
      </c>
      <c r="B364" s="40">
        <v>60</v>
      </c>
      <c r="D364" s="7" t="s">
        <v>552</v>
      </c>
      <c r="F364" s="7" t="s">
        <v>552</v>
      </c>
      <c r="G364" s="40">
        <v>240</v>
      </c>
    </row>
    <row r="365" spans="1:7" x14ac:dyDescent="0.25">
      <c r="A365" s="7" t="s">
        <v>553</v>
      </c>
      <c r="B365" s="40">
        <v>0</v>
      </c>
      <c r="D365" s="7" t="s">
        <v>553</v>
      </c>
      <c r="F365" s="7" t="s">
        <v>553</v>
      </c>
      <c r="G365" s="40">
        <v>814</v>
      </c>
    </row>
    <row r="366" spans="1:7" x14ac:dyDescent="0.25">
      <c r="A366" s="7" t="s">
        <v>554</v>
      </c>
      <c r="B366" s="40">
        <v>40</v>
      </c>
      <c r="D366" s="7" t="s">
        <v>554</v>
      </c>
      <c r="F366" s="7" t="s">
        <v>554</v>
      </c>
      <c r="G366" s="40">
        <v>23</v>
      </c>
    </row>
    <row r="367" spans="1:7" x14ac:dyDescent="0.25">
      <c r="A367" s="7" t="s">
        <v>555</v>
      </c>
      <c r="B367" s="40">
        <v>0</v>
      </c>
      <c r="D367" s="7" t="s">
        <v>555</v>
      </c>
      <c r="F367" s="7" t="s">
        <v>555</v>
      </c>
      <c r="G367" s="40">
        <v>63</v>
      </c>
    </row>
    <row r="368" spans="1:7" x14ac:dyDescent="0.25">
      <c r="A368" s="7" t="s">
        <v>556</v>
      </c>
      <c r="B368" s="40">
        <v>200</v>
      </c>
      <c r="D368" s="7" t="s">
        <v>556</v>
      </c>
      <c r="F368" s="7" t="s">
        <v>556</v>
      </c>
      <c r="G368" s="40">
        <v>0</v>
      </c>
    </row>
    <row r="369" spans="1:7" x14ac:dyDescent="0.25">
      <c r="A369" s="7" t="s">
        <v>557</v>
      </c>
      <c r="B369" s="40">
        <v>134</v>
      </c>
      <c r="D369" s="7" t="s">
        <v>557</v>
      </c>
      <c r="F369" s="7" t="s">
        <v>557</v>
      </c>
      <c r="G369" s="40">
        <v>1214</v>
      </c>
    </row>
    <row r="370" spans="1:7" x14ac:dyDescent="0.25">
      <c r="A370" s="7" t="s">
        <v>558</v>
      </c>
      <c r="B370" s="40">
        <v>0</v>
      </c>
      <c r="D370" s="7" t="s">
        <v>558</v>
      </c>
      <c r="F370" s="7" t="s">
        <v>558</v>
      </c>
      <c r="G370" s="40">
        <v>0</v>
      </c>
    </row>
    <row r="371" spans="1:7" x14ac:dyDescent="0.25">
      <c r="A371" s="7" t="s">
        <v>559</v>
      </c>
      <c r="B371" s="40">
        <v>6</v>
      </c>
      <c r="D371" s="7" t="s">
        <v>559</v>
      </c>
      <c r="F371" s="7" t="s">
        <v>559</v>
      </c>
      <c r="G371" s="40">
        <v>3</v>
      </c>
    </row>
    <row r="372" spans="1:7" x14ac:dyDescent="0.25">
      <c r="A372" s="7" t="s">
        <v>560</v>
      </c>
      <c r="B372" s="40">
        <v>30</v>
      </c>
      <c r="D372" s="7" t="s">
        <v>560</v>
      </c>
      <c r="F372" s="7" t="s">
        <v>560</v>
      </c>
      <c r="G372" s="40">
        <v>103</v>
      </c>
    </row>
    <row r="373" spans="1:7" x14ac:dyDescent="0.25">
      <c r="A373" s="7" t="s">
        <v>561</v>
      </c>
      <c r="B373" s="40">
        <v>270</v>
      </c>
      <c r="D373" s="7" t="s">
        <v>561</v>
      </c>
      <c r="F373" s="7" t="s">
        <v>561</v>
      </c>
      <c r="G373" s="40">
        <v>2430</v>
      </c>
    </row>
    <row r="374" spans="1:7" x14ac:dyDescent="0.25">
      <c r="A374" s="7" t="s">
        <v>562</v>
      </c>
      <c r="B374" s="40">
        <v>15</v>
      </c>
      <c r="D374" s="7" t="s">
        <v>562</v>
      </c>
      <c r="F374" s="7" t="s">
        <v>562</v>
      </c>
      <c r="G374" s="40">
        <v>190</v>
      </c>
    </row>
    <row r="375" spans="1:7" x14ac:dyDescent="0.25">
      <c r="A375" s="7" t="s">
        <v>563</v>
      </c>
      <c r="B375" s="40">
        <v>0</v>
      </c>
      <c r="D375" s="7" t="s">
        <v>563</v>
      </c>
      <c r="F375" s="7" t="s">
        <v>563</v>
      </c>
      <c r="G375" s="40">
        <v>63</v>
      </c>
    </row>
    <row r="376" spans="1:7" x14ac:dyDescent="0.25">
      <c r="A376" s="7" t="s">
        <v>564</v>
      </c>
      <c r="B376" s="40">
        <v>50</v>
      </c>
      <c r="D376" s="7" t="s">
        <v>564</v>
      </c>
      <c r="F376" s="7" t="s">
        <v>564</v>
      </c>
      <c r="G376" s="40">
        <v>0</v>
      </c>
    </row>
    <row r="377" spans="1:7" x14ac:dyDescent="0.25">
      <c r="A377" s="7" t="s">
        <v>565</v>
      </c>
      <c r="B377" s="40">
        <v>100</v>
      </c>
      <c r="D377" s="7" t="s">
        <v>565</v>
      </c>
      <c r="F377" s="7" t="s">
        <v>565</v>
      </c>
      <c r="G377" s="40">
        <v>390</v>
      </c>
    </row>
    <row r="378" spans="1:7" x14ac:dyDescent="0.25">
      <c r="A378" s="7" t="s">
        <v>566</v>
      </c>
      <c r="B378" s="40">
        <v>0</v>
      </c>
      <c r="D378" s="7" t="s">
        <v>566</v>
      </c>
      <c r="F378" s="7" t="s">
        <v>566</v>
      </c>
      <c r="G378" s="40">
        <v>259</v>
      </c>
    </row>
    <row r="379" spans="1:7" x14ac:dyDescent="0.25">
      <c r="A379" s="7" t="s">
        <v>567</v>
      </c>
      <c r="B379" s="40">
        <v>55</v>
      </c>
      <c r="D379" s="7" t="s">
        <v>567</v>
      </c>
      <c r="F379" s="7" t="s">
        <v>567</v>
      </c>
      <c r="G379" s="40">
        <v>0</v>
      </c>
    </row>
    <row r="380" spans="1:7" x14ac:dyDescent="0.25">
      <c r="A380" s="7" t="s">
        <v>568</v>
      </c>
      <c r="B380" s="40">
        <v>0</v>
      </c>
      <c r="D380" s="7" t="s">
        <v>568</v>
      </c>
      <c r="F380" s="7" t="s">
        <v>568</v>
      </c>
      <c r="G380" s="40">
        <v>411</v>
      </c>
    </row>
    <row r="381" spans="1:7" x14ac:dyDescent="0.25">
      <c r="A381" s="7" t="s">
        <v>569</v>
      </c>
      <c r="B381" s="40">
        <v>0</v>
      </c>
      <c r="D381" s="7" t="s">
        <v>569</v>
      </c>
      <c r="F381" s="7" t="s">
        <v>569</v>
      </c>
      <c r="G381" s="40">
        <v>254</v>
      </c>
    </row>
    <row r="382" spans="1:7" x14ac:dyDescent="0.25">
      <c r="A382" s="7" t="s">
        <v>571</v>
      </c>
      <c r="B382" s="40">
        <v>669</v>
      </c>
      <c r="D382" s="7" t="s">
        <v>571</v>
      </c>
      <c r="F382" s="7" t="s">
        <v>571</v>
      </c>
      <c r="G382" s="40">
        <v>80</v>
      </c>
    </row>
    <row r="383" spans="1:7" x14ac:dyDescent="0.25">
      <c r="A383" s="7" t="s">
        <v>572</v>
      </c>
      <c r="B383" s="40">
        <v>717</v>
      </c>
      <c r="D383" s="7" t="s">
        <v>572</v>
      </c>
      <c r="F383" s="7" t="s">
        <v>572</v>
      </c>
      <c r="G383" s="40">
        <v>3200</v>
      </c>
    </row>
    <row r="384" spans="1:7" x14ac:dyDescent="0.25">
      <c r="A384" s="7" t="s">
        <v>573</v>
      </c>
      <c r="B384" s="40">
        <v>120</v>
      </c>
      <c r="D384" s="7" t="s">
        <v>573</v>
      </c>
      <c r="F384" s="7" t="s">
        <v>573</v>
      </c>
      <c r="G384" s="40">
        <v>1700</v>
      </c>
    </row>
    <row r="385" spans="1:7" x14ac:dyDescent="0.25">
      <c r="A385" s="7" t="s">
        <v>574</v>
      </c>
      <c r="B385" s="40">
        <v>556</v>
      </c>
      <c r="D385" s="7" t="s">
        <v>574</v>
      </c>
      <c r="F385" s="7" t="s">
        <v>574</v>
      </c>
      <c r="G385" s="40">
        <v>26500</v>
      </c>
    </row>
    <row r="386" spans="1:7" x14ac:dyDescent="0.25">
      <c r="A386" s="7" t="s">
        <v>575</v>
      </c>
      <c r="B386" s="40">
        <v>6650</v>
      </c>
      <c r="D386" s="7" t="s">
        <v>575</v>
      </c>
      <c r="F386" s="7" t="s">
        <v>575</v>
      </c>
      <c r="G386" s="40">
        <v>0</v>
      </c>
    </row>
    <row r="387" spans="1:7" x14ac:dyDescent="0.25">
      <c r="A387" s="7" t="s">
        <v>576</v>
      </c>
      <c r="B387" s="40">
        <v>27</v>
      </c>
      <c r="D387" s="7" t="s">
        <v>576</v>
      </c>
      <c r="F387" s="7" t="s">
        <v>576</v>
      </c>
      <c r="G387" s="40">
        <v>143</v>
      </c>
    </row>
    <row r="388" spans="1:7" x14ac:dyDescent="0.25">
      <c r="A388" s="7" t="s">
        <v>577</v>
      </c>
      <c r="B388" s="40">
        <v>60</v>
      </c>
      <c r="D388" s="7" t="s">
        <v>577</v>
      </c>
      <c r="F388" s="7" t="s">
        <v>577</v>
      </c>
      <c r="G388" s="40">
        <v>106</v>
      </c>
    </row>
    <row r="389" spans="1:7" x14ac:dyDescent="0.25">
      <c r="A389" s="7" t="s">
        <v>578</v>
      </c>
      <c r="B389" s="40">
        <v>12</v>
      </c>
      <c r="D389" s="7" t="s">
        <v>578</v>
      </c>
      <c r="F389" s="7" t="s">
        <v>578</v>
      </c>
      <c r="G389" s="40">
        <v>58</v>
      </c>
    </row>
    <row r="390" spans="1:7" x14ac:dyDescent="0.25">
      <c r="A390" s="7" t="s">
        <v>580</v>
      </c>
      <c r="B390" s="40">
        <v>0</v>
      </c>
      <c r="D390" s="7" t="s">
        <v>580</v>
      </c>
      <c r="F390" s="7" t="s">
        <v>580</v>
      </c>
      <c r="G390" s="40">
        <v>811</v>
      </c>
    </row>
    <row r="391" spans="1:7" x14ac:dyDescent="0.25">
      <c r="A391" s="7" t="s">
        <v>581</v>
      </c>
      <c r="B391" s="40">
        <v>0</v>
      </c>
      <c r="D391" s="7" t="s">
        <v>581</v>
      </c>
      <c r="F391" s="7" t="s">
        <v>581</v>
      </c>
      <c r="G391" s="40">
        <v>481</v>
      </c>
    </row>
    <row r="392" spans="1:7" x14ac:dyDescent="0.25">
      <c r="A392" s="7" t="s">
        <v>582</v>
      </c>
      <c r="B392" s="40">
        <v>5</v>
      </c>
      <c r="D392" s="7" t="s">
        <v>582</v>
      </c>
      <c r="F392" s="7" t="s">
        <v>582</v>
      </c>
      <c r="G392" s="40">
        <v>26</v>
      </c>
    </row>
    <row r="393" spans="1:7" x14ac:dyDescent="0.25">
      <c r="A393" s="7" t="s">
        <v>584</v>
      </c>
      <c r="B393" s="40">
        <v>10</v>
      </c>
      <c r="D393" s="7" t="s">
        <v>584</v>
      </c>
      <c r="F393" s="7" t="s">
        <v>584</v>
      </c>
      <c r="G393" s="40">
        <v>0</v>
      </c>
    </row>
    <row r="394" spans="1:7" x14ac:dyDescent="0.25">
      <c r="A394" s="7" t="s">
        <v>586</v>
      </c>
      <c r="B394" s="40">
        <v>0</v>
      </c>
      <c r="D394" s="7" t="s">
        <v>586</v>
      </c>
      <c r="F394" s="7" t="s">
        <v>586</v>
      </c>
      <c r="G394" s="40">
        <v>0</v>
      </c>
    </row>
    <row r="395" spans="1:7" x14ac:dyDescent="0.25">
      <c r="A395" s="7" t="s">
        <v>587</v>
      </c>
      <c r="B395" s="40">
        <v>200</v>
      </c>
      <c r="D395" s="7" t="s">
        <v>587</v>
      </c>
      <c r="F395" s="7" t="s">
        <v>587</v>
      </c>
      <c r="G395" s="40">
        <v>491</v>
      </c>
    </row>
    <row r="396" spans="1:7" x14ac:dyDescent="0.25">
      <c r="A396" s="7" t="s">
        <v>588</v>
      </c>
      <c r="B396" s="40">
        <v>75</v>
      </c>
      <c r="D396" s="7" t="s">
        <v>588</v>
      </c>
      <c r="F396" s="7" t="s">
        <v>588</v>
      </c>
      <c r="G396" s="40">
        <v>133</v>
      </c>
    </row>
    <row r="397" spans="1:7" x14ac:dyDescent="0.25">
      <c r="A397" s="7" t="s">
        <v>589</v>
      </c>
      <c r="B397" s="40">
        <v>0</v>
      </c>
      <c r="D397" s="7" t="s">
        <v>589</v>
      </c>
      <c r="F397" s="7" t="s">
        <v>589</v>
      </c>
      <c r="G397" s="40">
        <v>18</v>
      </c>
    </row>
    <row r="398" spans="1:7" x14ac:dyDescent="0.25">
      <c r="A398" s="7" t="s">
        <v>590</v>
      </c>
      <c r="B398" s="40">
        <v>57</v>
      </c>
      <c r="D398" s="7" t="s">
        <v>590</v>
      </c>
      <c r="F398" s="7" t="s">
        <v>590</v>
      </c>
      <c r="G398" s="40">
        <v>88</v>
      </c>
    </row>
    <row r="399" spans="1:7" x14ac:dyDescent="0.25">
      <c r="A399" s="7" t="s">
        <v>591</v>
      </c>
      <c r="B399" s="40">
        <v>40</v>
      </c>
      <c r="D399" s="7" t="s">
        <v>591</v>
      </c>
      <c r="F399" s="7" t="s">
        <v>591</v>
      </c>
      <c r="G399" s="40">
        <v>360</v>
      </c>
    </row>
    <row r="400" spans="1:7" x14ac:dyDescent="0.25">
      <c r="A400" s="7" t="s">
        <v>592</v>
      </c>
      <c r="B400" s="40">
        <v>62</v>
      </c>
      <c r="D400" s="7" t="s">
        <v>592</v>
      </c>
      <c r="F400" s="7" t="s">
        <v>592</v>
      </c>
      <c r="G400" s="40">
        <v>0</v>
      </c>
    </row>
    <row r="401" spans="1:7" x14ac:dyDescent="0.25">
      <c r="A401" s="7" t="s">
        <v>594</v>
      </c>
      <c r="B401" s="40">
        <v>190</v>
      </c>
      <c r="D401" s="7" t="s">
        <v>594</v>
      </c>
      <c r="F401" s="7" t="s">
        <v>594</v>
      </c>
      <c r="G401" s="40">
        <v>280</v>
      </c>
    </row>
    <row r="402" spans="1:7" x14ac:dyDescent="0.25">
      <c r="A402" s="7" t="s">
        <v>595</v>
      </c>
      <c r="B402" s="40">
        <v>8</v>
      </c>
      <c r="D402" s="7" t="s">
        <v>595</v>
      </c>
      <c r="F402" s="7" t="s">
        <v>595</v>
      </c>
      <c r="G402" s="40">
        <v>16</v>
      </c>
    </row>
    <row r="403" spans="1:7" x14ac:dyDescent="0.25">
      <c r="A403" s="7" t="s">
        <v>596</v>
      </c>
      <c r="B403" s="40">
        <v>1351</v>
      </c>
      <c r="D403" s="7" t="s">
        <v>596</v>
      </c>
      <c r="F403" s="7" t="s">
        <v>596</v>
      </c>
      <c r="G403" s="40">
        <v>1072</v>
      </c>
    </row>
    <row r="404" spans="1:7" x14ac:dyDescent="0.25">
      <c r="A404" s="7" t="s">
        <v>597</v>
      </c>
      <c r="B404" s="40">
        <v>1075</v>
      </c>
      <c r="D404" s="7" t="s">
        <v>597</v>
      </c>
      <c r="F404" s="7" t="s">
        <v>597</v>
      </c>
      <c r="G404" s="40">
        <v>2037</v>
      </c>
    </row>
    <row r="405" spans="1:7" x14ac:dyDescent="0.25">
      <c r="A405" s="7" t="s">
        <v>598</v>
      </c>
      <c r="B405" s="40">
        <v>150</v>
      </c>
      <c r="D405" s="7" t="s">
        <v>598</v>
      </c>
      <c r="F405" s="7" t="s">
        <v>598</v>
      </c>
      <c r="G405" s="40">
        <v>130</v>
      </c>
    </row>
    <row r="406" spans="1:7" x14ac:dyDescent="0.25">
      <c r="A406" s="7" t="s">
        <v>599</v>
      </c>
      <c r="B406" s="40">
        <v>0</v>
      </c>
      <c r="D406" s="7" t="s">
        <v>599</v>
      </c>
      <c r="F406" s="7" t="s">
        <v>599</v>
      </c>
      <c r="G406" s="40">
        <v>223</v>
      </c>
    </row>
    <row r="407" spans="1:7" x14ac:dyDescent="0.25">
      <c r="A407" s="7" t="s">
        <v>600</v>
      </c>
      <c r="B407" s="40">
        <v>0</v>
      </c>
      <c r="D407" s="7" t="s">
        <v>600</v>
      </c>
      <c r="F407" s="7" t="s">
        <v>600</v>
      </c>
      <c r="G407" s="40">
        <v>232</v>
      </c>
    </row>
    <row r="408" spans="1:7" x14ac:dyDescent="0.25">
      <c r="A408" s="7" t="s">
        <v>601</v>
      </c>
      <c r="B408" s="40">
        <v>90</v>
      </c>
      <c r="D408" s="7" t="s">
        <v>601</v>
      </c>
      <c r="F408" s="7" t="s">
        <v>601</v>
      </c>
      <c r="G408" s="40">
        <v>689</v>
      </c>
    </row>
    <row r="409" spans="1:7" x14ac:dyDescent="0.25">
      <c r="A409" s="7" t="s">
        <v>602</v>
      </c>
      <c r="B409" s="40">
        <v>12</v>
      </c>
      <c r="D409" s="7" t="s">
        <v>602</v>
      </c>
      <c r="F409" s="7" t="s">
        <v>602</v>
      </c>
      <c r="G409" s="40">
        <v>102</v>
      </c>
    </row>
    <row r="410" spans="1:7" x14ac:dyDescent="0.25">
      <c r="A410" s="7" t="s">
        <v>603</v>
      </c>
      <c r="B410" s="40">
        <v>1250</v>
      </c>
      <c r="D410" s="7" t="s">
        <v>603</v>
      </c>
      <c r="F410" s="7" t="s">
        <v>603</v>
      </c>
      <c r="G410" s="40">
        <v>2500</v>
      </c>
    </row>
    <row r="411" spans="1:7" x14ac:dyDescent="0.25">
      <c r="A411" s="7" t="s">
        <v>604</v>
      </c>
      <c r="B411" s="40">
        <v>10</v>
      </c>
      <c r="D411" s="7" t="s">
        <v>604</v>
      </c>
      <c r="F411" s="7" t="s">
        <v>604</v>
      </c>
      <c r="G411" s="40">
        <v>0</v>
      </c>
    </row>
    <row r="412" spans="1:7" x14ac:dyDescent="0.25">
      <c r="A412" s="7" t="s">
        <v>605</v>
      </c>
      <c r="B412" s="40">
        <v>23</v>
      </c>
      <c r="D412" s="7" t="s">
        <v>605</v>
      </c>
      <c r="F412" s="7" t="s">
        <v>605</v>
      </c>
      <c r="G412" s="40">
        <v>22</v>
      </c>
    </row>
    <row r="413" spans="1:7" x14ac:dyDescent="0.25">
      <c r="A413" s="7" t="s">
        <v>606</v>
      </c>
      <c r="B413" s="40">
        <v>140</v>
      </c>
      <c r="D413" s="7" t="s">
        <v>606</v>
      </c>
      <c r="F413" s="7" t="s">
        <v>606</v>
      </c>
      <c r="G413" s="40">
        <v>719</v>
      </c>
    </row>
    <row r="414" spans="1:7" x14ac:dyDescent="0.25">
      <c r="A414" s="7" t="s">
        <v>607</v>
      </c>
      <c r="B414" s="40">
        <v>59</v>
      </c>
      <c r="D414" s="7" t="s">
        <v>607</v>
      </c>
      <c r="F414" s="7" t="s">
        <v>607</v>
      </c>
      <c r="G414" s="40">
        <v>107</v>
      </c>
    </row>
    <row r="415" spans="1:7" x14ac:dyDescent="0.25">
      <c r="A415" s="7" t="s">
        <v>608</v>
      </c>
      <c r="B415" s="40">
        <v>20</v>
      </c>
      <c r="D415" s="7" t="s">
        <v>608</v>
      </c>
      <c r="F415" s="7" t="s">
        <v>608</v>
      </c>
      <c r="G415" s="40">
        <v>0</v>
      </c>
    </row>
    <row r="416" spans="1:7" x14ac:dyDescent="0.25">
      <c r="A416" s="7" t="s">
        <v>609</v>
      </c>
      <c r="B416" s="40">
        <v>0</v>
      </c>
      <c r="D416" s="7" t="s">
        <v>609</v>
      </c>
      <c r="F416" s="7" t="s">
        <v>609</v>
      </c>
      <c r="G416" s="40">
        <v>550</v>
      </c>
    </row>
    <row r="417" spans="1:7" x14ac:dyDescent="0.25">
      <c r="A417" s="7" t="s">
        <v>611</v>
      </c>
      <c r="B417" s="40">
        <v>24</v>
      </c>
      <c r="D417" s="7" t="s">
        <v>611</v>
      </c>
      <c r="F417" s="7" t="s">
        <v>611</v>
      </c>
      <c r="G417" s="40">
        <v>56</v>
      </c>
    </row>
    <row r="418" spans="1:7" x14ac:dyDescent="0.25">
      <c r="A418" s="7" t="s">
        <v>612</v>
      </c>
      <c r="B418" s="40">
        <v>315</v>
      </c>
      <c r="D418" s="7" t="s">
        <v>612</v>
      </c>
      <c r="F418" s="7" t="s">
        <v>612</v>
      </c>
      <c r="G418" s="40">
        <v>1700</v>
      </c>
    </row>
    <row r="419" spans="1:7" x14ac:dyDescent="0.25">
      <c r="A419" s="7" t="s">
        <v>613</v>
      </c>
      <c r="B419" s="40">
        <v>12</v>
      </c>
      <c r="D419" s="7" t="s">
        <v>613</v>
      </c>
      <c r="F419" s="7" t="s">
        <v>613</v>
      </c>
      <c r="G419" s="40">
        <v>4</v>
      </c>
    </row>
    <row r="420" spans="1:7" x14ac:dyDescent="0.25">
      <c r="A420" s="7" t="s">
        <v>614</v>
      </c>
      <c r="B420" s="40">
        <v>0</v>
      </c>
      <c r="D420" s="7" t="s">
        <v>614</v>
      </c>
      <c r="F420" s="7" t="s">
        <v>614</v>
      </c>
      <c r="G420" s="40">
        <v>100</v>
      </c>
    </row>
    <row r="421" spans="1:7" x14ac:dyDescent="0.25">
      <c r="A421" s="7" t="s">
        <v>616</v>
      </c>
      <c r="B421" s="40">
        <v>23</v>
      </c>
      <c r="D421" s="7" t="s">
        <v>616</v>
      </c>
      <c r="F421" s="7" t="s">
        <v>616</v>
      </c>
      <c r="G421" s="40">
        <v>17</v>
      </c>
    </row>
    <row r="422" spans="1:7" x14ac:dyDescent="0.25">
      <c r="A422" s="7" t="s">
        <v>617</v>
      </c>
      <c r="B422" s="40">
        <v>0</v>
      </c>
      <c r="D422" s="7" t="s">
        <v>617</v>
      </c>
      <c r="F422" s="7" t="s">
        <v>617</v>
      </c>
      <c r="G422" s="40">
        <v>382</v>
      </c>
    </row>
    <row r="423" spans="1:7" x14ac:dyDescent="0.25">
      <c r="A423" s="7" t="s">
        <v>618</v>
      </c>
      <c r="B423" s="40">
        <v>50</v>
      </c>
      <c r="D423" s="7" t="s">
        <v>618</v>
      </c>
      <c r="F423" s="7" t="s">
        <v>618</v>
      </c>
      <c r="G423" s="40">
        <v>603</v>
      </c>
    </row>
    <row r="424" spans="1:7" x14ac:dyDescent="0.25">
      <c r="A424" s="7" t="s">
        <v>620</v>
      </c>
      <c r="B424" s="40">
        <v>0</v>
      </c>
      <c r="D424" s="7" t="s">
        <v>620</v>
      </c>
      <c r="F424" s="7" t="s">
        <v>620</v>
      </c>
      <c r="G424" s="40">
        <v>0</v>
      </c>
    </row>
    <row r="425" spans="1:7" x14ac:dyDescent="0.25">
      <c r="A425" s="7" t="s">
        <v>621</v>
      </c>
      <c r="B425" s="40">
        <v>35</v>
      </c>
      <c r="D425" s="7" t="s">
        <v>621</v>
      </c>
      <c r="F425" s="7" t="s">
        <v>621</v>
      </c>
      <c r="G425" s="40">
        <v>114</v>
      </c>
    </row>
    <row r="426" spans="1:7" x14ac:dyDescent="0.25">
      <c r="A426" s="7" t="s">
        <v>622</v>
      </c>
      <c r="B426" s="40">
        <v>50</v>
      </c>
      <c r="D426" s="7" t="s">
        <v>622</v>
      </c>
      <c r="F426" s="7" t="s">
        <v>622</v>
      </c>
      <c r="G426" s="40">
        <v>190</v>
      </c>
    </row>
    <row r="427" spans="1:7" x14ac:dyDescent="0.25">
      <c r="A427" s="7" t="s">
        <v>623</v>
      </c>
      <c r="B427" s="40">
        <v>0</v>
      </c>
      <c r="D427" s="7" t="s">
        <v>623</v>
      </c>
      <c r="F427" s="7" t="s">
        <v>623</v>
      </c>
      <c r="G427" s="40">
        <v>2</v>
      </c>
    </row>
    <row r="428" spans="1:7" x14ac:dyDescent="0.25">
      <c r="A428" s="7" t="s">
        <v>624</v>
      </c>
      <c r="B428" s="40">
        <v>125</v>
      </c>
      <c r="D428" s="7" t="s">
        <v>624</v>
      </c>
      <c r="F428" s="7" t="s">
        <v>624</v>
      </c>
      <c r="G428" s="40">
        <v>24</v>
      </c>
    </row>
    <row r="429" spans="1:7" x14ac:dyDescent="0.25">
      <c r="A429" s="7" t="s">
        <v>625</v>
      </c>
      <c r="B429" s="40">
        <v>40</v>
      </c>
      <c r="D429" s="7" t="s">
        <v>625</v>
      </c>
      <c r="F429" s="7" t="s">
        <v>625</v>
      </c>
      <c r="G429" s="40">
        <v>465</v>
      </c>
    </row>
    <row r="430" spans="1:7" x14ac:dyDescent="0.25">
      <c r="A430" s="7" t="s">
        <v>626</v>
      </c>
      <c r="B430" s="40">
        <v>20</v>
      </c>
      <c r="D430" s="7" t="s">
        <v>626</v>
      </c>
      <c r="F430" s="7" t="s">
        <v>626</v>
      </c>
      <c r="G430" s="40">
        <v>1</v>
      </c>
    </row>
    <row r="431" spans="1:7" x14ac:dyDescent="0.25">
      <c r="A431" s="7" t="s">
        <v>627</v>
      </c>
      <c r="B431" s="40">
        <v>25</v>
      </c>
      <c r="D431" s="7" t="s">
        <v>627</v>
      </c>
      <c r="F431" s="7" t="s">
        <v>627</v>
      </c>
      <c r="G431" s="40">
        <v>202</v>
      </c>
    </row>
    <row r="432" spans="1:7" x14ac:dyDescent="0.25">
      <c r="A432" s="7" t="s">
        <v>628</v>
      </c>
      <c r="B432" s="40">
        <v>402</v>
      </c>
      <c r="D432" s="7" t="s">
        <v>628</v>
      </c>
      <c r="F432" s="7" t="s">
        <v>628</v>
      </c>
      <c r="G432" s="40">
        <v>490</v>
      </c>
    </row>
    <row r="433" spans="1:7" x14ac:dyDescent="0.25">
      <c r="A433" s="7" t="s">
        <v>630</v>
      </c>
      <c r="B433" s="40">
        <v>500</v>
      </c>
      <c r="D433" s="7" t="s">
        <v>630</v>
      </c>
      <c r="F433" s="7" t="s">
        <v>630</v>
      </c>
      <c r="G433" s="40">
        <v>1200</v>
      </c>
    </row>
    <row r="434" spans="1:7" x14ac:dyDescent="0.25">
      <c r="A434" s="7" t="s">
        <v>631</v>
      </c>
      <c r="B434" s="40">
        <v>47</v>
      </c>
      <c r="D434" s="7" t="s">
        <v>631</v>
      </c>
      <c r="F434" s="7" t="s">
        <v>631</v>
      </c>
      <c r="G434" s="40">
        <v>149</v>
      </c>
    </row>
    <row r="435" spans="1:7" x14ac:dyDescent="0.25">
      <c r="A435" s="7" t="s">
        <v>632</v>
      </c>
      <c r="B435" s="40">
        <v>40</v>
      </c>
      <c r="D435" s="7" t="s">
        <v>632</v>
      </c>
      <c r="F435" s="7" t="s">
        <v>632</v>
      </c>
      <c r="G435" s="40">
        <v>40</v>
      </c>
    </row>
    <row r="436" spans="1:7" x14ac:dyDescent="0.25">
      <c r="A436" s="7" t="s">
        <v>633</v>
      </c>
      <c r="B436" s="40">
        <v>95</v>
      </c>
      <c r="D436" s="7" t="s">
        <v>633</v>
      </c>
      <c r="F436" s="7" t="s">
        <v>633</v>
      </c>
      <c r="G436" s="40">
        <v>462</v>
      </c>
    </row>
    <row r="437" spans="1:7" x14ac:dyDescent="0.25">
      <c r="A437" s="7" t="s">
        <v>634</v>
      </c>
      <c r="B437" s="40">
        <v>30</v>
      </c>
      <c r="D437" s="7" t="s">
        <v>634</v>
      </c>
      <c r="F437" s="7" t="s">
        <v>634</v>
      </c>
      <c r="G437" s="40">
        <v>1</v>
      </c>
    </row>
    <row r="438" spans="1:7" x14ac:dyDescent="0.25">
      <c r="A438" s="7" t="s">
        <v>635</v>
      </c>
      <c r="B438" s="40">
        <v>0</v>
      </c>
      <c r="D438" s="7" t="s">
        <v>635</v>
      </c>
      <c r="F438" s="7" t="s">
        <v>635</v>
      </c>
      <c r="G438" s="40">
        <v>656</v>
      </c>
    </row>
    <row r="439" spans="1:7" x14ac:dyDescent="0.25">
      <c r="A439" s="7" t="s">
        <v>636</v>
      </c>
      <c r="B439" s="40">
        <v>0</v>
      </c>
      <c r="D439" s="7" t="s">
        <v>636</v>
      </c>
      <c r="F439" s="7" t="s">
        <v>636</v>
      </c>
      <c r="G439" s="40">
        <v>77</v>
      </c>
    </row>
    <row r="440" spans="1:7" x14ac:dyDescent="0.25">
      <c r="A440" s="7" t="s">
        <v>637</v>
      </c>
      <c r="B440" s="40">
        <v>100</v>
      </c>
      <c r="D440" s="7" t="s">
        <v>637</v>
      </c>
      <c r="F440" s="7" t="s">
        <v>637</v>
      </c>
      <c r="G440" s="40">
        <v>109</v>
      </c>
    </row>
    <row r="441" spans="1:7" x14ac:dyDescent="0.25">
      <c r="A441" s="7" t="s">
        <v>638</v>
      </c>
      <c r="B441" s="40">
        <v>0</v>
      </c>
      <c r="D441" s="7" t="s">
        <v>638</v>
      </c>
      <c r="F441" s="7" t="s">
        <v>638</v>
      </c>
      <c r="G441" s="40">
        <v>70</v>
      </c>
    </row>
    <row r="442" spans="1:7" x14ac:dyDescent="0.25">
      <c r="A442" s="7" t="s">
        <v>639</v>
      </c>
      <c r="B442" s="40">
        <v>84</v>
      </c>
      <c r="D442" s="7" t="s">
        <v>639</v>
      </c>
      <c r="F442" s="7" t="s">
        <v>639</v>
      </c>
      <c r="G442" s="40">
        <v>0</v>
      </c>
    </row>
    <row r="443" spans="1:7" x14ac:dyDescent="0.25">
      <c r="A443" s="7" t="s">
        <v>640</v>
      </c>
      <c r="B443" s="40">
        <v>0</v>
      </c>
      <c r="D443" s="7" t="s">
        <v>640</v>
      </c>
      <c r="F443" s="7" t="s">
        <v>640</v>
      </c>
      <c r="G443" s="40">
        <v>162</v>
      </c>
    </row>
    <row r="444" spans="1:7" x14ac:dyDescent="0.25">
      <c r="A444" s="7" t="s">
        <v>641</v>
      </c>
      <c r="B444" s="40">
        <v>222</v>
      </c>
      <c r="D444" s="7" t="s">
        <v>641</v>
      </c>
      <c r="F444" s="7" t="s">
        <v>641</v>
      </c>
      <c r="G444" s="40">
        <v>424</v>
      </c>
    </row>
    <row r="445" spans="1:7" x14ac:dyDescent="0.25">
      <c r="A445" s="7" t="s">
        <v>642</v>
      </c>
      <c r="B445" s="40">
        <v>200</v>
      </c>
      <c r="D445" s="7" t="s">
        <v>642</v>
      </c>
      <c r="F445" s="7" t="s">
        <v>642</v>
      </c>
      <c r="G445" s="40">
        <v>2</v>
      </c>
    </row>
    <row r="446" spans="1:7" x14ac:dyDescent="0.25">
      <c r="A446" s="7" t="s">
        <v>644</v>
      </c>
      <c r="B446" s="40">
        <v>0</v>
      </c>
      <c r="D446" s="7" t="s">
        <v>644</v>
      </c>
      <c r="F446" s="7" t="s">
        <v>644</v>
      </c>
      <c r="G446" s="40">
        <v>96</v>
      </c>
    </row>
    <row r="447" spans="1:7" x14ac:dyDescent="0.25">
      <c r="A447" s="7" t="s">
        <v>645</v>
      </c>
      <c r="B447" s="40">
        <v>62</v>
      </c>
      <c r="D447" s="7" t="s">
        <v>645</v>
      </c>
      <c r="F447" s="7" t="s">
        <v>645</v>
      </c>
      <c r="G447" s="40">
        <v>257</v>
      </c>
    </row>
    <row r="448" spans="1:7" x14ac:dyDescent="0.25">
      <c r="A448" s="7" t="s">
        <v>646</v>
      </c>
      <c r="B448" s="40">
        <v>10</v>
      </c>
      <c r="D448" s="7" t="s">
        <v>646</v>
      </c>
      <c r="F448" s="7" t="s">
        <v>646</v>
      </c>
      <c r="G448" s="40">
        <v>22</v>
      </c>
    </row>
    <row r="449" spans="1:7" x14ac:dyDescent="0.25">
      <c r="A449" s="7" t="s">
        <v>647</v>
      </c>
      <c r="B449" s="40">
        <v>60</v>
      </c>
      <c r="D449" s="7" t="s">
        <v>647</v>
      </c>
      <c r="F449" s="7" t="s">
        <v>647</v>
      </c>
      <c r="G449" s="40">
        <v>65</v>
      </c>
    </row>
    <row r="450" spans="1:7" x14ac:dyDescent="0.25">
      <c r="A450" s="7" t="s">
        <v>648</v>
      </c>
      <c r="B450" s="40">
        <v>43</v>
      </c>
      <c r="D450" s="7" t="s">
        <v>648</v>
      </c>
      <c r="F450" s="7" t="s">
        <v>648</v>
      </c>
      <c r="G450" s="40">
        <v>30</v>
      </c>
    </row>
    <row r="451" spans="1:7" x14ac:dyDescent="0.25">
      <c r="A451" s="7" t="s">
        <v>649</v>
      </c>
      <c r="B451" s="40">
        <v>0</v>
      </c>
      <c r="D451" s="7" t="s">
        <v>649</v>
      </c>
      <c r="F451" s="7" t="s">
        <v>649</v>
      </c>
      <c r="G451" s="40">
        <v>40</v>
      </c>
    </row>
    <row r="452" spans="1:7" x14ac:dyDescent="0.25">
      <c r="A452" s="7" t="s">
        <v>650</v>
      </c>
      <c r="B452" s="40">
        <v>41</v>
      </c>
      <c r="D452" s="7" t="s">
        <v>650</v>
      </c>
      <c r="F452" s="7" t="s">
        <v>650</v>
      </c>
      <c r="G452" s="40">
        <v>94</v>
      </c>
    </row>
    <row r="453" spans="1:7" x14ac:dyDescent="0.25">
      <c r="A453" s="7" t="s">
        <v>651</v>
      </c>
      <c r="B453" s="40">
        <v>230</v>
      </c>
      <c r="D453" s="7" t="s">
        <v>651</v>
      </c>
      <c r="F453" s="7" t="s">
        <v>651</v>
      </c>
      <c r="G453" s="40">
        <v>317</v>
      </c>
    </row>
    <row r="454" spans="1:7" x14ac:dyDescent="0.25">
      <c r="A454" s="7" t="s">
        <v>652</v>
      </c>
      <c r="B454" s="40">
        <v>30</v>
      </c>
      <c r="D454" s="7" t="s">
        <v>652</v>
      </c>
      <c r="F454" s="7" t="s">
        <v>652</v>
      </c>
      <c r="G454" s="40">
        <v>142</v>
      </c>
    </row>
    <row r="455" spans="1:7" x14ac:dyDescent="0.25">
      <c r="A455" s="7" t="s">
        <v>653</v>
      </c>
      <c r="B455" s="40">
        <v>30</v>
      </c>
      <c r="D455" s="7" t="s">
        <v>653</v>
      </c>
      <c r="F455" s="7" t="s">
        <v>653</v>
      </c>
      <c r="G455" s="40">
        <v>78</v>
      </c>
    </row>
    <row r="456" spans="1:7" x14ac:dyDescent="0.25">
      <c r="A456" s="7" t="s">
        <v>654</v>
      </c>
      <c r="B456" s="40">
        <v>100</v>
      </c>
      <c r="D456" s="7" t="s">
        <v>654</v>
      </c>
      <c r="F456" s="7" t="s">
        <v>654</v>
      </c>
      <c r="G456" s="40">
        <v>0</v>
      </c>
    </row>
    <row r="457" spans="1:7" x14ac:dyDescent="0.25">
      <c r="A457" s="7" t="s">
        <v>655</v>
      </c>
      <c r="B457" s="40">
        <v>0</v>
      </c>
      <c r="D457" s="7" t="s">
        <v>655</v>
      </c>
      <c r="F457" s="7" t="s">
        <v>655</v>
      </c>
      <c r="G457" s="40">
        <v>4</v>
      </c>
    </row>
    <row r="458" spans="1:7" x14ac:dyDescent="0.25">
      <c r="A458" s="7" t="s">
        <v>657</v>
      </c>
      <c r="B458" s="40">
        <v>31</v>
      </c>
      <c r="D458" s="7" t="s">
        <v>657</v>
      </c>
      <c r="F458" s="7" t="s">
        <v>657</v>
      </c>
      <c r="G458" s="40">
        <v>14</v>
      </c>
    </row>
    <row r="459" spans="1:7" x14ac:dyDescent="0.25">
      <c r="A459" s="7" t="s">
        <v>658</v>
      </c>
      <c r="B459" s="40">
        <v>400</v>
      </c>
      <c r="D459" s="7" t="s">
        <v>658</v>
      </c>
      <c r="F459" s="7" t="s">
        <v>658</v>
      </c>
      <c r="G459" s="40">
        <v>310</v>
      </c>
    </row>
    <row r="460" spans="1:7" x14ac:dyDescent="0.25">
      <c r="A460" s="7" t="s">
        <v>659</v>
      </c>
      <c r="B460" s="40">
        <v>100</v>
      </c>
      <c r="D460" s="7" t="s">
        <v>659</v>
      </c>
      <c r="F460" s="7" t="s">
        <v>659</v>
      </c>
      <c r="G460" s="40">
        <v>0</v>
      </c>
    </row>
    <row r="461" spans="1:7" x14ac:dyDescent="0.25">
      <c r="A461" s="7" t="s">
        <v>660</v>
      </c>
      <c r="B461" s="40">
        <v>58</v>
      </c>
      <c r="D461" s="7" t="s">
        <v>660</v>
      </c>
      <c r="F461" s="7" t="s">
        <v>660</v>
      </c>
      <c r="G461" s="40">
        <v>59</v>
      </c>
    </row>
    <row r="462" spans="1:7" x14ac:dyDescent="0.25">
      <c r="A462" s="7" t="s">
        <v>661</v>
      </c>
      <c r="B462" s="40">
        <v>49</v>
      </c>
      <c r="D462" s="7" t="s">
        <v>661</v>
      </c>
      <c r="F462" s="7" t="s">
        <v>661</v>
      </c>
      <c r="G462" s="40">
        <v>170</v>
      </c>
    </row>
    <row r="463" spans="1:7" x14ac:dyDescent="0.25">
      <c r="A463" s="7" t="s">
        <v>662</v>
      </c>
      <c r="B463" s="40">
        <v>30</v>
      </c>
      <c r="D463" s="7" t="s">
        <v>662</v>
      </c>
      <c r="F463" s="7" t="s">
        <v>662</v>
      </c>
      <c r="G463" s="40">
        <v>11</v>
      </c>
    </row>
    <row r="464" spans="1:7" x14ac:dyDescent="0.25">
      <c r="A464" s="7" t="s">
        <v>663</v>
      </c>
      <c r="B464" s="40">
        <v>8500</v>
      </c>
      <c r="D464" s="7" t="s">
        <v>663</v>
      </c>
      <c r="F464" s="7" t="s">
        <v>663</v>
      </c>
      <c r="G464" s="40">
        <v>663</v>
      </c>
    </row>
    <row r="465" spans="1:7" x14ac:dyDescent="0.25">
      <c r="A465" s="7" t="s">
        <v>664</v>
      </c>
      <c r="B465" s="40">
        <v>30</v>
      </c>
      <c r="D465" s="7" t="s">
        <v>664</v>
      </c>
      <c r="F465" s="7" t="s">
        <v>664</v>
      </c>
      <c r="G465" s="40">
        <v>97</v>
      </c>
    </row>
    <row r="466" spans="1:7" x14ac:dyDescent="0.25">
      <c r="A466" s="7" t="s">
        <v>665</v>
      </c>
      <c r="B466" s="40">
        <v>40</v>
      </c>
      <c r="D466" s="7" t="s">
        <v>665</v>
      </c>
      <c r="F466" s="7" t="s">
        <v>665</v>
      </c>
      <c r="G466" s="40">
        <v>1200</v>
      </c>
    </row>
    <row r="467" spans="1:7" x14ac:dyDescent="0.25">
      <c r="A467" s="7" t="s">
        <v>666</v>
      </c>
      <c r="B467" s="40">
        <v>0</v>
      </c>
      <c r="D467" s="7" t="s">
        <v>666</v>
      </c>
      <c r="F467" s="7" t="s">
        <v>666</v>
      </c>
      <c r="G467" s="40">
        <v>20</v>
      </c>
    </row>
    <row r="468" spans="1:7" x14ac:dyDescent="0.25">
      <c r="A468" s="7" t="s">
        <v>667</v>
      </c>
      <c r="B468" s="40">
        <v>40</v>
      </c>
      <c r="D468" s="7" t="s">
        <v>667</v>
      </c>
      <c r="F468" s="7" t="s">
        <v>667</v>
      </c>
      <c r="G468" s="40">
        <v>0</v>
      </c>
    </row>
    <row r="469" spans="1:7" x14ac:dyDescent="0.25">
      <c r="A469" s="7" t="s">
        <v>668</v>
      </c>
      <c r="B469" s="40">
        <v>108</v>
      </c>
      <c r="D469" s="7" t="s">
        <v>668</v>
      </c>
      <c r="F469" s="7" t="s">
        <v>668</v>
      </c>
      <c r="G469" s="40">
        <v>918</v>
      </c>
    </row>
    <row r="470" spans="1:7" x14ac:dyDescent="0.25">
      <c r="A470" s="7" t="s">
        <v>669</v>
      </c>
      <c r="B470" s="40">
        <v>100</v>
      </c>
      <c r="D470" s="7" t="s">
        <v>669</v>
      </c>
      <c r="F470" s="7" t="s">
        <v>669</v>
      </c>
      <c r="G470" s="40">
        <v>322</v>
      </c>
    </row>
    <row r="471" spans="1:7" x14ac:dyDescent="0.25">
      <c r="A471" s="7" t="s">
        <v>670</v>
      </c>
      <c r="B471" s="40">
        <v>50</v>
      </c>
      <c r="D471" s="7" t="s">
        <v>670</v>
      </c>
      <c r="F471" s="7" t="s">
        <v>670</v>
      </c>
      <c r="G471" s="40">
        <v>69</v>
      </c>
    </row>
    <row r="472" spans="1:7" x14ac:dyDescent="0.25">
      <c r="A472" s="7" t="s">
        <v>671</v>
      </c>
      <c r="B472" s="40">
        <v>580</v>
      </c>
      <c r="D472" s="7" t="s">
        <v>671</v>
      </c>
      <c r="F472" s="7" t="s">
        <v>671</v>
      </c>
      <c r="G472" s="40">
        <v>889</v>
      </c>
    </row>
    <row r="473" spans="1:7" x14ac:dyDescent="0.25">
      <c r="A473" s="7" t="s">
        <v>672</v>
      </c>
      <c r="B473" s="40">
        <v>200</v>
      </c>
      <c r="D473" s="7" t="s">
        <v>672</v>
      </c>
      <c r="F473" s="7" t="s">
        <v>672</v>
      </c>
      <c r="G473" s="40">
        <v>476</v>
      </c>
    </row>
    <row r="474" spans="1:7" x14ac:dyDescent="0.25">
      <c r="A474" s="7" t="s">
        <v>673</v>
      </c>
      <c r="B474" s="40">
        <v>257</v>
      </c>
      <c r="D474" s="7" t="s">
        <v>673</v>
      </c>
      <c r="F474" s="7" t="s">
        <v>673</v>
      </c>
      <c r="G474" s="40">
        <v>194</v>
      </c>
    </row>
    <row r="475" spans="1:7" x14ac:dyDescent="0.25">
      <c r="A475" s="7" t="s">
        <v>674</v>
      </c>
      <c r="B475" s="40">
        <v>129</v>
      </c>
      <c r="D475" s="7" t="s">
        <v>674</v>
      </c>
      <c r="F475" s="7" t="s">
        <v>674</v>
      </c>
      <c r="G475" s="40">
        <v>290</v>
      </c>
    </row>
    <row r="476" spans="1:7" x14ac:dyDescent="0.25">
      <c r="A476" s="7" t="s">
        <v>675</v>
      </c>
      <c r="B476" s="40">
        <v>40</v>
      </c>
      <c r="D476" s="7" t="s">
        <v>675</v>
      </c>
      <c r="F476" s="7" t="s">
        <v>675</v>
      </c>
      <c r="G476" s="40">
        <v>400</v>
      </c>
    </row>
    <row r="477" spans="1:7" x14ac:dyDescent="0.25">
      <c r="A477" s="7" t="s">
        <v>676</v>
      </c>
      <c r="B477" s="40">
        <v>59</v>
      </c>
      <c r="D477" s="7" t="s">
        <v>676</v>
      </c>
      <c r="F477" s="7" t="s">
        <v>676</v>
      </c>
      <c r="G477" s="40">
        <v>60</v>
      </c>
    </row>
    <row r="478" spans="1:7" x14ac:dyDescent="0.25">
      <c r="A478" s="7" t="s">
        <v>678</v>
      </c>
      <c r="B478" s="40">
        <v>142</v>
      </c>
      <c r="D478" s="7" t="s">
        <v>678</v>
      </c>
      <c r="F478" s="7" t="s">
        <v>678</v>
      </c>
      <c r="G478" s="40">
        <v>87</v>
      </c>
    </row>
    <row r="479" spans="1:7" x14ac:dyDescent="0.25">
      <c r="A479" s="7" t="s">
        <v>679</v>
      </c>
      <c r="B479" s="40">
        <v>7</v>
      </c>
      <c r="D479" s="7" t="s">
        <v>679</v>
      </c>
      <c r="F479" s="7" t="s">
        <v>679</v>
      </c>
      <c r="G479" s="40">
        <v>26</v>
      </c>
    </row>
    <row r="480" spans="1:7" x14ac:dyDescent="0.25">
      <c r="A480" s="7" t="s">
        <v>680</v>
      </c>
      <c r="B480" s="40">
        <v>24</v>
      </c>
      <c r="D480" s="7" t="s">
        <v>680</v>
      </c>
      <c r="F480" s="7" t="s">
        <v>680</v>
      </c>
      <c r="G480" s="40">
        <v>100</v>
      </c>
    </row>
    <row r="481" spans="1:7" x14ac:dyDescent="0.25">
      <c r="A481" s="7" t="s">
        <v>681</v>
      </c>
      <c r="B481" s="40">
        <v>400</v>
      </c>
      <c r="D481" s="7" t="s">
        <v>681</v>
      </c>
      <c r="F481" s="7" t="s">
        <v>681</v>
      </c>
      <c r="G481" s="40">
        <v>319</v>
      </c>
    </row>
    <row r="482" spans="1:7" x14ac:dyDescent="0.25">
      <c r="A482" s="7" t="s">
        <v>682</v>
      </c>
      <c r="B482" s="40">
        <v>100</v>
      </c>
      <c r="D482" s="7" t="s">
        <v>682</v>
      </c>
      <c r="F482" s="7" t="s">
        <v>682</v>
      </c>
      <c r="G482" s="40">
        <v>0</v>
      </c>
    </row>
    <row r="483" spans="1:7" x14ac:dyDescent="0.25">
      <c r="A483" s="7" t="s">
        <v>683</v>
      </c>
      <c r="B483" s="40">
        <v>80</v>
      </c>
      <c r="D483" s="7" t="s">
        <v>683</v>
      </c>
      <c r="F483" s="7" t="s">
        <v>683</v>
      </c>
      <c r="G483" s="40">
        <v>48</v>
      </c>
    </row>
    <row r="484" spans="1:7" x14ac:dyDescent="0.25">
      <c r="A484" s="7" t="s">
        <v>684</v>
      </c>
      <c r="B484" s="40">
        <v>120</v>
      </c>
      <c r="D484" s="7" t="s">
        <v>684</v>
      </c>
      <c r="F484" s="7" t="s">
        <v>684</v>
      </c>
      <c r="G484" s="40">
        <v>336</v>
      </c>
    </row>
    <row r="485" spans="1:7" x14ac:dyDescent="0.25">
      <c r="A485" s="7" t="s">
        <v>685</v>
      </c>
      <c r="B485" s="40">
        <v>260</v>
      </c>
      <c r="D485" s="7" t="s">
        <v>685</v>
      </c>
      <c r="F485" s="7" t="s">
        <v>685</v>
      </c>
      <c r="G485" s="40">
        <v>502</v>
      </c>
    </row>
    <row r="486" spans="1:7" x14ac:dyDescent="0.25">
      <c r="A486" s="7" t="s">
        <v>686</v>
      </c>
      <c r="B486" s="40">
        <v>84</v>
      </c>
      <c r="D486" s="7" t="s">
        <v>686</v>
      </c>
      <c r="F486" s="7" t="s">
        <v>686</v>
      </c>
      <c r="G486" s="40">
        <v>1700</v>
      </c>
    </row>
    <row r="487" spans="1:7" x14ac:dyDescent="0.25">
      <c r="A487" s="7" t="s">
        <v>687</v>
      </c>
      <c r="B487" s="40">
        <v>0</v>
      </c>
      <c r="D487" s="7" t="s">
        <v>687</v>
      </c>
      <c r="F487" s="7" t="s">
        <v>687</v>
      </c>
      <c r="G487" s="40">
        <v>145</v>
      </c>
    </row>
    <row r="488" spans="1:7" x14ac:dyDescent="0.25">
      <c r="A488" s="7" t="s">
        <v>688</v>
      </c>
      <c r="B488" s="40">
        <v>200</v>
      </c>
      <c r="D488" s="7" t="s">
        <v>688</v>
      </c>
      <c r="F488" s="7" t="s">
        <v>688</v>
      </c>
      <c r="G488" s="40">
        <v>0</v>
      </c>
    </row>
    <row r="489" spans="1:7" x14ac:dyDescent="0.25">
      <c r="A489" s="7" t="s">
        <v>689</v>
      </c>
      <c r="B489" s="40">
        <v>340</v>
      </c>
      <c r="D489" s="7" t="s">
        <v>689</v>
      </c>
      <c r="F489" s="7" t="s">
        <v>689</v>
      </c>
      <c r="G489" s="40">
        <v>300</v>
      </c>
    </row>
    <row r="490" spans="1:7" x14ac:dyDescent="0.25">
      <c r="A490" s="7" t="s">
        <v>690</v>
      </c>
      <c r="B490" s="40">
        <v>0</v>
      </c>
      <c r="D490" s="7" t="s">
        <v>690</v>
      </c>
      <c r="F490" s="7" t="s">
        <v>690</v>
      </c>
      <c r="G490" s="40">
        <v>124</v>
      </c>
    </row>
    <row r="491" spans="1:7" x14ac:dyDescent="0.25">
      <c r="A491" s="7" t="s">
        <v>691</v>
      </c>
      <c r="B491" s="40">
        <v>315</v>
      </c>
      <c r="D491" s="7" t="s">
        <v>691</v>
      </c>
      <c r="F491" s="7" t="s">
        <v>691</v>
      </c>
      <c r="G491" s="40">
        <v>1200</v>
      </c>
    </row>
    <row r="492" spans="1:7" x14ac:dyDescent="0.25">
      <c r="A492" s="7" t="s">
        <v>692</v>
      </c>
      <c r="B492" s="40">
        <v>170</v>
      </c>
      <c r="D492" s="7" t="s">
        <v>692</v>
      </c>
      <c r="F492" s="7" t="s">
        <v>692</v>
      </c>
      <c r="G492" s="40">
        <v>31</v>
      </c>
    </row>
    <row r="493" spans="1:7" x14ac:dyDescent="0.25">
      <c r="A493" s="7" t="s">
        <v>693</v>
      </c>
      <c r="B493" s="40">
        <v>0</v>
      </c>
      <c r="D493" s="7" t="s">
        <v>693</v>
      </c>
      <c r="F493" s="7" t="s">
        <v>693</v>
      </c>
      <c r="G493" s="40">
        <v>81</v>
      </c>
    </row>
    <row r="494" spans="1:7" x14ac:dyDescent="0.25">
      <c r="A494" s="7" t="s">
        <v>694</v>
      </c>
      <c r="B494" s="40">
        <v>100</v>
      </c>
      <c r="D494" s="7" t="s">
        <v>694</v>
      </c>
      <c r="F494" s="7" t="s">
        <v>694</v>
      </c>
      <c r="G494" s="40">
        <v>35</v>
      </c>
    </row>
    <row r="495" spans="1:7" x14ac:dyDescent="0.25">
      <c r="A495" s="7" t="s">
        <v>695</v>
      </c>
      <c r="B495" s="40">
        <v>0</v>
      </c>
      <c r="D495" s="7" t="s">
        <v>695</v>
      </c>
      <c r="F495" s="7" t="s">
        <v>695</v>
      </c>
      <c r="G495" s="40">
        <v>30</v>
      </c>
    </row>
    <row r="496" spans="1:7" x14ac:dyDescent="0.25">
      <c r="A496" s="7" t="s">
        <v>696</v>
      </c>
      <c r="B496" s="40">
        <v>16</v>
      </c>
      <c r="D496" s="7" t="s">
        <v>696</v>
      </c>
      <c r="F496" s="7" t="s">
        <v>696</v>
      </c>
      <c r="G496" s="40">
        <v>49</v>
      </c>
    </row>
    <row r="497" spans="1:7" x14ac:dyDescent="0.25">
      <c r="A497" s="7" t="s">
        <v>697</v>
      </c>
      <c r="B497" s="40">
        <v>14</v>
      </c>
      <c r="D497" s="7" t="s">
        <v>697</v>
      </c>
      <c r="F497" s="7" t="s">
        <v>697</v>
      </c>
      <c r="G497" s="40">
        <v>22</v>
      </c>
    </row>
    <row r="498" spans="1:7" x14ac:dyDescent="0.25">
      <c r="A498" s="7" t="s">
        <v>699</v>
      </c>
      <c r="B498" s="40">
        <v>0</v>
      </c>
      <c r="D498" s="7" t="s">
        <v>699</v>
      </c>
      <c r="F498" s="7" t="s">
        <v>699</v>
      </c>
      <c r="G498" s="40">
        <v>9</v>
      </c>
    </row>
    <row r="499" spans="1:7" x14ac:dyDescent="0.25">
      <c r="A499" s="7" t="s">
        <v>700</v>
      </c>
      <c r="B499" s="40">
        <v>30</v>
      </c>
      <c r="D499" s="7" t="s">
        <v>700</v>
      </c>
      <c r="F499" s="7" t="s">
        <v>700</v>
      </c>
      <c r="G499" s="40">
        <v>1000</v>
      </c>
    </row>
    <row r="500" spans="1:7" x14ac:dyDescent="0.25">
      <c r="A500" s="7" t="s">
        <v>701</v>
      </c>
      <c r="B500" s="40">
        <v>0</v>
      </c>
      <c r="D500" s="7" t="s">
        <v>701</v>
      </c>
      <c r="F500" s="7" t="s">
        <v>701</v>
      </c>
      <c r="G500" s="40">
        <v>269</v>
      </c>
    </row>
    <row r="501" spans="1:7" x14ac:dyDescent="0.25">
      <c r="A501" s="7" t="s">
        <v>702</v>
      </c>
      <c r="B501" s="40">
        <v>30</v>
      </c>
      <c r="D501" s="7" t="s">
        <v>702</v>
      </c>
      <c r="F501" s="7" t="s">
        <v>702</v>
      </c>
      <c r="G501" s="40">
        <v>50</v>
      </c>
    </row>
    <row r="502" spans="1:7" x14ac:dyDescent="0.25">
      <c r="A502" s="7" t="s">
        <v>703</v>
      </c>
      <c r="B502" s="40">
        <v>30</v>
      </c>
      <c r="D502" s="7" t="s">
        <v>703</v>
      </c>
      <c r="F502" s="7" t="s">
        <v>703</v>
      </c>
      <c r="G502" s="40">
        <v>13</v>
      </c>
    </row>
    <row r="503" spans="1:7" x14ac:dyDescent="0.25">
      <c r="A503" s="7" t="s">
        <v>705</v>
      </c>
      <c r="B503" s="40">
        <v>60</v>
      </c>
      <c r="D503" s="7" t="s">
        <v>705</v>
      </c>
      <c r="F503" s="7" t="s">
        <v>705</v>
      </c>
      <c r="G503" s="40">
        <v>111</v>
      </c>
    </row>
    <row r="504" spans="1:7" x14ac:dyDescent="0.25">
      <c r="A504" s="7" t="s">
        <v>706</v>
      </c>
      <c r="B504" s="40">
        <v>0</v>
      </c>
      <c r="D504" s="7" t="s">
        <v>706</v>
      </c>
      <c r="F504" s="7" t="s">
        <v>706</v>
      </c>
      <c r="G504" s="40">
        <v>0</v>
      </c>
    </row>
    <row r="505" spans="1:7" x14ac:dyDescent="0.25">
      <c r="A505" s="7" t="s">
        <v>707</v>
      </c>
      <c r="B505" s="40">
        <v>100</v>
      </c>
      <c r="D505" s="7" t="s">
        <v>707</v>
      </c>
      <c r="F505" s="7" t="s">
        <v>707</v>
      </c>
      <c r="G505" s="40">
        <v>15</v>
      </c>
    </row>
    <row r="506" spans="1:7" x14ac:dyDescent="0.25">
      <c r="A506" s="7" t="s">
        <v>708</v>
      </c>
      <c r="B506" s="40">
        <v>640</v>
      </c>
      <c r="D506" s="7" t="s">
        <v>708</v>
      </c>
      <c r="F506" s="7" t="s">
        <v>708</v>
      </c>
      <c r="G506" s="40">
        <v>2400</v>
      </c>
    </row>
    <row r="507" spans="1:7" x14ac:dyDescent="0.25">
      <c r="A507" s="7" t="s">
        <v>709</v>
      </c>
      <c r="B507" s="40">
        <v>24</v>
      </c>
      <c r="D507" s="7" t="s">
        <v>709</v>
      </c>
      <c r="F507" s="7" t="s">
        <v>709</v>
      </c>
      <c r="G507" s="40">
        <v>235</v>
      </c>
    </row>
    <row r="508" spans="1:7" x14ac:dyDescent="0.25">
      <c r="A508" s="7" t="s">
        <v>710</v>
      </c>
      <c r="B508" s="40">
        <v>37</v>
      </c>
      <c r="D508" s="7" t="s">
        <v>710</v>
      </c>
      <c r="F508" s="7" t="s">
        <v>710</v>
      </c>
      <c r="G508" s="40">
        <v>14</v>
      </c>
    </row>
    <row r="509" spans="1:7" x14ac:dyDescent="0.25">
      <c r="A509" s="7" t="s">
        <v>711</v>
      </c>
      <c r="B509" s="40">
        <v>0</v>
      </c>
      <c r="D509" s="7" t="s">
        <v>711</v>
      </c>
      <c r="F509" s="7" t="s">
        <v>711</v>
      </c>
      <c r="G509" s="40">
        <v>45</v>
      </c>
    </row>
    <row r="510" spans="1:7" x14ac:dyDescent="0.25">
      <c r="A510" s="7" t="s">
        <v>712</v>
      </c>
      <c r="B510" s="40">
        <v>0</v>
      </c>
      <c r="D510" s="7" t="s">
        <v>712</v>
      </c>
      <c r="F510" s="7" t="s">
        <v>712</v>
      </c>
      <c r="G510" s="40">
        <v>0</v>
      </c>
    </row>
    <row r="511" spans="1:7" x14ac:dyDescent="0.25">
      <c r="A511" s="7" t="s">
        <v>713</v>
      </c>
      <c r="B511" s="40">
        <v>83</v>
      </c>
      <c r="D511" s="7" t="s">
        <v>713</v>
      </c>
      <c r="F511" s="7" t="s">
        <v>713</v>
      </c>
      <c r="G511" s="40">
        <v>0</v>
      </c>
    </row>
    <row r="512" spans="1:7" x14ac:dyDescent="0.25">
      <c r="A512" s="7" t="s">
        <v>714</v>
      </c>
      <c r="B512" s="40">
        <v>0</v>
      </c>
      <c r="D512" s="7" t="s">
        <v>714</v>
      </c>
      <c r="F512" s="7" t="s">
        <v>714</v>
      </c>
      <c r="G512" s="40">
        <v>9</v>
      </c>
    </row>
    <row r="513" spans="1:7" x14ac:dyDescent="0.25">
      <c r="A513" s="7" t="s">
        <v>715</v>
      </c>
      <c r="B513" s="40">
        <v>500</v>
      </c>
      <c r="D513" s="7" t="s">
        <v>715</v>
      </c>
      <c r="F513" s="7" t="s">
        <v>715</v>
      </c>
      <c r="G513" s="40">
        <v>620</v>
      </c>
    </row>
    <row r="514" spans="1:7" x14ac:dyDescent="0.25">
      <c r="A514" s="7" t="s">
        <v>716</v>
      </c>
      <c r="B514" s="40">
        <v>200</v>
      </c>
      <c r="D514" s="7" t="s">
        <v>716</v>
      </c>
      <c r="F514" s="7" t="s">
        <v>716</v>
      </c>
      <c r="G514" s="40">
        <v>0</v>
      </c>
    </row>
    <row r="515" spans="1:7" x14ac:dyDescent="0.25">
      <c r="A515" s="7" t="s">
        <v>719</v>
      </c>
      <c r="B515" s="40">
        <v>4</v>
      </c>
      <c r="D515" s="7" t="s">
        <v>719</v>
      </c>
      <c r="F515" s="7" t="s">
        <v>719</v>
      </c>
      <c r="G515" s="40">
        <v>4</v>
      </c>
    </row>
    <row r="516" spans="1:7" x14ac:dyDescent="0.25">
      <c r="A516" s="7" t="s">
        <v>720</v>
      </c>
      <c r="B516" s="40">
        <v>784</v>
      </c>
      <c r="D516" s="7" t="s">
        <v>720</v>
      </c>
      <c r="F516" s="7" t="s">
        <v>720</v>
      </c>
      <c r="G516" s="40">
        <v>120</v>
      </c>
    </row>
    <row r="517" spans="1:7" x14ac:dyDescent="0.25">
      <c r="A517" s="7" t="s">
        <v>721</v>
      </c>
      <c r="B517" s="40">
        <v>60</v>
      </c>
      <c r="D517" s="7" t="s">
        <v>721</v>
      </c>
      <c r="F517" s="7" t="s">
        <v>721</v>
      </c>
      <c r="G517" s="40">
        <v>263</v>
      </c>
    </row>
    <row r="518" spans="1:7" x14ac:dyDescent="0.25">
      <c r="A518" s="7" t="s">
        <v>722</v>
      </c>
      <c r="B518" s="40">
        <v>41</v>
      </c>
      <c r="D518" s="7" t="s">
        <v>722</v>
      </c>
      <c r="F518" s="7" t="s">
        <v>722</v>
      </c>
      <c r="G518" s="40">
        <v>352</v>
      </c>
    </row>
    <row r="519" spans="1:7" x14ac:dyDescent="0.25">
      <c r="A519" s="7" t="s">
        <v>723</v>
      </c>
      <c r="B519" s="40">
        <v>140</v>
      </c>
      <c r="D519" s="7" t="s">
        <v>723</v>
      </c>
      <c r="F519" s="7" t="s">
        <v>723</v>
      </c>
      <c r="G519" s="40">
        <v>1498</v>
      </c>
    </row>
    <row r="520" spans="1:7" x14ac:dyDescent="0.25">
      <c r="A520" s="7" t="s">
        <v>726</v>
      </c>
      <c r="B520" s="40">
        <v>87</v>
      </c>
      <c r="D520" s="7" t="s">
        <v>726</v>
      </c>
      <c r="F520" s="7" t="s">
        <v>726</v>
      </c>
      <c r="G520" s="40">
        <v>20</v>
      </c>
    </row>
    <row r="521" spans="1:7" x14ac:dyDescent="0.25">
      <c r="A521" s="7" t="s">
        <v>727</v>
      </c>
      <c r="B521" s="40">
        <v>100</v>
      </c>
      <c r="D521" s="7" t="s">
        <v>727</v>
      </c>
      <c r="F521" s="7" t="s">
        <v>727</v>
      </c>
      <c r="G521" s="40">
        <v>125</v>
      </c>
    </row>
    <row r="522" spans="1:7" x14ac:dyDescent="0.25">
      <c r="A522" s="7" t="s">
        <v>728</v>
      </c>
      <c r="B522" s="40">
        <v>0</v>
      </c>
      <c r="D522" s="7" t="s">
        <v>728</v>
      </c>
      <c r="F522" s="7" t="s">
        <v>728</v>
      </c>
      <c r="G522" s="40">
        <v>58</v>
      </c>
    </row>
    <row r="523" spans="1:7" x14ac:dyDescent="0.25">
      <c r="A523" s="7" t="s">
        <v>729</v>
      </c>
      <c r="B523" s="40">
        <v>15</v>
      </c>
      <c r="D523" s="7" t="s">
        <v>729</v>
      </c>
      <c r="F523" s="7" t="s">
        <v>729</v>
      </c>
      <c r="G523" s="40">
        <v>58</v>
      </c>
    </row>
    <row r="524" spans="1:7" x14ac:dyDescent="0.25">
      <c r="A524" s="7" t="s">
        <v>730</v>
      </c>
      <c r="B524" s="40">
        <v>60</v>
      </c>
      <c r="D524" s="7" t="s">
        <v>730</v>
      </c>
      <c r="F524" s="7" t="s">
        <v>730</v>
      </c>
      <c r="G524" s="40">
        <v>593</v>
      </c>
    </row>
    <row r="525" spans="1:7" x14ac:dyDescent="0.25">
      <c r="A525" s="7" t="s">
        <v>731</v>
      </c>
      <c r="B525" s="40">
        <v>10</v>
      </c>
      <c r="D525" s="7" t="s">
        <v>731</v>
      </c>
      <c r="F525" s="7" t="s">
        <v>731</v>
      </c>
      <c r="G525" s="40">
        <v>325</v>
      </c>
    </row>
    <row r="526" spans="1:7" x14ac:dyDescent="0.25">
      <c r="A526" s="7" t="s">
        <v>732</v>
      </c>
      <c r="B526" s="40">
        <v>60</v>
      </c>
      <c r="D526" s="7" t="s">
        <v>732</v>
      </c>
      <c r="F526" s="7" t="s">
        <v>732</v>
      </c>
      <c r="G526" s="40">
        <v>201</v>
      </c>
    </row>
    <row r="527" spans="1:7" x14ac:dyDescent="0.25">
      <c r="A527" s="7" t="s">
        <v>733</v>
      </c>
      <c r="B527" s="40">
        <v>26</v>
      </c>
      <c r="D527" s="7" t="s">
        <v>733</v>
      </c>
      <c r="F527" s="7" t="s">
        <v>733</v>
      </c>
      <c r="G527" s="40">
        <v>166</v>
      </c>
    </row>
    <row r="528" spans="1:7" x14ac:dyDescent="0.25">
      <c r="A528" s="7" t="s">
        <v>734</v>
      </c>
      <c r="B528" s="40">
        <v>150</v>
      </c>
      <c r="D528" s="7" t="s">
        <v>734</v>
      </c>
      <c r="F528" s="7" t="s">
        <v>734</v>
      </c>
      <c r="G528" s="40">
        <v>63</v>
      </c>
    </row>
    <row r="529" spans="1:7" x14ac:dyDescent="0.25">
      <c r="A529" s="7" t="s">
        <v>735</v>
      </c>
      <c r="B529" s="40">
        <v>45</v>
      </c>
      <c r="D529" s="7" t="s">
        <v>735</v>
      </c>
      <c r="F529" s="7" t="s">
        <v>735</v>
      </c>
      <c r="G529" s="40">
        <v>133</v>
      </c>
    </row>
    <row r="530" spans="1:7" x14ac:dyDescent="0.25">
      <c r="A530" s="7" t="s">
        <v>736</v>
      </c>
      <c r="B530" s="40">
        <v>0</v>
      </c>
      <c r="D530" s="7" t="s">
        <v>736</v>
      </c>
      <c r="F530" s="7" t="s">
        <v>736</v>
      </c>
      <c r="G530" s="40">
        <v>76</v>
      </c>
    </row>
    <row r="531" spans="1:7" x14ac:dyDescent="0.25">
      <c r="A531" s="7" t="s">
        <v>737</v>
      </c>
      <c r="B531" s="40">
        <v>38</v>
      </c>
      <c r="D531" s="7" t="s">
        <v>737</v>
      </c>
      <c r="F531" s="7" t="s">
        <v>737</v>
      </c>
      <c r="G531" s="40">
        <v>75</v>
      </c>
    </row>
    <row r="532" spans="1:7" x14ac:dyDescent="0.25">
      <c r="A532" s="7" t="s">
        <v>738</v>
      </c>
      <c r="B532" s="40">
        <v>40</v>
      </c>
      <c r="D532" s="7" t="s">
        <v>738</v>
      </c>
      <c r="F532" s="7" t="s">
        <v>738</v>
      </c>
      <c r="G532" s="40">
        <v>280</v>
      </c>
    </row>
    <row r="533" spans="1:7" x14ac:dyDescent="0.25">
      <c r="A533" s="7" t="s">
        <v>739</v>
      </c>
      <c r="B533" s="40">
        <v>329</v>
      </c>
      <c r="D533" s="7" t="s">
        <v>739</v>
      </c>
      <c r="F533" s="7" t="s">
        <v>739</v>
      </c>
      <c r="G533" s="40">
        <v>214</v>
      </c>
    </row>
    <row r="534" spans="1:7" x14ac:dyDescent="0.25">
      <c r="A534" s="7" t="s">
        <v>740</v>
      </c>
      <c r="B534" s="40">
        <v>90</v>
      </c>
      <c r="D534" s="7" t="s">
        <v>740</v>
      </c>
      <c r="F534" s="7" t="s">
        <v>740</v>
      </c>
      <c r="G534" s="40">
        <v>484</v>
      </c>
    </row>
    <row r="535" spans="1:7" x14ac:dyDescent="0.25">
      <c r="A535" s="7" t="s">
        <v>741</v>
      </c>
      <c r="B535" s="40">
        <v>35</v>
      </c>
      <c r="D535" s="7" t="s">
        <v>741</v>
      </c>
      <c r="F535" s="7" t="s">
        <v>741</v>
      </c>
      <c r="G535" s="40">
        <v>3</v>
      </c>
    </row>
    <row r="536" spans="1:7" x14ac:dyDescent="0.25">
      <c r="A536" s="7" t="s">
        <v>743</v>
      </c>
      <c r="B536" s="40">
        <v>275</v>
      </c>
      <c r="D536" s="7" t="s">
        <v>743</v>
      </c>
      <c r="F536" s="7" t="s">
        <v>743</v>
      </c>
      <c r="G536" s="40">
        <v>34</v>
      </c>
    </row>
    <row r="537" spans="1:7" x14ac:dyDescent="0.25">
      <c r="A537" s="7" t="s">
        <v>744</v>
      </c>
      <c r="B537" s="40">
        <v>0</v>
      </c>
      <c r="D537" s="7" t="s">
        <v>744</v>
      </c>
      <c r="F537" s="7" t="s">
        <v>744</v>
      </c>
      <c r="G537" s="40">
        <v>202</v>
      </c>
    </row>
    <row r="538" spans="1:7" x14ac:dyDescent="0.25">
      <c r="A538" s="7" t="s">
        <v>747</v>
      </c>
      <c r="B538" s="40">
        <v>0</v>
      </c>
      <c r="D538" s="7" t="s">
        <v>747</v>
      </c>
      <c r="F538" s="7" t="s">
        <v>747</v>
      </c>
      <c r="G538" s="40">
        <v>197</v>
      </c>
    </row>
    <row r="539" spans="1:7" x14ac:dyDescent="0.25">
      <c r="A539" s="7" t="s">
        <v>748</v>
      </c>
      <c r="B539" s="40">
        <v>164</v>
      </c>
      <c r="D539" s="7" t="s">
        <v>748</v>
      </c>
      <c r="F539" s="7" t="s">
        <v>748</v>
      </c>
      <c r="G539" s="40">
        <v>1006</v>
      </c>
    </row>
    <row r="540" spans="1:7" x14ac:dyDescent="0.25">
      <c r="A540" s="7" t="s">
        <v>749</v>
      </c>
      <c r="B540" s="40">
        <v>85</v>
      </c>
      <c r="D540" s="7" t="s">
        <v>749</v>
      </c>
      <c r="F540" s="7" t="s">
        <v>749</v>
      </c>
      <c r="G540" s="40">
        <v>746</v>
      </c>
    </row>
    <row r="541" spans="1:7" x14ac:dyDescent="0.25">
      <c r="A541" s="7" t="s">
        <v>750</v>
      </c>
      <c r="B541" s="40">
        <v>65</v>
      </c>
      <c r="D541" s="7" t="s">
        <v>750</v>
      </c>
      <c r="F541" s="7" t="s">
        <v>750</v>
      </c>
      <c r="G541" s="40">
        <v>42</v>
      </c>
    </row>
    <row r="542" spans="1:7" x14ac:dyDescent="0.25">
      <c r="A542" s="7" t="s">
        <v>751</v>
      </c>
      <c r="B542" s="40">
        <v>180</v>
      </c>
      <c r="D542" s="7" t="s">
        <v>751</v>
      </c>
      <c r="F542" s="7" t="s">
        <v>751</v>
      </c>
      <c r="G542" s="40">
        <v>228</v>
      </c>
    </row>
    <row r="543" spans="1:7" x14ac:dyDescent="0.25">
      <c r="A543" s="7" t="s">
        <v>752</v>
      </c>
      <c r="B543" s="40">
        <v>14</v>
      </c>
      <c r="D543" s="7" t="s">
        <v>752</v>
      </c>
      <c r="F543" s="7" t="s">
        <v>752</v>
      </c>
      <c r="G543" s="40">
        <v>0</v>
      </c>
    </row>
    <row r="544" spans="1:7" x14ac:dyDescent="0.25">
      <c r="A544" s="7" t="s">
        <v>753</v>
      </c>
      <c r="B544" s="40">
        <v>17</v>
      </c>
      <c r="D544" s="7" t="s">
        <v>753</v>
      </c>
      <c r="F544" s="7" t="s">
        <v>753</v>
      </c>
      <c r="G544" s="40">
        <v>101</v>
      </c>
    </row>
    <row r="545" spans="1:7" x14ac:dyDescent="0.25">
      <c r="A545" s="7" t="s">
        <v>754</v>
      </c>
      <c r="B545" s="40">
        <v>30</v>
      </c>
      <c r="D545" s="7" t="s">
        <v>754</v>
      </c>
      <c r="F545" s="7" t="s">
        <v>754</v>
      </c>
      <c r="G545" s="40">
        <v>76</v>
      </c>
    </row>
    <row r="546" spans="1:7" x14ac:dyDescent="0.25">
      <c r="A546" s="7" t="s">
        <v>755</v>
      </c>
      <c r="B546" s="40">
        <v>0</v>
      </c>
      <c r="D546" s="7" t="s">
        <v>755</v>
      </c>
      <c r="F546" s="7" t="s">
        <v>755</v>
      </c>
      <c r="G546" s="40">
        <v>0</v>
      </c>
    </row>
    <row r="547" spans="1:7" x14ac:dyDescent="0.25">
      <c r="A547" s="7" t="s">
        <v>756</v>
      </c>
      <c r="B547" s="40">
        <v>0</v>
      </c>
      <c r="D547" s="7" t="s">
        <v>756</v>
      </c>
      <c r="F547" s="7" t="s">
        <v>756</v>
      </c>
      <c r="G547" s="40">
        <v>5</v>
      </c>
    </row>
    <row r="548" spans="1:7" x14ac:dyDescent="0.25">
      <c r="A548" s="7" t="s">
        <v>757</v>
      </c>
      <c r="B548" s="40">
        <v>5</v>
      </c>
      <c r="D548" s="7" t="s">
        <v>757</v>
      </c>
      <c r="F548" s="7" t="s">
        <v>757</v>
      </c>
      <c r="G548" s="40">
        <v>0</v>
      </c>
    </row>
    <row r="549" spans="1:7" x14ac:dyDescent="0.25">
      <c r="A549" s="7" t="s">
        <v>758</v>
      </c>
      <c r="B549" s="40">
        <v>100</v>
      </c>
      <c r="D549" s="7" t="s">
        <v>758</v>
      </c>
      <c r="F549" s="7" t="s">
        <v>758</v>
      </c>
      <c r="G549" s="40">
        <v>148</v>
      </c>
    </row>
    <row r="550" spans="1:7" x14ac:dyDescent="0.25">
      <c r="A550" s="7" t="s">
        <v>759</v>
      </c>
      <c r="B550" s="40">
        <v>168</v>
      </c>
      <c r="D550" s="7" t="s">
        <v>759</v>
      </c>
      <c r="F550" s="7" t="s">
        <v>759</v>
      </c>
      <c r="G550" s="40">
        <v>1269</v>
      </c>
    </row>
    <row r="551" spans="1:7" x14ac:dyDescent="0.25">
      <c r="A551" s="7" t="s">
        <v>760</v>
      </c>
      <c r="B551" s="40">
        <v>112</v>
      </c>
      <c r="D551" s="7" t="s">
        <v>760</v>
      </c>
      <c r="F551" s="7" t="s">
        <v>760</v>
      </c>
      <c r="G551" s="40">
        <v>0</v>
      </c>
    </row>
    <row r="552" spans="1:7" x14ac:dyDescent="0.25">
      <c r="A552" s="7" t="s">
        <v>761</v>
      </c>
      <c r="B552" s="40">
        <v>23</v>
      </c>
      <c r="D552" s="7" t="s">
        <v>761</v>
      </c>
      <c r="F552" s="7" t="s">
        <v>761</v>
      </c>
      <c r="G552" s="40">
        <v>120</v>
      </c>
    </row>
    <row r="553" spans="1:7" x14ac:dyDescent="0.25">
      <c r="A553" s="7" t="s">
        <v>762</v>
      </c>
      <c r="B553" s="40">
        <v>100</v>
      </c>
      <c r="D553" s="7" t="s">
        <v>762</v>
      </c>
      <c r="F553" s="7" t="s">
        <v>762</v>
      </c>
      <c r="G553" s="40">
        <v>1351</v>
      </c>
    </row>
    <row r="554" spans="1:7" x14ac:dyDescent="0.25">
      <c r="A554" s="7" t="s">
        <v>763</v>
      </c>
      <c r="B554" s="40">
        <v>100</v>
      </c>
      <c r="D554" s="7" t="s">
        <v>763</v>
      </c>
      <c r="F554" s="7" t="s">
        <v>763</v>
      </c>
      <c r="G554" s="40">
        <v>3600</v>
      </c>
    </row>
    <row r="555" spans="1:7" x14ac:dyDescent="0.25">
      <c r="A555" s="7" t="s">
        <v>766</v>
      </c>
      <c r="B555" s="40">
        <v>11</v>
      </c>
      <c r="D555" s="7" t="s">
        <v>766</v>
      </c>
      <c r="F555" s="7" t="s">
        <v>766</v>
      </c>
      <c r="G555" s="40">
        <v>16</v>
      </c>
    </row>
    <row r="556" spans="1:7" x14ac:dyDescent="0.25">
      <c r="A556" s="7" t="s">
        <v>767</v>
      </c>
      <c r="B556" s="40">
        <v>30</v>
      </c>
      <c r="D556" s="7" t="s">
        <v>767</v>
      </c>
      <c r="F556" s="7" t="s">
        <v>767</v>
      </c>
      <c r="G556" s="40">
        <v>49</v>
      </c>
    </row>
    <row r="557" spans="1:7" x14ac:dyDescent="0.25">
      <c r="A557" s="7" t="s">
        <v>768</v>
      </c>
      <c r="B557" s="40">
        <v>90</v>
      </c>
      <c r="D557" s="7" t="s">
        <v>768</v>
      </c>
      <c r="F557" s="7" t="s">
        <v>768</v>
      </c>
      <c r="G557" s="40">
        <v>656</v>
      </c>
    </row>
    <row r="558" spans="1:7" x14ac:dyDescent="0.25">
      <c r="A558" s="7" t="s">
        <v>769</v>
      </c>
      <c r="B558" s="40">
        <v>0</v>
      </c>
      <c r="D558" s="7" t="s">
        <v>769</v>
      </c>
      <c r="F558" s="7" t="s">
        <v>769</v>
      </c>
      <c r="G558" s="40">
        <v>350</v>
      </c>
    </row>
    <row r="559" spans="1:7" x14ac:dyDescent="0.25">
      <c r="A559" s="7" t="s">
        <v>770</v>
      </c>
      <c r="B559" s="40">
        <v>130</v>
      </c>
      <c r="D559" s="7" t="s">
        <v>770</v>
      </c>
      <c r="F559" s="7" t="s">
        <v>770</v>
      </c>
      <c r="G559" s="40">
        <v>413</v>
      </c>
    </row>
    <row r="560" spans="1:7" x14ac:dyDescent="0.25">
      <c r="A560" s="7" t="s">
        <v>771</v>
      </c>
      <c r="B560" s="40">
        <v>21</v>
      </c>
      <c r="D560" s="7" t="s">
        <v>771</v>
      </c>
      <c r="F560" s="7" t="s">
        <v>771</v>
      </c>
      <c r="G560" s="40">
        <v>41</v>
      </c>
    </row>
    <row r="561" spans="1:7" x14ac:dyDescent="0.25">
      <c r="A561" s="7" t="s">
        <v>773</v>
      </c>
      <c r="B561" s="40">
        <v>300</v>
      </c>
      <c r="D561" s="7" t="s">
        <v>773</v>
      </c>
      <c r="F561" s="7" t="s">
        <v>773</v>
      </c>
      <c r="G561" s="40">
        <v>204</v>
      </c>
    </row>
    <row r="562" spans="1:7" x14ac:dyDescent="0.25">
      <c r="A562" s="7" t="s">
        <v>774</v>
      </c>
      <c r="B562" s="40">
        <v>198</v>
      </c>
      <c r="D562" s="7" t="s">
        <v>774</v>
      </c>
      <c r="F562" s="7" t="s">
        <v>774</v>
      </c>
      <c r="G562" s="40">
        <v>82</v>
      </c>
    </row>
    <row r="563" spans="1:7" x14ac:dyDescent="0.25">
      <c r="A563" s="7" t="s">
        <v>775</v>
      </c>
      <c r="B563" s="40">
        <v>18</v>
      </c>
      <c r="D563" s="7" t="s">
        <v>775</v>
      </c>
      <c r="F563" s="7" t="s">
        <v>775</v>
      </c>
      <c r="G563" s="40">
        <v>30</v>
      </c>
    </row>
    <row r="564" spans="1:7" x14ac:dyDescent="0.25">
      <c r="A564" s="7" t="s">
        <v>776</v>
      </c>
      <c r="B564" s="40">
        <v>0</v>
      </c>
      <c r="D564" s="7" t="s">
        <v>776</v>
      </c>
      <c r="F564" s="7" t="s">
        <v>776</v>
      </c>
      <c r="G564" s="40">
        <v>0</v>
      </c>
    </row>
    <row r="565" spans="1:7" x14ac:dyDescent="0.25">
      <c r="A565" s="7" t="s">
        <v>777</v>
      </c>
      <c r="B565" s="40">
        <v>249</v>
      </c>
      <c r="D565" s="7" t="s">
        <v>777</v>
      </c>
      <c r="F565" s="7" t="s">
        <v>777</v>
      </c>
      <c r="G565" s="40">
        <v>718</v>
      </c>
    </row>
    <row r="566" spans="1:7" x14ac:dyDescent="0.25">
      <c r="A566" s="7" t="s">
        <v>778</v>
      </c>
      <c r="B566" s="40">
        <v>250</v>
      </c>
      <c r="D566" s="7" t="s">
        <v>778</v>
      </c>
      <c r="F566" s="7" t="s">
        <v>778</v>
      </c>
      <c r="G566" s="40">
        <v>1200</v>
      </c>
    </row>
    <row r="567" spans="1:7" x14ac:dyDescent="0.25">
      <c r="A567" s="7" t="s">
        <v>781</v>
      </c>
      <c r="B567" s="40">
        <v>22</v>
      </c>
      <c r="D567" s="7" t="s">
        <v>781</v>
      </c>
      <c r="F567" s="7" t="s">
        <v>781</v>
      </c>
      <c r="G567" s="40">
        <v>97</v>
      </c>
    </row>
    <row r="568" spans="1:7" x14ac:dyDescent="0.25">
      <c r="A568" s="7" t="s">
        <v>782</v>
      </c>
      <c r="B568" s="40">
        <v>55</v>
      </c>
      <c r="D568" s="7" t="s">
        <v>782</v>
      </c>
      <c r="F568" s="7" t="s">
        <v>782</v>
      </c>
      <c r="G568" s="40">
        <v>178</v>
      </c>
    </row>
    <row r="569" spans="1:7" x14ac:dyDescent="0.25">
      <c r="A569" s="7" t="s">
        <v>783</v>
      </c>
      <c r="B569" s="40">
        <v>981</v>
      </c>
      <c r="D569" s="7" t="s">
        <v>783</v>
      </c>
      <c r="F569" s="7" t="s">
        <v>783</v>
      </c>
      <c r="G569" s="40">
        <v>800</v>
      </c>
    </row>
    <row r="570" spans="1:7" x14ac:dyDescent="0.25">
      <c r="A570" s="7" t="s">
        <v>784</v>
      </c>
      <c r="B570" s="40">
        <v>94</v>
      </c>
      <c r="D570" s="7" t="s">
        <v>784</v>
      </c>
      <c r="F570" s="7" t="s">
        <v>784</v>
      </c>
      <c r="G570" s="40">
        <v>0</v>
      </c>
    </row>
    <row r="571" spans="1:7" x14ac:dyDescent="0.25">
      <c r="A571" s="7" t="s">
        <v>785</v>
      </c>
      <c r="B571" s="40">
        <v>800</v>
      </c>
      <c r="D571" s="7" t="s">
        <v>785</v>
      </c>
      <c r="F571" s="7" t="s">
        <v>785</v>
      </c>
      <c r="G571" s="40">
        <v>75</v>
      </c>
    </row>
    <row r="572" spans="1:7" x14ac:dyDescent="0.25">
      <c r="A572" s="7" t="s">
        <v>786</v>
      </c>
      <c r="B572" s="40">
        <v>430</v>
      </c>
      <c r="D572" s="7" t="s">
        <v>786</v>
      </c>
      <c r="F572" s="7" t="s">
        <v>786</v>
      </c>
      <c r="G572" s="40">
        <v>4800</v>
      </c>
    </row>
    <row r="573" spans="1:7" x14ac:dyDescent="0.25">
      <c r="A573" s="7" t="s">
        <v>787</v>
      </c>
      <c r="B573" s="40">
        <v>74</v>
      </c>
      <c r="D573" s="7" t="s">
        <v>787</v>
      </c>
      <c r="F573" s="7" t="s">
        <v>787</v>
      </c>
      <c r="G573" s="40">
        <v>24</v>
      </c>
    </row>
    <row r="574" spans="1:7" x14ac:dyDescent="0.25">
      <c r="A574" s="7" t="s">
        <v>788</v>
      </c>
      <c r="B574" s="40">
        <v>0</v>
      </c>
      <c r="D574" s="7" t="s">
        <v>788</v>
      </c>
      <c r="F574" s="7" t="s">
        <v>788</v>
      </c>
      <c r="G574" s="40">
        <v>54</v>
      </c>
    </row>
    <row r="575" spans="1:7" x14ac:dyDescent="0.25">
      <c r="A575" s="7" t="s">
        <v>789</v>
      </c>
      <c r="B575" s="40">
        <v>80</v>
      </c>
      <c r="D575" s="7" t="s">
        <v>789</v>
      </c>
      <c r="F575" s="7" t="s">
        <v>789</v>
      </c>
      <c r="G575" s="40">
        <v>583</v>
      </c>
    </row>
    <row r="576" spans="1:7" x14ac:dyDescent="0.25">
      <c r="A576" s="7" t="s">
        <v>790</v>
      </c>
      <c r="B576" s="40">
        <v>0</v>
      </c>
      <c r="D576" s="7" t="s">
        <v>790</v>
      </c>
      <c r="F576" s="7" t="s">
        <v>790</v>
      </c>
      <c r="G576" s="40">
        <v>0</v>
      </c>
    </row>
    <row r="577" spans="1:7" x14ac:dyDescent="0.25">
      <c r="A577" s="7" t="s">
        <v>791</v>
      </c>
      <c r="B577" s="40">
        <v>70</v>
      </c>
      <c r="D577" s="7" t="s">
        <v>791</v>
      </c>
      <c r="F577" s="7" t="s">
        <v>791</v>
      </c>
      <c r="G577" s="40">
        <v>16</v>
      </c>
    </row>
    <row r="578" spans="1:7" x14ac:dyDescent="0.25">
      <c r="A578" s="7" t="s">
        <v>792</v>
      </c>
      <c r="B578" s="40">
        <v>0</v>
      </c>
      <c r="D578" s="7" t="s">
        <v>792</v>
      </c>
      <c r="F578" s="7" t="s">
        <v>792</v>
      </c>
      <c r="G578" s="40">
        <v>6</v>
      </c>
    </row>
    <row r="579" spans="1:7" x14ac:dyDescent="0.25">
      <c r="A579" s="7" t="s">
        <v>793</v>
      </c>
      <c r="B579" s="40">
        <v>140</v>
      </c>
      <c r="D579" s="7" t="s">
        <v>793</v>
      </c>
      <c r="F579" s="7" t="s">
        <v>793</v>
      </c>
      <c r="G579" s="40">
        <v>910</v>
      </c>
    </row>
    <row r="580" spans="1:7" x14ac:dyDescent="0.25">
      <c r="A580" s="7" t="s">
        <v>794</v>
      </c>
      <c r="B580" s="40">
        <v>12000</v>
      </c>
      <c r="D580" s="7" t="s">
        <v>794</v>
      </c>
      <c r="F580" s="7" t="s">
        <v>794</v>
      </c>
      <c r="G580" s="40">
        <v>26</v>
      </c>
    </row>
    <row r="581" spans="1:7" x14ac:dyDescent="0.25">
      <c r="A581" s="7" t="s">
        <v>795</v>
      </c>
      <c r="B581" s="40">
        <v>200</v>
      </c>
      <c r="D581" s="7" t="s">
        <v>795</v>
      </c>
      <c r="F581" s="7" t="s">
        <v>795</v>
      </c>
      <c r="G581" s="40">
        <v>288</v>
      </c>
    </row>
    <row r="582" spans="1:7" x14ac:dyDescent="0.25">
      <c r="A582" s="7" t="s">
        <v>796</v>
      </c>
      <c r="B582" s="40">
        <v>2300</v>
      </c>
      <c r="D582" s="7" t="s">
        <v>796</v>
      </c>
      <c r="F582" s="7" t="s">
        <v>796</v>
      </c>
      <c r="G582" s="40">
        <v>13600</v>
      </c>
    </row>
    <row r="583" spans="1:7" x14ac:dyDescent="0.25">
      <c r="A583" s="7" t="s">
        <v>797</v>
      </c>
      <c r="B583" s="40">
        <v>840</v>
      </c>
      <c r="D583" s="7" t="s">
        <v>797</v>
      </c>
      <c r="F583" s="7" t="s">
        <v>797</v>
      </c>
      <c r="G583" s="40">
        <v>2600</v>
      </c>
    </row>
    <row r="584" spans="1:7" x14ac:dyDescent="0.25">
      <c r="A584" s="7" t="s">
        <v>798</v>
      </c>
      <c r="B584" s="40">
        <v>23</v>
      </c>
      <c r="D584" s="7" t="s">
        <v>798</v>
      </c>
      <c r="F584" s="7" t="s">
        <v>798</v>
      </c>
      <c r="G584" s="40">
        <v>47</v>
      </c>
    </row>
    <row r="585" spans="1:7" x14ac:dyDescent="0.25">
      <c r="A585" s="7" t="s">
        <v>799</v>
      </c>
      <c r="B585" s="40">
        <v>300</v>
      </c>
      <c r="D585" s="7" t="s">
        <v>799</v>
      </c>
      <c r="F585" s="7" t="s">
        <v>799</v>
      </c>
      <c r="G585" s="40">
        <v>1372</v>
      </c>
    </row>
    <row r="586" spans="1:7" x14ac:dyDescent="0.25">
      <c r="A586" s="7" t="s">
        <v>800</v>
      </c>
      <c r="B586" s="40">
        <v>1300</v>
      </c>
      <c r="D586" s="7" t="s">
        <v>800</v>
      </c>
      <c r="F586" s="7" t="s">
        <v>800</v>
      </c>
      <c r="G586" s="40">
        <v>1300</v>
      </c>
    </row>
    <row r="587" spans="1:7" x14ac:dyDescent="0.25">
      <c r="A587" s="7" t="s">
        <v>801</v>
      </c>
      <c r="B587" s="40">
        <v>360</v>
      </c>
      <c r="D587" s="7" t="s">
        <v>801</v>
      </c>
      <c r="F587" s="7" t="s">
        <v>801</v>
      </c>
      <c r="G587" s="40">
        <v>9900</v>
      </c>
    </row>
    <row r="588" spans="1:7" x14ac:dyDescent="0.25">
      <c r="A588" s="7" t="s">
        <v>803</v>
      </c>
      <c r="B588" s="40">
        <v>75</v>
      </c>
      <c r="D588" s="7" t="s">
        <v>803</v>
      </c>
      <c r="F588" s="7" t="s">
        <v>803</v>
      </c>
      <c r="G588" s="40">
        <v>17</v>
      </c>
    </row>
    <row r="589" spans="1:7" x14ac:dyDescent="0.25">
      <c r="A589" s="7" t="s">
        <v>805</v>
      </c>
      <c r="B589" s="40">
        <v>20</v>
      </c>
      <c r="D589" s="7" t="s">
        <v>805</v>
      </c>
      <c r="F589" s="7" t="s">
        <v>805</v>
      </c>
      <c r="G589" s="40">
        <v>7</v>
      </c>
    </row>
    <row r="590" spans="1:7" x14ac:dyDescent="0.25">
      <c r="A590" s="7" t="s">
        <v>806</v>
      </c>
      <c r="B590" s="40">
        <v>120</v>
      </c>
      <c r="D590" s="7" t="s">
        <v>806</v>
      </c>
      <c r="F590" s="7" t="s">
        <v>806</v>
      </c>
      <c r="G590" s="40">
        <v>110</v>
      </c>
    </row>
    <row r="591" spans="1:7" x14ac:dyDescent="0.25">
      <c r="A591" s="7" t="s">
        <v>807</v>
      </c>
      <c r="B591" s="40">
        <v>104</v>
      </c>
      <c r="D591" s="7" t="s">
        <v>807</v>
      </c>
      <c r="F591" s="7" t="s">
        <v>807</v>
      </c>
      <c r="G591" s="40">
        <v>556</v>
      </c>
    </row>
    <row r="592" spans="1:7" x14ac:dyDescent="0.25">
      <c r="A592" s="7" t="s">
        <v>808</v>
      </c>
      <c r="B592" s="40">
        <v>60</v>
      </c>
      <c r="D592" s="7" t="s">
        <v>808</v>
      </c>
      <c r="F592" s="7" t="s">
        <v>808</v>
      </c>
      <c r="G592" s="40">
        <v>145</v>
      </c>
    </row>
    <row r="593" spans="1:7" x14ac:dyDescent="0.25">
      <c r="A593" s="7" t="s">
        <v>809</v>
      </c>
      <c r="B593" s="40">
        <v>50</v>
      </c>
      <c r="D593" s="7" t="s">
        <v>809</v>
      </c>
      <c r="F593" s="7" t="s">
        <v>809</v>
      </c>
      <c r="G593" s="40">
        <v>190</v>
      </c>
    </row>
    <row r="594" spans="1:7" x14ac:dyDescent="0.25">
      <c r="A594" s="7" t="s">
        <v>810</v>
      </c>
      <c r="B594" s="40">
        <v>3800</v>
      </c>
      <c r="D594" s="7" t="s">
        <v>810</v>
      </c>
      <c r="F594" s="7" t="s">
        <v>810</v>
      </c>
      <c r="G594" s="40">
        <v>4200</v>
      </c>
    </row>
    <row r="595" spans="1:7" x14ac:dyDescent="0.25">
      <c r="A595" s="7" t="s">
        <v>811</v>
      </c>
      <c r="B595" s="40">
        <v>0</v>
      </c>
      <c r="D595" s="7" t="s">
        <v>811</v>
      </c>
      <c r="F595" s="7" t="s">
        <v>811</v>
      </c>
      <c r="G595" s="40">
        <v>474</v>
      </c>
    </row>
    <row r="596" spans="1:7" x14ac:dyDescent="0.25">
      <c r="A596" s="7" t="s">
        <v>812</v>
      </c>
      <c r="B596" s="40">
        <v>40</v>
      </c>
      <c r="D596" s="7" t="s">
        <v>812</v>
      </c>
      <c r="F596" s="7" t="s">
        <v>812</v>
      </c>
      <c r="G596" s="40">
        <v>2300</v>
      </c>
    </row>
    <row r="597" spans="1:7" x14ac:dyDescent="0.25">
      <c r="A597" s="7" t="s">
        <v>813</v>
      </c>
      <c r="B597" s="40">
        <v>130</v>
      </c>
      <c r="D597" s="7" t="s">
        <v>813</v>
      </c>
      <c r="F597" s="7" t="s">
        <v>813</v>
      </c>
      <c r="G597" s="40">
        <v>550</v>
      </c>
    </row>
    <row r="598" spans="1:7" x14ac:dyDescent="0.25">
      <c r="A598" s="7" t="s">
        <v>814</v>
      </c>
      <c r="B598" s="40">
        <v>0</v>
      </c>
      <c r="D598" s="7" t="s">
        <v>814</v>
      </c>
      <c r="F598" s="7" t="s">
        <v>814</v>
      </c>
      <c r="G598" s="40">
        <v>24</v>
      </c>
    </row>
    <row r="599" spans="1:7" x14ac:dyDescent="0.25">
      <c r="A599" s="7" t="s">
        <v>815</v>
      </c>
      <c r="B599" s="40">
        <v>90</v>
      </c>
      <c r="D599" s="7" t="s">
        <v>815</v>
      </c>
      <c r="F599" s="7" t="s">
        <v>815</v>
      </c>
      <c r="G599" s="40">
        <v>58</v>
      </c>
    </row>
    <row r="600" spans="1:7" x14ac:dyDescent="0.25">
      <c r="A600" s="7" t="s">
        <v>816</v>
      </c>
      <c r="B600" s="40">
        <v>126</v>
      </c>
      <c r="D600" s="7" t="s">
        <v>816</v>
      </c>
      <c r="F600" s="7" t="s">
        <v>816</v>
      </c>
      <c r="G600" s="40">
        <v>746</v>
      </c>
    </row>
    <row r="601" spans="1:7" x14ac:dyDescent="0.25">
      <c r="A601" s="7" t="s">
        <v>817</v>
      </c>
      <c r="B601" s="40">
        <v>467</v>
      </c>
      <c r="D601" s="7" t="s">
        <v>817</v>
      </c>
      <c r="F601" s="7" t="s">
        <v>817</v>
      </c>
      <c r="G601" s="40">
        <v>300</v>
      </c>
    </row>
    <row r="602" spans="1:7" x14ac:dyDescent="0.25">
      <c r="A602" s="7" t="s">
        <v>818</v>
      </c>
      <c r="B602" s="40">
        <v>0</v>
      </c>
      <c r="D602" s="7" t="s">
        <v>818</v>
      </c>
      <c r="F602" s="7" t="s">
        <v>818</v>
      </c>
      <c r="G602" s="40">
        <v>11</v>
      </c>
    </row>
    <row r="603" spans="1:7" x14ac:dyDescent="0.25">
      <c r="A603" s="7" t="s">
        <v>819</v>
      </c>
      <c r="B603" s="40">
        <v>0</v>
      </c>
      <c r="D603" s="7" t="s">
        <v>819</v>
      </c>
      <c r="F603" s="7" t="s">
        <v>819</v>
      </c>
      <c r="G603" s="40">
        <v>2</v>
      </c>
    </row>
    <row r="604" spans="1:7" x14ac:dyDescent="0.25">
      <c r="A604" s="7" t="s">
        <v>820</v>
      </c>
      <c r="B604" s="40">
        <v>158</v>
      </c>
      <c r="D604" s="7" t="s">
        <v>820</v>
      </c>
      <c r="F604" s="7" t="s">
        <v>820</v>
      </c>
      <c r="G604" s="40">
        <v>191</v>
      </c>
    </row>
    <row r="605" spans="1:7" x14ac:dyDescent="0.25">
      <c r="A605" s="7" t="s">
        <v>821</v>
      </c>
      <c r="B605" s="40">
        <v>60</v>
      </c>
      <c r="D605" s="7" t="s">
        <v>821</v>
      </c>
      <c r="F605" s="7" t="s">
        <v>821</v>
      </c>
      <c r="G605" s="40">
        <v>0</v>
      </c>
    </row>
    <row r="606" spans="1:7" x14ac:dyDescent="0.25">
      <c r="A606" s="7" t="s">
        <v>822</v>
      </c>
      <c r="B606" s="40">
        <v>58</v>
      </c>
      <c r="D606" s="7" t="s">
        <v>822</v>
      </c>
      <c r="F606" s="7" t="s">
        <v>822</v>
      </c>
      <c r="G606" s="40">
        <v>58</v>
      </c>
    </row>
    <row r="607" spans="1:7" x14ac:dyDescent="0.25">
      <c r="A607" s="7" t="s">
        <v>823</v>
      </c>
      <c r="B607" s="40">
        <v>69</v>
      </c>
      <c r="D607" s="7" t="s">
        <v>823</v>
      </c>
      <c r="F607" s="7" t="s">
        <v>823</v>
      </c>
      <c r="G607" s="40">
        <v>349</v>
      </c>
    </row>
    <row r="608" spans="1:7" x14ac:dyDescent="0.25">
      <c r="A608" s="7" t="s">
        <v>824</v>
      </c>
      <c r="B608" s="40">
        <v>0</v>
      </c>
      <c r="D608" s="7" t="s">
        <v>824</v>
      </c>
      <c r="F608" s="7" t="s">
        <v>824</v>
      </c>
      <c r="G608" s="40">
        <v>7</v>
      </c>
    </row>
    <row r="609" spans="1:7" x14ac:dyDescent="0.25">
      <c r="A609" s="7" t="s">
        <v>825</v>
      </c>
      <c r="B609" s="40">
        <v>5</v>
      </c>
      <c r="D609" s="7" t="s">
        <v>825</v>
      </c>
      <c r="F609" s="7" t="s">
        <v>825</v>
      </c>
      <c r="G609" s="40">
        <v>58</v>
      </c>
    </row>
    <row r="610" spans="1:7" x14ac:dyDescent="0.25">
      <c r="A610" s="7" t="s">
        <v>826</v>
      </c>
      <c r="B610" s="40">
        <v>50</v>
      </c>
      <c r="D610" s="7" t="s">
        <v>826</v>
      </c>
      <c r="F610" s="7" t="s">
        <v>826</v>
      </c>
      <c r="G610" s="40">
        <v>215</v>
      </c>
    </row>
    <row r="611" spans="1:7" x14ac:dyDescent="0.25">
      <c r="A611" s="7" t="s">
        <v>827</v>
      </c>
      <c r="B611" s="40">
        <v>149</v>
      </c>
      <c r="D611" s="7" t="s">
        <v>827</v>
      </c>
      <c r="F611" s="7" t="s">
        <v>827</v>
      </c>
      <c r="G611" s="40">
        <v>244</v>
      </c>
    </row>
    <row r="612" spans="1:7" x14ac:dyDescent="0.25">
      <c r="A612" s="7" t="s">
        <v>828</v>
      </c>
      <c r="B612" s="40">
        <v>150</v>
      </c>
      <c r="D612" s="7" t="s">
        <v>828</v>
      </c>
      <c r="F612" s="7" t="s">
        <v>828</v>
      </c>
      <c r="G612" s="40">
        <v>100</v>
      </c>
    </row>
    <row r="613" spans="1:7" x14ac:dyDescent="0.25">
      <c r="A613" s="7" t="s">
        <v>829</v>
      </c>
      <c r="B613" s="40">
        <v>18</v>
      </c>
      <c r="D613" s="7" t="s">
        <v>829</v>
      </c>
      <c r="F613" s="7" t="s">
        <v>829</v>
      </c>
      <c r="G613" s="40">
        <v>20</v>
      </c>
    </row>
    <row r="614" spans="1:7" x14ac:dyDescent="0.25">
      <c r="A614" s="7" t="s">
        <v>830</v>
      </c>
      <c r="B614" s="40">
        <v>12</v>
      </c>
      <c r="D614" s="7" t="s">
        <v>830</v>
      </c>
      <c r="F614" s="7" t="s">
        <v>830</v>
      </c>
      <c r="G614" s="40">
        <v>67</v>
      </c>
    </row>
    <row r="615" spans="1:7" x14ac:dyDescent="0.25">
      <c r="A615" s="7" t="s">
        <v>831</v>
      </c>
      <c r="B615" s="40">
        <v>611</v>
      </c>
      <c r="D615" s="7" t="s">
        <v>831</v>
      </c>
      <c r="F615" s="7" t="s">
        <v>831</v>
      </c>
      <c r="G615" s="40">
        <v>367</v>
      </c>
    </row>
    <row r="616" spans="1:7" x14ac:dyDescent="0.25">
      <c r="A616" s="7" t="s">
        <v>832</v>
      </c>
      <c r="B616" s="40">
        <v>16</v>
      </c>
      <c r="D616" s="7" t="s">
        <v>832</v>
      </c>
      <c r="F616" s="7" t="s">
        <v>832</v>
      </c>
      <c r="G616" s="40">
        <v>6</v>
      </c>
    </row>
    <row r="617" spans="1:7" x14ac:dyDescent="0.25">
      <c r="A617" s="7" t="s">
        <v>833</v>
      </c>
      <c r="B617" s="40">
        <v>10</v>
      </c>
      <c r="D617" s="7" t="s">
        <v>833</v>
      </c>
      <c r="F617" s="7" t="s">
        <v>833</v>
      </c>
      <c r="G617" s="40">
        <v>0</v>
      </c>
    </row>
    <row r="618" spans="1:7" x14ac:dyDescent="0.25">
      <c r="A618" s="7" t="s">
        <v>834</v>
      </c>
      <c r="B618" s="40">
        <v>24</v>
      </c>
      <c r="D618" s="7" t="s">
        <v>834</v>
      </c>
      <c r="F618" s="7" t="s">
        <v>834</v>
      </c>
      <c r="G618" s="40">
        <v>265</v>
      </c>
    </row>
    <row r="619" spans="1:7" x14ac:dyDescent="0.25">
      <c r="A619" s="7" t="s">
        <v>835</v>
      </c>
      <c r="B619" s="40">
        <v>73</v>
      </c>
      <c r="D619" s="7" t="s">
        <v>835</v>
      </c>
      <c r="F619" s="7" t="s">
        <v>835</v>
      </c>
      <c r="G619" s="40">
        <v>0</v>
      </c>
    </row>
    <row r="620" spans="1:7" x14ac:dyDescent="0.25">
      <c r="A620" s="7" t="s">
        <v>836</v>
      </c>
      <c r="B620" s="40">
        <v>70</v>
      </c>
      <c r="D620" s="7" t="s">
        <v>836</v>
      </c>
      <c r="F620" s="7" t="s">
        <v>836</v>
      </c>
      <c r="G620" s="40">
        <v>45</v>
      </c>
    </row>
    <row r="621" spans="1:7" x14ac:dyDescent="0.25">
      <c r="A621" s="7" t="s">
        <v>837</v>
      </c>
      <c r="B621" s="40">
        <v>25</v>
      </c>
      <c r="D621" s="7" t="s">
        <v>837</v>
      </c>
      <c r="F621" s="7" t="s">
        <v>837</v>
      </c>
      <c r="G621" s="40">
        <v>475</v>
      </c>
    </row>
    <row r="622" spans="1:7" x14ac:dyDescent="0.25">
      <c r="A622" s="7" t="s">
        <v>838</v>
      </c>
      <c r="B622" s="40">
        <v>51</v>
      </c>
      <c r="D622" s="7" t="s">
        <v>838</v>
      </c>
      <c r="F622" s="7" t="s">
        <v>838</v>
      </c>
      <c r="G622" s="40">
        <v>9</v>
      </c>
    </row>
    <row r="623" spans="1:7" x14ac:dyDescent="0.25">
      <c r="A623" s="7" t="s">
        <v>839</v>
      </c>
      <c r="B623" s="40">
        <v>100</v>
      </c>
      <c r="D623" s="7" t="s">
        <v>839</v>
      </c>
      <c r="F623" s="7" t="s">
        <v>839</v>
      </c>
      <c r="G623" s="40">
        <v>644</v>
      </c>
    </row>
    <row r="624" spans="1:7" x14ac:dyDescent="0.25">
      <c r="A624" s="7" t="s">
        <v>840</v>
      </c>
      <c r="B624" s="40">
        <v>0</v>
      </c>
      <c r="D624" s="7" t="s">
        <v>840</v>
      </c>
      <c r="F624" s="7" t="s">
        <v>840</v>
      </c>
      <c r="G624" s="40">
        <v>41</v>
      </c>
    </row>
    <row r="625" spans="1:7" x14ac:dyDescent="0.25">
      <c r="A625" s="7" t="s">
        <v>841</v>
      </c>
      <c r="B625" s="40">
        <v>70</v>
      </c>
      <c r="D625" s="7" t="s">
        <v>841</v>
      </c>
      <c r="F625" s="7" t="s">
        <v>841</v>
      </c>
      <c r="G625" s="40">
        <v>1300</v>
      </c>
    </row>
    <row r="626" spans="1:7" x14ac:dyDescent="0.25">
      <c r="A626" s="7" t="s">
        <v>842</v>
      </c>
      <c r="B626" s="40">
        <v>200</v>
      </c>
      <c r="D626" s="7" t="s">
        <v>842</v>
      </c>
      <c r="F626" s="7" t="s">
        <v>842</v>
      </c>
      <c r="G626" s="40">
        <v>0</v>
      </c>
    </row>
    <row r="627" spans="1:7" x14ac:dyDescent="0.25">
      <c r="A627" s="7" t="s">
        <v>843</v>
      </c>
      <c r="B627" s="40">
        <v>36</v>
      </c>
      <c r="D627" s="7" t="s">
        <v>843</v>
      </c>
      <c r="F627" s="7" t="s">
        <v>843</v>
      </c>
      <c r="G627" s="40">
        <v>52</v>
      </c>
    </row>
    <row r="628" spans="1:7" x14ac:dyDescent="0.25">
      <c r="A628" s="7" t="s">
        <v>844</v>
      </c>
      <c r="B628" s="40">
        <v>40</v>
      </c>
      <c r="D628" s="7" t="s">
        <v>844</v>
      </c>
      <c r="F628" s="7" t="s">
        <v>844</v>
      </c>
      <c r="G628" s="40">
        <v>0</v>
      </c>
    </row>
    <row r="629" spans="1:7" x14ac:dyDescent="0.25">
      <c r="A629" s="7" t="s">
        <v>845</v>
      </c>
      <c r="B629" s="40">
        <v>80</v>
      </c>
      <c r="D629" s="7" t="s">
        <v>845</v>
      </c>
      <c r="F629" s="7" t="s">
        <v>845</v>
      </c>
      <c r="G629" s="40">
        <v>82</v>
      </c>
    </row>
    <row r="630" spans="1:7" x14ac:dyDescent="0.25">
      <c r="A630" s="7" t="s">
        <v>846</v>
      </c>
      <c r="B630" s="40">
        <v>18</v>
      </c>
      <c r="D630" s="7" t="s">
        <v>846</v>
      </c>
      <c r="F630" s="7" t="s">
        <v>846</v>
      </c>
      <c r="G630" s="40">
        <v>4</v>
      </c>
    </row>
    <row r="631" spans="1:7" x14ac:dyDescent="0.25">
      <c r="A631" s="7" t="s">
        <v>847</v>
      </c>
      <c r="B631" s="40">
        <v>0</v>
      </c>
      <c r="D631" s="7" t="s">
        <v>847</v>
      </c>
      <c r="F631" s="7" t="s">
        <v>847</v>
      </c>
      <c r="G631" s="40">
        <v>743</v>
      </c>
    </row>
    <row r="632" spans="1:7" x14ac:dyDescent="0.25">
      <c r="A632" s="7" t="s">
        <v>848</v>
      </c>
      <c r="B632" s="40">
        <v>113</v>
      </c>
      <c r="D632" s="7" t="s">
        <v>848</v>
      </c>
      <c r="F632" s="7" t="s">
        <v>848</v>
      </c>
      <c r="G632" s="40">
        <v>0</v>
      </c>
    </row>
    <row r="633" spans="1:7" x14ac:dyDescent="0.25">
      <c r="A633" s="7" t="s">
        <v>849</v>
      </c>
      <c r="B633" s="40">
        <v>0</v>
      </c>
      <c r="D633" s="7" t="s">
        <v>849</v>
      </c>
      <c r="F633" s="7" t="s">
        <v>849</v>
      </c>
      <c r="G633" s="40">
        <v>661</v>
      </c>
    </row>
    <row r="634" spans="1:7" x14ac:dyDescent="0.25">
      <c r="A634" s="7" t="s">
        <v>850</v>
      </c>
      <c r="B634" s="40">
        <v>159</v>
      </c>
      <c r="D634" s="7" t="s">
        <v>850</v>
      </c>
      <c r="F634" s="7" t="s">
        <v>850</v>
      </c>
      <c r="G634" s="40">
        <v>70</v>
      </c>
    </row>
    <row r="635" spans="1:7" x14ac:dyDescent="0.25">
      <c r="A635" s="7" t="s">
        <v>851</v>
      </c>
      <c r="B635" s="40">
        <v>250</v>
      </c>
      <c r="D635" s="7" t="s">
        <v>851</v>
      </c>
      <c r="F635" s="7" t="s">
        <v>851</v>
      </c>
      <c r="G635" s="40">
        <v>95</v>
      </c>
    </row>
    <row r="636" spans="1:7" x14ac:dyDescent="0.25">
      <c r="A636" s="7" t="s">
        <v>852</v>
      </c>
      <c r="B636" s="40">
        <v>520</v>
      </c>
      <c r="D636" s="7" t="s">
        <v>852</v>
      </c>
      <c r="F636" s="7" t="s">
        <v>852</v>
      </c>
      <c r="G636" s="40">
        <v>900</v>
      </c>
    </row>
    <row r="637" spans="1:7" x14ac:dyDescent="0.25">
      <c r="A637" s="7" t="s">
        <v>853</v>
      </c>
      <c r="B637" s="40">
        <v>380</v>
      </c>
      <c r="D637" s="7" t="s">
        <v>853</v>
      </c>
      <c r="F637" s="7" t="s">
        <v>853</v>
      </c>
      <c r="G637" s="40">
        <v>3000</v>
      </c>
    </row>
    <row r="638" spans="1:7" x14ac:dyDescent="0.25">
      <c r="A638" s="7" t="s">
        <v>854</v>
      </c>
      <c r="B638" s="40">
        <v>8</v>
      </c>
      <c r="D638" s="7" t="s">
        <v>854</v>
      </c>
      <c r="F638" s="7" t="s">
        <v>854</v>
      </c>
      <c r="G638" s="40">
        <v>45</v>
      </c>
    </row>
    <row r="639" spans="1:7" x14ac:dyDescent="0.25">
      <c r="A639" s="7" t="s">
        <v>855</v>
      </c>
      <c r="B639" s="40">
        <v>15</v>
      </c>
      <c r="D639" s="7" t="s">
        <v>855</v>
      </c>
      <c r="F639" s="7" t="s">
        <v>855</v>
      </c>
      <c r="G639" s="40">
        <v>30</v>
      </c>
    </row>
    <row r="640" spans="1:7" x14ac:dyDescent="0.25">
      <c r="A640" s="7" t="s">
        <v>856</v>
      </c>
      <c r="B640" s="40">
        <v>227</v>
      </c>
      <c r="D640" s="7" t="s">
        <v>856</v>
      </c>
      <c r="F640" s="7" t="s">
        <v>856</v>
      </c>
      <c r="G640" s="40">
        <v>127</v>
      </c>
    </row>
    <row r="641" spans="1:7" x14ac:dyDescent="0.25">
      <c r="A641" s="7" t="s">
        <v>858</v>
      </c>
      <c r="B641" s="40">
        <v>250</v>
      </c>
      <c r="D641" s="7" t="s">
        <v>858</v>
      </c>
      <c r="F641" s="7" t="s">
        <v>858</v>
      </c>
      <c r="G641" s="40">
        <v>1226</v>
      </c>
    </row>
    <row r="642" spans="1:7" x14ac:dyDescent="0.25">
      <c r="A642" s="7" t="s">
        <v>859</v>
      </c>
      <c r="B642" s="40">
        <v>100</v>
      </c>
      <c r="D642" s="7" t="s">
        <v>859</v>
      </c>
      <c r="F642" s="7" t="s">
        <v>859</v>
      </c>
      <c r="G642" s="40">
        <v>4200</v>
      </c>
    </row>
    <row r="643" spans="1:7" x14ac:dyDescent="0.25">
      <c r="A643" s="7" t="s">
        <v>860</v>
      </c>
      <c r="B643" s="40">
        <v>45</v>
      </c>
      <c r="D643" s="7" t="s">
        <v>860</v>
      </c>
      <c r="F643" s="7" t="s">
        <v>860</v>
      </c>
      <c r="G643" s="40">
        <v>61</v>
      </c>
    </row>
    <row r="644" spans="1:7" x14ac:dyDescent="0.25">
      <c r="A644" s="7" t="s">
        <v>861</v>
      </c>
      <c r="B644" s="40">
        <v>0</v>
      </c>
      <c r="D644" s="7" t="s">
        <v>861</v>
      </c>
      <c r="F644" s="7" t="s">
        <v>861</v>
      </c>
      <c r="G644" s="40">
        <v>13</v>
      </c>
    </row>
    <row r="645" spans="1:7" x14ac:dyDescent="0.25">
      <c r="A645" s="7" t="s">
        <v>862</v>
      </c>
      <c r="B645" s="40">
        <v>160</v>
      </c>
      <c r="D645" s="7" t="s">
        <v>862</v>
      </c>
      <c r="F645" s="7" t="s">
        <v>862</v>
      </c>
      <c r="G645" s="40">
        <v>306</v>
      </c>
    </row>
    <row r="646" spans="1:7" x14ac:dyDescent="0.25">
      <c r="A646" s="7" t="s">
        <v>863</v>
      </c>
      <c r="B646" s="40">
        <v>500</v>
      </c>
      <c r="D646" s="7" t="s">
        <v>863</v>
      </c>
      <c r="F646" s="7" t="s">
        <v>863</v>
      </c>
      <c r="G646" s="40">
        <v>100</v>
      </c>
    </row>
    <row r="647" spans="1:7" x14ac:dyDescent="0.25">
      <c r="A647" s="7" t="s">
        <v>864</v>
      </c>
      <c r="B647" s="40">
        <v>47</v>
      </c>
      <c r="D647" s="7" t="s">
        <v>864</v>
      </c>
      <c r="F647" s="7" t="s">
        <v>864</v>
      </c>
      <c r="G647" s="40">
        <v>37</v>
      </c>
    </row>
    <row r="648" spans="1:7" x14ac:dyDescent="0.25">
      <c r="A648" s="7" t="s">
        <v>865</v>
      </c>
      <c r="B648" s="40">
        <v>10</v>
      </c>
      <c r="D648" s="7" t="s">
        <v>865</v>
      </c>
      <c r="F648" s="7" t="s">
        <v>865</v>
      </c>
      <c r="G648" s="40">
        <v>4</v>
      </c>
    </row>
    <row r="649" spans="1:7" x14ac:dyDescent="0.25">
      <c r="A649" s="7" t="s">
        <v>866</v>
      </c>
      <c r="B649" s="40">
        <v>26</v>
      </c>
      <c r="D649" s="7" t="s">
        <v>866</v>
      </c>
      <c r="F649" s="7" t="s">
        <v>866</v>
      </c>
      <c r="G649" s="40">
        <v>40</v>
      </c>
    </row>
    <row r="650" spans="1:7" x14ac:dyDescent="0.25">
      <c r="A650" s="7" t="s">
        <v>867</v>
      </c>
      <c r="B650" s="40">
        <v>30</v>
      </c>
      <c r="D650" s="7" t="s">
        <v>867</v>
      </c>
      <c r="F650" s="7" t="s">
        <v>867</v>
      </c>
      <c r="G650" s="40">
        <v>6</v>
      </c>
    </row>
    <row r="651" spans="1:7" x14ac:dyDescent="0.25">
      <c r="A651" s="7" t="s">
        <v>868</v>
      </c>
      <c r="B651" s="40">
        <v>575</v>
      </c>
      <c r="D651" s="7" t="s">
        <v>868</v>
      </c>
      <c r="F651" s="7" t="s">
        <v>868</v>
      </c>
      <c r="G651" s="40">
        <v>4</v>
      </c>
    </row>
    <row r="652" spans="1:7" x14ac:dyDescent="0.25">
      <c r="A652" s="7" t="s">
        <v>870</v>
      </c>
      <c r="B652" s="40">
        <v>30</v>
      </c>
      <c r="D652" s="7" t="s">
        <v>870</v>
      </c>
      <c r="F652" s="7" t="s">
        <v>870</v>
      </c>
      <c r="G652" s="40">
        <v>538</v>
      </c>
    </row>
    <row r="653" spans="1:7" x14ac:dyDescent="0.25">
      <c r="A653" s="7" t="s">
        <v>871</v>
      </c>
      <c r="B653" s="40">
        <v>100</v>
      </c>
      <c r="D653" s="7" t="s">
        <v>871</v>
      </c>
      <c r="F653" s="7" t="s">
        <v>871</v>
      </c>
      <c r="G653" s="40">
        <v>289</v>
      </c>
    </row>
    <row r="654" spans="1:7" x14ac:dyDescent="0.25">
      <c r="A654" s="7" t="s">
        <v>872</v>
      </c>
      <c r="B654" s="40">
        <v>3900</v>
      </c>
      <c r="D654" s="7" t="s">
        <v>872</v>
      </c>
      <c r="F654" s="7" t="s">
        <v>872</v>
      </c>
      <c r="G654" s="40">
        <v>0</v>
      </c>
    </row>
    <row r="655" spans="1:7" x14ac:dyDescent="0.25">
      <c r="A655" s="7" t="s">
        <v>873</v>
      </c>
      <c r="B655" s="40">
        <v>87</v>
      </c>
      <c r="D655" s="7" t="s">
        <v>873</v>
      </c>
      <c r="F655" s="7" t="s">
        <v>873</v>
      </c>
      <c r="G655" s="40">
        <v>85</v>
      </c>
    </row>
    <row r="656" spans="1:7" x14ac:dyDescent="0.25">
      <c r="A656" s="7" t="s">
        <v>874</v>
      </c>
      <c r="B656" s="40">
        <v>130</v>
      </c>
      <c r="D656" s="7" t="s">
        <v>874</v>
      </c>
      <c r="F656" s="7" t="s">
        <v>874</v>
      </c>
      <c r="G656" s="40">
        <v>275</v>
      </c>
    </row>
    <row r="657" spans="1:7" x14ac:dyDescent="0.25">
      <c r="A657" s="7" t="s">
        <v>875</v>
      </c>
      <c r="B657" s="40">
        <v>40</v>
      </c>
      <c r="D657" s="7" t="s">
        <v>875</v>
      </c>
      <c r="F657" s="7" t="s">
        <v>875</v>
      </c>
      <c r="G657" s="40">
        <v>7</v>
      </c>
    </row>
    <row r="658" spans="1:7" x14ac:dyDescent="0.25">
      <c r="A658" s="7" t="s">
        <v>876</v>
      </c>
      <c r="B658" s="40">
        <v>300</v>
      </c>
      <c r="D658" s="7" t="s">
        <v>876</v>
      </c>
      <c r="F658" s="7" t="s">
        <v>876</v>
      </c>
      <c r="G658" s="40">
        <v>200</v>
      </c>
    </row>
    <row r="659" spans="1:7" x14ac:dyDescent="0.25">
      <c r="A659" s="7" t="s">
        <v>878</v>
      </c>
      <c r="B659" s="40">
        <v>50</v>
      </c>
      <c r="D659" s="7" t="s">
        <v>878</v>
      </c>
      <c r="F659" s="7" t="s">
        <v>878</v>
      </c>
      <c r="G659" s="40">
        <v>348</v>
      </c>
    </row>
    <row r="660" spans="1:7" x14ac:dyDescent="0.25">
      <c r="A660" s="7" t="s">
        <v>879</v>
      </c>
      <c r="B660" s="40">
        <v>355</v>
      </c>
      <c r="D660" s="7" t="s">
        <v>879</v>
      </c>
      <c r="F660" s="7" t="s">
        <v>879</v>
      </c>
      <c r="G660" s="40">
        <v>2100</v>
      </c>
    </row>
    <row r="661" spans="1:7" x14ac:dyDescent="0.25">
      <c r="A661" s="7" t="s">
        <v>881</v>
      </c>
      <c r="B661" s="40">
        <v>0</v>
      </c>
      <c r="D661" s="7" t="s">
        <v>881</v>
      </c>
      <c r="F661" s="7" t="s">
        <v>881</v>
      </c>
      <c r="G661" s="40">
        <v>9</v>
      </c>
    </row>
    <row r="662" spans="1:7" x14ac:dyDescent="0.25">
      <c r="A662" s="7" t="s">
        <v>882</v>
      </c>
      <c r="B662" s="40">
        <v>0</v>
      </c>
      <c r="D662" s="7" t="s">
        <v>882</v>
      </c>
      <c r="F662" s="7" t="s">
        <v>882</v>
      </c>
      <c r="G662" s="40">
        <v>74</v>
      </c>
    </row>
    <row r="663" spans="1:7" x14ac:dyDescent="0.25">
      <c r="A663" s="7" t="s">
        <v>883</v>
      </c>
      <c r="B663" s="40">
        <v>10</v>
      </c>
      <c r="D663" s="7" t="s">
        <v>883</v>
      </c>
      <c r="F663" s="7" t="s">
        <v>883</v>
      </c>
      <c r="G663" s="40">
        <v>52</v>
      </c>
    </row>
    <row r="664" spans="1:7" x14ac:dyDescent="0.25">
      <c r="A664" s="7" t="s">
        <v>884</v>
      </c>
      <c r="B664" s="40">
        <v>500</v>
      </c>
      <c r="D664" s="7" t="s">
        <v>884</v>
      </c>
      <c r="F664" s="7" t="s">
        <v>884</v>
      </c>
      <c r="G664" s="40">
        <v>28</v>
      </c>
    </row>
    <row r="665" spans="1:7" x14ac:dyDescent="0.25">
      <c r="A665" s="7" t="s">
        <v>885</v>
      </c>
      <c r="B665" s="40">
        <v>38</v>
      </c>
      <c r="D665" s="7" t="s">
        <v>885</v>
      </c>
      <c r="F665" s="7" t="s">
        <v>885</v>
      </c>
      <c r="G665" s="40">
        <v>123</v>
      </c>
    </row>
    <row r="666" spans="1:7" x14ac:dyDescent="0.25">
      <c r="A666" s="7" t="s">
        <v>887</v>
      </c>
      <c r="B666" s="40">
        <v>20</v>
      </c>
      <c r="D666" s="7" t="s">
        <v>887</v>
      </c>
      <c r="F666" s="7" t="s">
        <v>887</v>
      </c>
      <c r="G666" s="40">
        <v>558</v>
      </c>
    </row>
    <row r="667" spans="1:7" x14ac:dyDescent="0.25">
      <c r="A667" s="7" t="s">
        <v>888</v>
      </c>
      <c r="B667" s="40">
        <v>0</v>
      </c>
      <c r="D667" s="7" t="s">
        <v>888</v>
      </c>
      <c r="F667" s="7" t="s">
        <v>888</v>
      </c>
      <c r="G667" s="40">
        <v>361</v>
      </c>
    </row>
    <row r="668" spans="1:7" x14ac:dyDescent="0.25">
      <c r="A668" s="7" t="s">
        <v>889</v>
      </c>
      <c r="B668" s="40">
        <v>30</v>
      </c>
      <c r="D668" s="7" t="s">
        <v>889</v>
      </c>
      <c r="F668" s="7" t="s">
        <v>889</v>
      </c>
      <c r="G668" s="40">
        <v>32</v>
      </c>
    </row>
    <row r="669" spans="1:7" x14ac:dyDescent="0.25">
      <c r="A669" s="7" t="s">
        <v>890</v>
      </c>
      <c r="B669" s="40">
        <v>50</v>
      </c>
      <c r="D669" s="7" t="s">
        <v>890</v>
      </c>
      <c r="F669" s="7" t="s">
        <v>890</v>
      </c>
      <c r="G669" s="40">
        <v>229</v>
      </c>
    </row>
    <row r="670" spans="1:7" x14ac:dyDescent="0.25">
      <c r="A670" s="7" t="s">
        <v>891</v>
      </c>
      <c r="B670" s="40">
        <v>50</v>
      </c>
      <c r="D670" s="7" t="s">
        <v>891</v>
      </c>
      <c r="F670" s="7" t="s">
        <v>891</v>
      </c>
      <c r="G670" s="40">
        <v>1900</v>
      </c>
    </row>
    <row r="671" spans="1:7" x14ac:dyDescent="0.25">
      <c r="A671" s="7" t="s">
        <v>892</v>
      </c>
      <c r="B671" s="40">
        <v>140</v>
      </c>
      <c r="D671" s="7" t="s">
        <v>892</v>
      </c>
      <c r="F671" s="7" t="s">
        <v>892</v>
      </c>
      <c r="G671" s="40">
        <v>1900</v>
      </c>
    </row>
    <row r="672" spans="1:7" x14ac:dyDescent="0.25">
      <c r="A672" s="7" t="s">
        <v>893</v>
      </c>
      <c r="B672" s="40">
        <v>0</v>
      </c>
      <c r="D672" s="7" t="s">
        <v>893</v>
      </c>
      <c r="F672" s="7" t="s">
        <v>893</v>
      </c>
      <c r="G672" s="40">
        <v>704</v>
      </c>
    </row>
    <row r="673" spans="1:7" x14ac:dyDescent="0.25">
      <c r="A673" s="7" t="s">
        <v>12</v>
      </c>
      <c r="B673" s="40">
        <v>0</v>
      </c>
      <c r="D673" s="7" t="s">
        <v>12</v>
      </c>
      <c r="F673" s="7" t="s">
        <v>12</v>
      </c>
      <c r="G673" s="40">
        <v>272</v>
      </c>
    </row>
    <row r="674" spans="1:7" x14ac:dyDescent="0.25">
      <c r="A674" s="7" t="s">
        <v>894</v>
      </c>
      <c r="B674" s="40">
        <v>9</v>
      </c>
      <c r="D674" s="7" t="s">
        <v>894</v>
      </c>
      <c r="F674" s="7" t="s">
        <v>894</v>
      </c>
      <c r="G674" s="40">
        <v>15</v>
      </c>
    </row>
    <row r="675" spans="1:7" x14ac:dyDescent="0.25">
      <c r="A675" s="7" t="s">
        <v>895</v>
      </c>
      <c r="B675" s="40">
        <v>40</v>
      </c>
      <c r="D675" s="7" t="s">
        <v>895</v>
      </c>
      <c r="F675" s="7" t="s">
        <v>895</v>
      </c>
      <c r="G675" s="40">
        <v>41</v>
      </c>
    </row>
    <row r="676" spans="1:7" x14ac:dyDescent="0.25">
      <c r="A676" s="7" t="s">
        <v>896</v>
      </c>
      <c r="B676" s="40">
        <v>80</v>
      </c>
      <c r="D676" s="7" t="s">
        <v>896</v>
      </c>
      <c r="F676" s="7" t="s">
        <v>896</v>
      </c>
      <c r="G676" s="40">
        <v>1200</v>
      </c>
    </row>
    <row r="677" spans="1:7" x14ac:dyDescent="0.25">
      <c r="A677" s="7" t="s">
        <v>897</v>
      </c>
      <c r="B677" s="40">
        <v>90</v>
      </c>
      <c r="D677" s="7" t="s">
        <v>897</v>
      </c>
      <c r="F677" s="7" t="s">
        <v>897</v>
      </c>
      <c r="G677" s="40">
        <v>222</v>
      </c>
    </row>
    <row r="678" spans="1:7" x14ac:dyDescent="0.25">
      <c r="A678" s="7" t="s">
        <v>898</v>
      </c>
      <c r="B678" s="40">
        <v>550</v>
      </c>
      <c r="D678" s="7" t="s">
        <v>898</v>
      </c>
      <c r="F678" s="7" t="s">
        <v>898</v>
      </c>
      <c r="G678" s="40">
        <v>1208</v>
      </c>
    </row>
    <row r="679" spans="1:7" x14ac:dyDescent="0.25">
      <c r="A679" s="7" t="s">
        <v>899</v>
      </c>
      <c r="B679" s="40">
        <v>65</v>
      </c>
      <c r="D679" s="7" t="s">
        <v>899</v>
      </c>
      <c r="F679" s="7" t="s">
        <v>899</v>
      </c>
      <c r="G679" s="40">
        <v>119</v>
      </c>
    </row>
    <row r="680" spans="1:7" x14ac:dyDescent="0.25">
      <c r="A680" s="7" t="s">
        <v>900</v>
      </c>
      <c r="B680" s="40">
        <v>450</v>
      </c>
      <c r="D680" s="7" t="s">
        <v>900</v>
      </c>
      <c r="F680" s="7" t="s">
        <v>900</v>
      </c>
      <c r="G680" s="40">
        <v>0</v>
      </c>
    </row>
    <row r="681" spans="1:7" x14ac:dyDescent="0.25">
      <c r="A681" s="7" t="s">
        <v>901</v>
      </c>
      <c r="B681" s="40">
        <v>20</v>
      </c>
      <c r="D681" s="7" t="s">
        <v>901</v>
      </c>
      <c r="F681" s="7" t="s">
        <v>901</v>
      </c>
      <c r="G681" s="40">
        <v>88</v>
      </c>
    </row>
    <row r="682" spans="1:7" x14ac:dyDescent="0.25">
      <c r="A682" s="7" t="s">
        <v>902</v>
      </c>
      <c r="B682" s="40">
        <v>50</v>
      </c>
      <c r="D682" s="7" t="s">
        <v>902</v>
      </c>
      <c r="F682" s="7" t="s">
        <v>902</v>
      </c>
      <c r="G682" s="40">
        <v>320</v>
      </c>
    </row>
    <row r="683" spans="1:7" x14ac:dyDescent="0.25">
      <c r="A683" s="7" t="s">
        <v>903</v>
      </c>
      <c r="B683" s="40">
        <v>335</v>
      </c>
      <c r="D683" s="7" t="s">
        <v>903</v>
      </c>
      <c r="F683" s="7" t="s">
        <v>903</v>
      </c>
      <c r="G683" s="40">
        <v>758</v>
      </c>
    </row>
    <row r="684" spans="1:7" x14ac:dyDescent="0.25">
      <c r="A684" s="7" t="s">
        <v>904</v>
      </c>
      <c r="B684" s="40">
        <v>40</v>
      </c>
      <c r="D684" s="7" t="s">
        <v>904</v>
      </c>
      <c r="F684" s="7" t="s">
        <v>904</v>
      </c>
      <c r="G684" s="40">
        <v>295</v>
      </c>
    </row>
    <row r="685" spans="1:7" x14ac:dyDescent="0.25">
      <c r="A685" s="7" t="s">
        <v>905</v>
      </c>
      <c r="B685" s="40">
        <v>43</v>
      </c>
      <c r="D685" s="7" t="s">
        <v>905</v>
      </c>
      <c r="F685" s="7" t="s">
        <v>905</v>
      </c>
      <c r="G685" s="40">
        <v>459</v>
      </c>
    </row>
    <row r="686" spans="1:7" x14ac:dyDescent="0.25">
      <c r="A686" s="7" t="s">
        <v>906</v>
      </c>
      <c r="B686" s="40">
        <v>239</v>
      </c>
      <c r="D686" s="7" t="s">
        <v>906</v>
      </c>
      <c r="F686" s="7" t="s">
        <v>906</v>
      </c>
      <c r="G686" s="40">
        <v>258</v>
      </c>
    </row>
    <row r="687" spans="1:7" x14ac:dyDescent="0.25">
      <c r="A687" s="7" t="s">
        <v>907</v>
      </c>
      <c r="B687" s="40">
        <v>1877</v>
      </c>
      <c r="D687" s="7" t="s">
        <v>907</v>
      </c>
      <c r="F687" s="7" t="s">
        <v>907</v>
      </c>
      <c r="G687" s="40">
        <v>2400</v>
      </c>
    </row>
    <row r="688" spans="1:7" x14ac:dyDescent="0.25">
      <c r="A688" s="7" t="s">
        <v>908</v>
      </c>
      <c r="B688" s="40">
        <v>6</v>
      </c>
      <c r="D688" s="7" t="s">
        <v>908</v>
      </c>
      <c r="F688" s="7" t="s">
        <v>908</v>
      </c>
      <c r="G688" s="40">
        <v>8</v>
      </c>
    </row>
    <row r="689" spans="1:7" x14ac:dyDescent="0.25">
      <c r="A689" s="7" t="s">
        <v>909</v>
      </c>
      <c r="B689" s="40">
        <v>150</v>
      </c>
      <c r="D689" s="7" t="s">
        <v>909</v>
      </c>
      <c r="F689" s="7" t="s">
        <v>909</v>
      </c>
      <c r="G689" s="40">
        <v>89</v>
      </c>
    </row>
    <row r="690" spans="1:7" x14ac:dyDescent="0.25">
      <c r="A690" s="7" t="s">
        <v>910</v>
      </c>
      <c r="B690" s="40">
        <v>45</v>
      </c>
      <c r="D690" s="7" t="s">
        <v>910</v>
      </c>
      <c r="F690" s="7" t="s">
        <v>910</v>
      </c>
      <c r="G690" s="40">
        <v>0</v>
      </c>
    </row>
    <row r="691" spans="1:7" x14ac:dyDescent="0.25">
      <c r="A691" s="7" t="s">
        <v>911</v>
      </c>
      <c r="B691" s="40">
        <v>190</v>
      </c>
      <c r="D691" s="7" t="s">
        <v>911</v>
      </c>
      <c r="F691" s="7" t="s">
        <v>911</v>
      </c>
      <c r="G691" s="40">
        <v>232</v>
      </c>
    </row>
    <row r="692" spans="1:7" x14ac:dyDescent="0.25">
      <c r="A692" s="7" t="s">
        <v>912</v>
      </c>
      <c r="B692" s="40">
        <v>26</v>
      </c>
      <c r="D692" s="7" t="s">
        <v>912</v>
      </c>
      <c r="F692" s="7" t="s">
        <v>912</v>
      </c>
      <c r="G692" s="40">
        <v>40</v>
      </c>
    </row>
    <row r="693" spans="1:7" x14ac:dyDescent="0.25">
      <c r="A693" s="7" t="s">
        <v>913</v>
      </c>
      <c r="B693" s="40">
        <v>544</v>
      </c>
      <c r="D693" s="7" t="s">
        <v>913</v>
      </c>
      <c r="F693" s="7" t="s">
        <v>913</v>
      </c>
      <c r="G693" s="40">
        <v>24</v>
      </c>
    </row>
    <row r="694" spans="1:7" x14ac:dyDescent="0.25">
      <c r="A694" s="7" t="s">
        <v>914</v>
      </c>
      <c r="B694" s="40">
        <v>212</v>
      </c>
      <c r="D694" s="7" t="s">
        <v>914</v>
      </c>
      <c r="F694" s="7" t="s">
        <v>914</v>
      </c>
      <c r="G694" s="40">
        <v>720</v>
      </c>
    </row>
    <row r="695" spans="1:7" x14ac:dyDescent="0.25">
      <c r="A695" s="7" t="s">
        <v>915</v>
      </c>
      <c r="B695" s="40">
        <v>19</v>
      </c>
      <c r="D695" s="7" t="s">
        <v>915</v>
      </c>
      <c r="F695" s="7" t="s">
        <v>915</v>
      </c>
      <c r="G695" s="40">
        <v>0</v>
      </c>
    </row>
    <row r="696" spans="1:7" x14ac:dyDescent="0.25">
      <c r="A696" s="7" t="s">
        <v>916</v>
      </c>
      <c r="B696" s="40">
        <v>40</v>
      </c>
      <c r="D696" s="7" t="s">
        <v>916</v>
      </c>
      <c r="F696" s="7" t="s">
        <v>916</v>
      </c>
      <c r="G696" s="40">
        <v>0</v>
      </c>
    </row>
    <row r="697" spans="1:7" x14ac:dyDescent="0.25">
      <c r="A697" s="7" t="s">
        <v>917</v>
      </c>
      <c r="B697" s="40">
        <v>57</v>
      </c>
      <c r="D697" s="7" t="s">
        <v>917</v>
      </c>
      <c r="F697" s="7" t="s">
        <v>917</v>
      </c>
      <c r="G697" s="40">
        <v>125</v>
      </c>
    </row>
    <row r="698" spans="1:7" x14ac:dyDescent="0.25">
      <c r="A698" s="7" t="s">
        <v>919</v>
      </c>
      <c r="B698" s="40">
        <v>715</v>
      </c>
      <c r="D698" s="7" t="s">
        <v>919</v>
      </c>
      <c r="F698" s="7" t="s">
        <v>919</v>
      </c>
      <c r="G698" s="40">
        <v>18</v>
      </c>
    </row>
    <row r="699" spans="1:7" x14ac:dyDescent="0.25">
      <c r="A699" s="7" t="s">
        <v>920</v>
      </c>
      <c r="B699" s="40">
        <v>22</v>
      </c>
      <c r="D699" s="7" t="s">
        <v>920</v>
      </c>
      <c r="F699" s="7" t="s">
        <v>920</v>
      </c>
      <c r="G699" s="40">
        <v>712</v>
      </c>
    </row>
    <row r="700" spans="1:7" x14ac:dyDescent="0.25">
      <c r="A700" s="7" t="s">
        <v>921</v>
      </c>
      <c r="B700" s="40">
        <v>1000</v>
      </c>
      <c r="D700" s="7" t="s">
        <v>921</v>
      </c>
      <c r="F700" s="7" t="s">
        <v>921</v>
      </c>
      <c r="G700" s="40">
        <v>2000</v>
      </c>
    </row>
    <row r="701" spans="1:7" x14ac:dyDescent="0.25">
      <c r="A701" s="7" t="s">
        <v>922</v>
      </c>
      <c r="B701" s="40">
        <v>70</v>
      </c>
      <c r="D701" s="7" t="s">
        <v>922</v>
      </c>
      <c r="F701" s="7" t="s">
        <v>922</v>
      </c>
      <c r="G701" s="40">
        <v>23</v>
      </c>
    </row>
    <row r="702" spans="1:7" x14ac:dyDescent="0.25">
      <c r="A702" s="7" t="s">
        <v>924</v>
      </c>
      <c r="B702" s="40">
        <v>50</v>
      </c>
      <c r="D702" s="7" t="s">
        <v>924</v>
      </c>
      <c r="F702" s="7" t="s">
        <v>924</v>
      </c>
      <c r="G702" s="40">
        <v>26</v>
      </c>
    </row>
    <row r="703" spans="1:7" x14ac:dyDescent="0.25">
      <c r="A703" s="7" t="s">
        <v>925</v>
      </c>
      <c r="B703" s="40">
        <v>9</v>
      </c>
      <c r="D703" s="7" t="s">
        <v>925</v>
      </c>
      <c r="F703" s="7" t="s">
        <v>925</v>
      </c>
      <c r="G703" s="40">
        <v>15</v>
      </c>
    </row>
    <row r="704" spans="1:7" x14ac:dyDescent="0.25">
      <c r="A704" s="7" t="s">
        <v>926</v>
      </c>
      <c r="B704" s="40">
        <v>25</v>
      </c>
      <c r="D704" s="7" t="s">
        <v>926</v>
      </c>
      <c r="F704" s="7" t="s">
        <v>926</v>
      </c>
      <c r="G704" s="40">
        <v>197</v>
      </c>
    </row>
    <row r="705" spans="1:7" x14ac:dyDescent="0.25">
      <c r="A705" s="7" t="s">
        <v>927</v>
      </c>
      <c r="B705" s="40">
        <v>225</v>
      </c>
      <c r="D705" s="7" t="s">
        <v>927</v>
      </c>
      <c r="F705" s="7" t="s">
        <v>927</v>
      </c>
      <c r="G705" s="40">
        <v>60</v>
      </c>
    </row>
    <row r="706" spans="1:7" x14ac:dyDescent="0.25">
      <c r="A706" s="7" t="s">
        <v>928</v>
      </c>
      <c r="B706" s="40">
        <v>50</v>
      </c>
      <c r="D706" s="7" t="s">
        <v>928</v>
      </c>
      <c r="F706" s="7" t="s">
        <v>928</v>
      </c>
      <c r="G706" s="40">
        <v>103</v>
      </c>
    </row>
    <row r="707" spans="1:7" x14ac:dyDescent="0.25">
      <c r="A707" s="7" t="s">
        <v>929</v>
      </c>
      <c r="B707" s="40">
        <v>145</v>
      </c>
      <c r="D707" s="7" t="s">
        <v>929</v>
      </c>
      <c r="F707" s="7" t="s">
        <v>929</v>
      </c>
      <c r="G707" s="40">
        <v>820</v>
      </c>
    </row>
    <row r="708" spans="1:7" x14ac:dyDescent="0.25">
      <c r="A708" s="7" t="s">
        <v>930</v>
      </c>
      <c r="B708" s="40">
        <v>200</v>
      </c>
      <c r="D708" s="7" t="s">
        <v>930</v>
      </c>
      <c r="F708" s="7" t="s">
        <v>930</v>
      </c>
      <c r="G708" s="40">
        <v>652</v>
      </c>
    </row>
    <row r="709" spans="1:7" x14ac:dyDescent="0.25">
      <c r="A709" s="7" t="s">
        <v>931</v>
      </c>
      <c r="B709" s="40">
        <v>12</v>
      </c>
      <c r="D709" s="7" t="s">
        <v>931</v>
      </c>
      <c r="F709" s="7" t="s">
        <v>931</v>
      </c>
      <c r="G709" s="40">
        <v>233</v>
      </c>
    </row>
    <row r="710" spans="1:7" x14ac:dyDescent="0.25">
      <c r="A710" s="7" t="s">
        <v>932</v>
      </c>
      <c r="B710" s="40">
        <v>200</v>
      </c>
      <c r="D710" s="7" t="s">
        <v>932</v>
      </c>
      <c r="F710" s="7" t="s">
        <v>932</v>
      </c>
      <c r="G710" s="40">
        <v>5100</v>
      </c>
    </row>
    <row r="711" spans="1:7" x14ac:dyDescent="0.25">
      <c r="A711" s="7" t="s">
        <v>933</v>
      </c>
      <c r="B711" s="40">
        <v>0</v>
      </c>
      <c r="D711" s="7" t="s">
        <v>933</v>
      </c>
      <c r="F711" s="7" t="s">
        <v>933</v>
      </c>
      <c r="G711" s="40">
        <v>114</v>
      </c>
    </row>
    <row r="712" spans="1:7" x14ac:dyDescent="0.25">
      <c r="A712" s="7" t="s">
        <v>934</v>
      </c>
      <c r="B712" s="40">
        <v>208</v>
      </c>
      <c r="D712" s="7" t="s">
        <v>934</v>
      </c>
      <c r="F712" s="7" t="s">
        <v>934</v>
      </c>
      <c r="G712" s="40">
        <v>44</v>
      </c>
    </row>
    <row r="713" spans="1:7" x14ac:dyDescent="0.25">
      <c r="A713" s="7" t="s">
        <v>935</v>
      </c>
      <c r="B713" s="40">
        <v>20</v>
      </c>
      <c r="D713" s="7" t="s">
        <v>935</v>
      </c>
      <c r="F713" s="7" t="s">
        <v>935</v>
      </c>
      <c r="G713" s="40">
        <v>68</v>
      </c>
    </row>
    <row r="714" spans="1:7" x14ac:dyDescent="0.25">
      <c r="A714" s="7" t="s">
        <v>936</v>
      </c>
      <c r="B714" s="40">
        <v>35</v>
      </c>
      <c r="D714" s="7" t="s">
        <v>936</v>
      </c>
      <c r="F714" s="7" t="s">
        <v>936</v>
      </c>
      <c r="G714" s="40">
        <v>40</v>
      </c>
    </row>
    <row r="715" spans="1:7" x14ac:dyDescent="0.25">
      <c r="A715" s="7" t="s">
        <v>937</v>
      </c>
      <c r="B715" s="40">
        <v>50</v>
      </c>
      <c r="D715" s="7" t="s">
        <v>937</v>
      </c>
      <c r="F715" s="7" t="s">
        <v>937</v>
      </c>
      <c r="G715" s="40">
        <v>28</v>
      </c>
    </row>
    <row r="716" spans="1:7" x14ac:dyDescent="0.25">
      <c r="A716" s="7" t="s">
        <v>938</v>
      </c>
      <c r="B716" s="40">
        <v>6</v>
      </c>
      <c r="D716" s="7" t="s">
        <v>938</v>
      </c>
      <c r="F716" s="7" t="s">
        <v>938</v>
      </c>
      <c r="G716" s="40">
        <v>12</v>
      </c>
    </row>
    <row r="717" spans="1:7" x14ac:dyDescent="0.25">
      <c r="A717" s="7" t="s">
        <v>939</v>
      </c>
      <c r="B717" s="40">
        <v>39</v>
      </c>
      <c r="D717" s="7" t="s">
        <v>939</v>
      </c>
      <c r="F717" s="7" t="s">
        <v>939</v>
      </c>
      <c r="G717" s="40">
        <v>118</v>
      </c>
    </row>
    <row r="718" spans="1:7" x14ac:dyDescent="0.25">
      <c r="A718" s="7" t="s">
        <v>940</v>
      </c>
      <c r="B718" s="40">
        <v>50</v>
      </c>
      <c r="D718" s="7" t="s">
        <v>940</v>
      </c>
      <c r="F718" s="7" t="s">
        <v>940</v>
      </c>
      <c r="G718" s="40">
        <v>430</v>
      </c>
    </row>
    <row r="719" spans="1:7" x14ac:dyDescent="0.25">
      <c r="A719" s="7" t="s">
        <v>941</v>
      </c>
      <c r="B719" s="40">
        <v>0</v>
      </c>
      <c r="D719" s="7" t="s">
        <v>941</v>
      </c>
      <c r="F719" s="7" t="s">
        <v>941</v>
      </c>
      <c r="G719" s="40">
        <v>194</v>
      </c>
    </row>
    <row r="720" spans="1:7" x14ac:dyDescent="0.25">
      <c r="A720" s="7" t="s">
        <v>942</v>
      </c>
      <c r="B720" s="40">
        <v>900</v>
      </c>
      <c r="D720" s="7" t="s">
        <v>942</v>
      </c>
      <c r="F720" s="7" t="s">
        <v>942</v>
      </c>
      <c r="G720" s="40">
        <v>1200</v>
      </c>
    </row>
    <row r="721" spans="1:7" x14ac:dyDescent="0.25">
      <c r="A721" s="7" t="s">
        <v>943</v>
      </c>
      <c r="B721" s="40">
        <v>100</v>
      </c>
      <c r="D721" s="7" t="s">
        <v>943</v>
      </c>
      <c r="F721" s="7" t="s">
        <v>943</v>
      </c>
      <c r="G721" s="40">
        <v>205</v>
      </c>
    </row>
    <row r="722" spans="1:7" x14ac:dyDescent="0.25">
      <c r="A722" s="7" t="s">
        <v>944</v>
      </c>
      <c r="B722" s="40">
        <v>500</v>
      </c>
      <c r="D722" s="7" t="s">
        <v>944</v>
      </c>
      <c r="F722" s="7" t="s">
        <v>944</v>
      </c>
      <c r="G722" s="40">
        <v>11</v>
      </c>
    </row>
    <row r="723" spans="1:7" x14ac:dyDescent="0.25">
      <c r="A723" s="7" t="s">
        <v>945</v>
      </c>
      <c r="B723" s="40">
        <v>100</v>
      </c>
      <c r="D723" s="7" t="s">
        <v>945</v>
      </c>
      <c r="F723" s="7" t="s">
        <v>945</v>
      </c>
      <c r="G723" s="40">
        <v>416</v>
      </c>
    </row>
    <row r="724" spans="1:7" x14ac:dyDescent="0.25">
      <c r="A724" s="7" t="s">
        <v>946</v>
      </c>
      <c r="B724" s="40">
        <v>72</v>
      </c>
      <c r="D724" s="7" t="s">
        <v>946</v>
      </c>
      <c r="F724" s="7" t="s">
        <v>946</v>
      </c>
      <c r="G724" s="40">
        <v>281</v>
      </c>
    </row>
    <row r="725" spans="1:7" x14ac:dyDescent="0.25">
      <c r="A725" s="7" t="s">
        <v>948</v>
      </c>
      <c r="B725" s="40">
        <v>0</v>
      </c>
      <c r="D725" s="7" t="s">
        <v>948</v>
      </c>
      <c r="F725" s="7" t="s">
        <v>948</v>
      </c>
      <c r="G725" s="40">
        <v>108</v>
      </c>
    </row>
    <row r="726" spans="1:7" x14ac:dyDescent="0.25">
      <c r="A726" s="7" t="s">
        <v>949</v>
      </c>
      <c r="B726" s="40">
        <v>390</v>
      </c>
      <c r="D726" s="7" t="s">
        <v>949</v>
      </c>
      <c r="F726" s="7" t="s">
        <v>949</v>
      </c>
      <c r="G726" s="40">
        <v>2800</v>
      </c>
    </row>
    <row r="727" spans="1:7" x14ac:dyDescent="0.25">
      <c r="A727" s="7" t="s">
        <v>950</v>
      </c>
      <c r="B727" s="40">
        <v>1300</v>
      </c>
      <c r="D727" s="7" t="s">
        <v>950</v>
      </c>
      <c r="F727" s="7" t="s">
        <v>950</v>
      </c>
      <c r="G727" s="40">
        <v>3000</v>
      </c>
    </row>
    <row r="728" spans="1:7" x14ac:dyDescent="0.25">
      <c r="A728" s="7" t="s">
        <v>951</v>
      </c>
      <c r="B728" s="40">
        <v>35</v>
      </c>
      <c r="D728" s="7" t="s">
        <v>951</v>
      </c>
      <c r="F728" s="7" t="s">
        <v>951</v>
      </c>
      <c r="G728" s="40">
        <v>244</v>
      </c>
    </row>
    <row r="729" spans="1:7" x14ac:dyDescent="0.25">
      <c r="A729" s="7" t="s">
        <v>952</v>
      </c>
      <c r="B729" s="40">
        <v>75</v>
      </c>
      <c r="D729" s="7" t="s">
        <v>952</v>
      </c>
      <c r="F729" s="7" t="s">
        <v>952</v>
      </c>
      <c r="G729" s="40">
        <v>332</v>
      </c>
    </row>
    <row r="730" spans="1:7" x14ac:dyDescent="0.25">
      <c r="A730" s="7" t="s">
        <v>953</v>
      </c>
      <c r="B730" s="40">
        <v>0</v>
      </c>
      <c r="D730" s="7" t="s">
        <v>953</v>
      </c>
      <c r="F730" s="7" t="s">
        <v>953</v>
      </c>
      <c r="G730" s="40">
        <v>0</v>
      </c>
    </row>
    <row r="731" spans="1:7" x14ac:dyDescent="0.25">
      <c r="A731" s="7" t="s">
        <v>954</v>
      </c>
      <c r="B731" s="40">
        <v>0</v>
      </c>
      <c r="D731" s="7" t="s">
        <v>954</v>
      </c>
      <c r="F731" s="7" t="s">
        <v>954</v>
      </c>
      <c r="G731" s="40">
        <v>188</v>
      </c>
    </row>
    <row r="732" spans="1:7" x14ac:dyDescent="0.25">
      <c r="A732" s="7" t="s">
        <v>955</v>
      </c>
      <c r="B732" s="40">
        <v>0</v>
      </c>
      <c r="D732" s="7" t="s">
        <v>955</v>
      </c>
      <c r="F732" s="7" t="s">
        <v>955</v>
      </c>
      <c r="G732" s="40">
        <v>17</v>
      </c>
    </row>
    <row r="733" spans="1:7" x14ac:dyDescent="0.25">
      <c r="A733" s="7" t="s">
        <v>957</v>
      </c>
      <c r="B733" s="40">
        <v>47</v>
      </c>
      <c r="D733" s="7" t="s">
        <v>957</v>
      </c>
      <c r="F733" s="7" t="s">
        <v>957</v>
      </c>
      <c r="G733" s="40">
        <v>169</v>
      </c>
    </row>
    <row r="734" spans="1:7" x14ac:dyDescent="0.25">
      <c r="A734" s="7" t="s">
        <v>958</v>
      </c>
      <c r="B734" s="40">
        <v>0</v>
      </c>
      <c r="D734" s="7" t="s">
        <v>958</v>
      </c>
      <c r="F734" s="7" t="s">
        <v>958</v>
      </c>
      <c r="G734" s="40">
        <v>91</v>
      </c>
    </row>
    <row r="735" spans="1:7" x14ac:dyDescent="0.25">
      <c r="A735" s="7" t="s">
        <v>959</v>
      </c>
      <c r="B735" s="40">
        <v>3074</v>
      </c>
      <c r="D735" s="7" t="s">
        <v>959</v>
      </c>
      <c r="F735" s="7" t="s">
        <v>959</v>
      </c>
      <c r="G735" s="40">
        <v>4100</v>
      </c>
    </row>
    <row r="736" spans="1:7" x14ac:dyDescent="0.25">
      <c r="A736" s="7" t="s">
        <v>960</v>
      </c>
      <c r="B736" s="40">
        <v>150</v>
      </c>
      <c r="D736" s="7" t="s">
        <v>960</v>
      </c>
      <c r="F736" s="7" t="s">
        <v>960</v>
      </c>
      <c r="G736" s="40">
        <v>1600</v>
      </c>
    </row>
    <row r="737" spans="1:7" x14ac:dyDescent="0.25">
      <c r="A737" s="7" t="s">
        <v>961</v>
      </c>
      <c r="B737" s="40">
        <v>160</v>
      </c>
      <c r="D737" s="7" t="s">
        <v>961</v>
      </c>
      <c r="F737" s="7" t="s">
        <v>961</v>
      </c>
      <c r="G737" s="40">
        <v>229</v>
      </c>
    </row>
    <row r="738" spans="1:7" x14ac:dyDescent="0.25">
      <c r="A738" s="7" t="s">
        <v>962</v>
      </c>
      <c r="B738" s="40">
        <v>0</v>
      </c>
      <c r="D738" s="7" t="s">
        <v>962</v>
      </c>
      <c r="F738" s="7" t="s">
        <v>962</v>
      </c>
      <c r="G738" s="40">
        <v>8</v>
      </c>
    </row>
    <row r="739" spans="1:7" x14ac:dyDescent="0.25">
      <c r="A739" s="7" t="s">
        <v>963</v>
      </c>
      <c r="B739" s="40">
        <v>349</v>
      </c>
      <c r="D739" s="7" t="s">
        <v>963</v>
      </c>
      <c r="F739" s="7" t="s">
        <v>963</v>
      </c>
      <c r="G739" s="40">
        <v>227</v>
      </c>
    </row>
    <row r="740" spans="1:7" x14ac:dyDescent="0.25">
      <c r="A740" s="7" t="s">
        <v>964</v>
      </c>
      <c r="B740" s="40">
        <v>18</v>
      </c>
      <c r="D740" s="7" t="s">
        <v>964</v>
      </c>
      <c r="F740" s="7" t="s">
        <v>964</v>
      </c>
      <c r="G740" s="40">
        <v>23</v>
      </c>
    </row>
    <row r="741" spans="1:7" x14ac:dyDescent="0.25">
      <c r="A741" s="7" t="s">
        <v>965</v>
      </c>
      <c r="B741" s="40">
        <v>120</v>
      </c>
      <c r="D741" s="7" t="s">
        <v>965</v>
      </c>
      <c r="F741" s="7" t="s">
        <v>965</v>
      </c>
      <c r="G741" s="40">
        <v>138</v>
      </c>
    </row>
    <row r="742" spans="1:7" x14ac:dyDescent="0.25">
      <c r="A742" s="7" t="s">
        <v>966</v>
      </c>
      <c r="B742" s="40">
        <v>39</v>
      </c>
      <c r="D742" s="7" t="s">
        <v>966</v>
      </c>
      <c r="F742" s="7" t="s">
        <v>966</v>
      </c>
      <c r="G742" s="40">
        <v>240</v>
      </c>
    </row>
    <row r="743" spans="1:7" x14ac:dyDescent="0.25">
      <c r="A743" s="7" t="s">
        <v>967</v>
      </c>
      <c r="B743" s="40">
        <v>25</v>
      </c>
      <c r="D743" s="7" t="s">
        <v>967</v>
      </c>
      <c r="F743" s="7" t="s">
        <v>967</v>
      </c>
      <c r="G743" s="40">
        <v>10</v>
      </c>
    </row>
    <row r="744" spans="1:7" x14ac:dyDescent="0.25">
      <c r="A744" s="7" t="s">
        <v>968</v>
      </c>
      <c r="B744" s="40">
        <v>8</v>
      </c>
      <c r="D744" s="7" t="s">
        <v>968</v>
      </c>
      <c r="F744" s="7" t="s">
        <v>968</v>
      </c>
      <c r="G744" s="40">
        <v>10</v>
      </c>
    </row>
    <row r="745" spans="1:7" x14ac:dyDescent="0.25">
      <c r="A745" s="7" t="s">
        <v>969</v>
      </c>
      <c r="B745" s="40">
        <v>0</v>
      </c>
      <c r="D745" s="7" t="s">
        <v>969</v>
      </c>
      <c r="F745" s="7" t="s">
        <v>969</v>
      </c>
      <c r="G745" s="40">
        <v>21</v>
      </c>
    </row>
    <row r="746" spans="1:7" x14ac:dyDescent="0.25">
      <c r="A746" s="7" t="s">
        <v>970</v>
      </c>
      <c r="B746" s="40">
        <v>217</v>
      </c>
      <c r="D746" s="7" t="s">
        <v>970</v>
      </c>
      <c r="F746" s="7" t="s">
        <v>970</v>
      </c>
      <c r="G746" s="40">
        <v>893</v>
      </c>
    </row>
    <row r="747" spans="1:7" x14ac:dyDescent="0.25">
      <c r="A747" s="7" t="s">
        <v>971</v>
      </c>
      <c r="B747" s="40">
        <v>170</v>
      </c>
      <c r="D747" s="7" t="s">
        <v>971</v>
      </c>
      <c r="F747" s="7" t="s">
        <v>971</v>
      </c>
      <c r="G747" s="40">
        <v>2</v>
      </c>
    </row>
    <row r="748" spans="1:7" x14ac:dyDescent="0.25">
      <c r="A748" s="7" t="s">
        <v>972</v>
      </c>
      <c r="B748" s="40">
        <v>40</v>
      </c>
      <c r="D748" s="7" t="s">
        <v>972</v>
      </c>
      <c r="F748" s="7" t="s">
        <v>972</v>
      </c>
      <c r="G748" s="40">
        <v>11</v>
      </c>
    </row>
    <row r="749" spans="1:7" x14ac:dyDescent="0.25">
      <c r="A749" s="7" t="s">
        <v>973</v>
      </c>
      <c r="B749" s="40">
        <v>800</v>
      </c>
      <c r="D749" s="7" t="s">
        <v>973</v>
      </c>
      <c r="F749" s="7" t="s">
        <v>973</v>
      </c>
      <c r="G749" s="40">
        <v>7400</v>
      </c>
    </row>
    <row r="750" spans="1:7" x14ac:dyDescent="0.25">
      <c r="A750" s="7" t="s">
        <v>974</v>
      </c>
      <c r="B750" s="40">
        <v>300</v>
      </c>
      <c r="D750" s="7" t="s">
        <v>974</v>
      </c>
      <c r="F750" s="7" t="s">
        <v>974</v>
      </c>
      <c r="G750" s="40">
        <v>521</v>
      </c>
    </row>
    <row r="751" spans="1:7" x14ac:dyDescent="0.25">
      <c r="A751" s="7" t="s">
        <v>975</v>
      </c>
      <c r="B751" s="40">
        <v>115</v>
      </c>
      <c r="D751" s="7" t="s">
        <v>975</v>
      </c>
      <c r="F751" s="7" t="s">
        <v>975</v>
      </c>
      <c r="G751" s="40">
        <v>654</v>
      </c>
    </row>
    <row r="752" spans="1:7" x14ac:dyDescent="0.25">
      <c r="A752" s="7" t="s">
        <v>976</v>
      </c>
      <c r="B752" s="40">
        <v>147</v>
      </c>
      <c r="D752" s="7" t="s">
        <v>976</v>
      </c>
      <c r="F752" s="7" t="s">
        <v>976</v>
      </c>
      <c r="G752" s="40">
        <v>1120</v>
      </c>
    </row>
    <row r="753" spans="1:7" x14ac:dyDescent="0.25">
      <c r="A753" s="7" t="s">
        <v>977</v>
      </c>
      <c r="B753" s="40">
        <v>15</v>
      </c>
      <c r="D753" s="7" t="s">
        <v>977</v>
      </c>
      <c r="F753" s="7" t="s">
        <v>977</v>
      </c>
      <c r="G753" s="40">
        <v>40</v>
      </c>
    </row>
    <row r="754" spans="1:7" x14ac:dyDescent="0.25">
      <c r="A754" s="7" t="s">
        <v>978</v>
      </c>
      <c r="B754" s="40">
        <v>15</v>
      </c>
      <c r="D754" s="7" t="s">
        <v>978</v>
      </c>
      <c r="F754" s="7" t="s">
        <v>978</v>
      </c>
      <c r="G754" s="40">
        <v>556</v>
      </c>
    </row>
    <row r="755" spans="1:7" x14ac:dyDescent="0.25">
      <c r="A755" s="7" t="s">
        <v>979</v>
      </c>
      <c r="B755" s="40">
        <v>16</v>
      </c>
      <c r="D755" s="7" t="s">
        <v>979</v>
      </c>
      <c r="F755" s="7" t="s">
        <v>979</v>
      </c>
      <c r="G755" s="40">
        <v>0</v>
      </c>
    </row>
    <row r="756" spans="1:7" x14ac:dyDescent="0.25">
      <c r="A756" s="7" t="s">
        <v>980</v>
      </c>
      <c r="B756" s="40">
        <v>70</v>
      </c>
      <c r="D756" s="7" t="s">
        <v>980</v>
      </c>
      <c r="F756" s="7" t="s">
        <v>980</v>
      </c>
      <c r="G756" s="40">
        <v>180</v>
      </c>
    </row>
    <row r="757" spans="1:7" x14ac:dyDescent="0.25">
      <c r="A757" s="7" t="s">
        <v>981</v>
      </c>
      <c r="B757" s="40">
        <v>101</v>
      </c>
      <c r="D757" s="7" t="s">
        <v>981</v>
      </c>
      <c r="F757" s="7" t="s">
        <v>981</v>
      </c>
      <c r="G757" s="40">
        <v>564</v>
      </c>
    </row>
    <row r="758" spans="1:7" x14ac:dyDescent="0.25">
      <c r="A758" s="7" t="s">
        <v>982</v>
      </c>
      <c r="B758" s="40">
        <v>180</v>
      </c>
      <c r="D758" s="7" t="s">
        <v>982</v>
      </c>
      <c r="F758" s="7" t="s">
        <v>982</v>
      </c>
      <c r="G758" s="40">
        <v>706</v>
      </c>
    </row>
    <row r="759" spans="1:7" x14ac:dyDescent="0.25">
      <c r="A759" s="7" t="s">
        <v>983</v>
      </c>
      <c r="B759" s="40">
        <v>12</v>
      </c>
      <c r="D759" s="7" t="s">
        <v>983</v>
      </c>
      <c r="F759" s="7" t="s">
        <v>983</v>
      </c>
      <c r="G759" s="40">
        <v>19</v>
      </c>
    </row>
    <row r="760" spans="1:7" x14ac:dyDescent="0.25">
      <c r="A760" s="7" t="s">
        <v>984</v>
      </c>
      <c r="B760" s="40">
        <v>50</v>
      </c>
      <c r="D760" s="7" t="s">
        <v>984</v>
      </c>
      <c r="F760" s="7" t="s">
        <v>984</v>
      </c>
      <c r="G760" s="40">
        <v>53</v>
      </c>
    </row>
    <row r="761" spans="1:7" x14ac:dyDescent="0.25">
      <c r="A761" s="7" t="s">
        <v>985</v>
      </c>
      <c r="B761" s="40">
        <v>40</v>
      </c>
      <c r="D761" s="7" t="s">
        <v>985</v>
      </c>
      <c r="F761" s="7" t="s">
        <v>985</v>
      </c>
      <c r="G761" s="40">
        <v>44</v>
      </c>
    </row>
    <row r="762" spans="1:7" x14ac:dyDescent="0.25">
      <c r="A762" s="7" t="s">
        <v>986</v>
      </c>
      <c r="B762" s="40">
        <v>1100</v>
      </c>
      <c r="D762" s="7" t="s">
        <v>986</v>
      </c>
      <c r="F762" s="7" t="s">
        <v>986</v>
      </c>
      <c r="G762" s="40">
        <v>134</v>
      </c>
    </row>
    <row r="763" spans="1:7" x14ac:dyDescent="0.25">
      <c r="A763" s="7" t="s">
        <v>987</v>
      </c>
      <c r="B763" s="40">
        <v>400</v>
      </c>
      <c r="D763" s="7" t="s">
        <v>987</v>
      </c>
      <c r="F763" s="7" t="s">
        <v>987</v>
      </c>
      <c r="G763" s="40">
        <v>1136</v>
      </c>
    </row>
    <row r="764" spans="1:7" x14ac:dyDescent="0.25">
      <c r="A764" s="7" t="s">
        <v>988</v>
      </c>
      <c r="B764" s="40">
        <v>23</v>
      </c>
      <c r="D764" s="7" t="s">
        <v>988</v>
      </c>
      <c r="F764" s="7" t="s">
        <v>988</v>
      </c>
      <c r="G764" s="40">
        <v>91</v>
      </c>
    </row>
    <row r="765" spans="1:7" x14ac:dyDescent="0.25">
      <c r="A765" s="7" t="s">
        <v>989</v>
      </c>
      <c r="B765" s="40">
        <v>90</v>
      </c>
      <c r="D765" s="7" t="s">
        <v>989</v>
      </c>
      <c r="F765" s="7" t="s">
        <v>989</v>
      </c>
      <c r="G765" s="40">
        <v>38</v>
      </c>
    </row>
    <row r="766" spans="1:7" x14ac:dyDescent="0.25">
      <c r="A766" s="7" t="s">
        <v>991</v>
      </c>
      <c r="B766" s="40">
        <v>0</v>
      </c>
      <c r="D766" s="7" t="s">
        <v>991</v>
      </c>
      <c r="F766" s="7" t="s">
        <v>991</v>
      </c>
      <c r="G766" s="40">
        <v>1</v>
      </c>
    </row>
    <row r="767" spans="1:7" x14ac:dyDescent="0.25">
      <c r="A767" s="7" t="s">
        <v>992</v>
      </c>
      <c r="B767" s="40">
        <v>70</v>
      </c>
      <c r="D767" s="7" t="s">
        <v>992</v>
      </c>
      <c r="F767" s="7" t="s">
        <v>992</v>
      </c>
      <c r="G767" s="40">
        <v>183</v>
      </c>
    </row>
    <row r="768" spans="1:7" x14ac:dyDescent="0.25">
      <c r="A768" s="7" t="s">
        <v>993</v>
      </c>
      <c r="B768" s="40">
        <v>36</v>
      </c>
      <c r="D768" s="7" t="s">
        <v>993</v>
      </c>
      <c r="F768" s="7" t="s">
        <v>993</v>
      </c>
      <c r="G768" s="40">
        <v>188</v>
      </c>
    </row>
    <row r="769" spans="1:7" x14ac:dyDescent="0.25">
      <c r="A769" s="7" t="s">
        <v>994</v>
      </c>
      <c r="B769" s="40">
        <v>40</v>
      </c>
      <c r="D769" s="7" t="s">
        <v>994</v>
      </c>
      <c r="F769" s="7" t="s">
        <v>994</v>
      </c>
      <c r="G769" s="40">
        <v>34</v>
      </c>
    </row>
    <row r="770" spans="1:7" x14ac:dyDescent="0.25">
      <c r="A770" s="7" t="s">
        <v>995</v>
      </c>
      <c r="B770" s="40">
        <v>300</v>
      </c>
      <c r="D770" s="7" t="s">
        <v>995</v>
      </c>
      <c r="F770" s="7" t="s">
        <v>995</v>
      </c>
      <c r="G770" s="40">
        <v>1900</v>
      </c>
    </row>
    <row r="771" spans="1:7" x14ac:dyDescent="0.25">
      <c r="A771" s="7" t="s">
        <v>996</v>
      </c>
      <c r="B771" s="40">
        <v>13</v>
      </c>
      <c r="D771" s="7" t="s">
        <v>996</v>
      </c>
      <c r="F771" s="7" t="s">
        <v>996</v>
      </c>
      <c r="G771" s="40">
        <v>94</v>
      </c>
    </row>
    <row r="772" spans="1:7" x14ac:dyDescent="0.25">
      <c r="A772" s="7" t="s">
        <v>997</v>
      </c>
      <c r="B772" s="40">
        <v>1300</v>
      </c>
      <c r="D772" s="7" t="s">
        <v>997</v>
      </c>
      <c r="F772" s="7" t="s">
        <v>997</v>
      </c>
      <c r="G772" s="40">
        <v>0</v>
      </c>
    </row>
    <row r="773" spans="1:7" x14ac:dyDescent="0.25">
      <c r="A773" s="7" t="s">
        <v>998</v>
      </c>
      <c r="B773" s="40">
        <v>84</v>
      </c>
      <c r="D773" s="7" t="s">
        <v>998</v>
      </c>
      <c r="F773" s="7" t="s">
        <v>998</v>
      </c>
      <c r="G773" s="40">
        <v>170</v>
      </c>
    </row>
    <row r="774" spans="1:7" x14ac:dyDescent="0.25">
      <c r="A774" s="7" t="s">
        <v>999</v>
      </c>
      <c r="B774" s="40">
        <v>110</v>
      </c>
      <c r="D774" s="7" t="s">
        <v>999</v>
      </c>
      <c r="F774" s="7" t="s">
        <v>999</v>
      </c>
      <c r="G774" s="40">
        <v>347</v>
      </c>
    </row>
    <row r="775" spans="1:7" x14ac:dyDescent="0.25">
      <c r="A775" s="7" t="s">
        <v>1001</v>
      </c>
      <c r="B775" s="40">
        <v>0</v>
      </c>
      <c r="D775" s="7" t="s">
        <v>1001</v>
      </c>
      <c r="F775" s="7" t="s">
        <v>1001</v>
      </c>
      <c r="G775" s="40">
        <v>40</v>
      </c>
    </row>
    <row r="776" spans="1:7" x14ac:dyDescent="0.25">
      <c r="A776" s="7" t="s">
        <v>1002</v>
      </c>
      <c r="B776" s="40">
        <v>50</v>
      </c>
      <c r="D776" s="7" t="s">
        <v>1002</v>
      </c>
      <c r="F776" s="7" t="s">
        <v>1002</v>
      </c>
      <c r="G776" s="40">
        <v>52</v>
      </c>
    </row>
    <row r="777" spans="1:7" x14ac:dyDescent="0.25">
      <c r="A777" s="7" t="s">
        <v>1003</v>
      </c>
      <c r="B777" s="40">
        <v>335</v>
      </c>
      <c r="D777" s="7" t="s">
        <v>1003</v>
      </c>
      <c r="F777" s="7" t="s">
        <v>1003</v>
      </c>
      <c r="G777" s="40">
        <v>1178</v>
      </c>
    </row>
    <row r="778" spans="1:7" x14ac:dyDescent="0.25">
      <c r="A778" s="7" t="s">
        <v>1004</v>
      </c>
      <c r="B778" s="40">
        <v>29</v>
      </c>
      <c r="D778" s="7" t="s">
        <v>1004</v>
      </c>
      <c r="F778" s="7" t="s">
        <v>1004</v>
      </c>
      <c r="G778" s="40">
        <v>705</v>
      </c>
    </row>
    <row r="779" spans="1:7" x14ac:dyDescent="0.25">
      <c r="A779" s="7" t="s">
        <v>1005</v>
      </c>
      <c r="B779" s="40">
        <v>30</v>
      </c>
      <c r="D779" s="7" t="s">
        <v>1005</v>
      </c>
      <c r="F779" s="7" t="s">
        <v>1005</v>
      </c>
      <c r="G779" s="40">
        <v>41</v>
      </c>
    </row>
    <row r="780" spans="1:7" x14ac:dyDescent="0.25">
      <c r="A780" s="7" t="s">
        <v>1006</v>
      </c>
      <c r="B780" s="40">
        <v>45</v>
      </c>
      <c r="D780" s="7" t="s">
        <v>1006</v>
      </c>
      <c r="F780" s="7" t="s">
        <v>1006</v>
      </c>
      <c r="G780" s="40">
        <v>130</v>
      </c>
    </row>
    <row r="781" spans="1:7" x14ac:dyDescent="0.25">
      <c r="A781" s="7" t="s">
        <v>1009</v>
      </c>
      <c r="B781" s="40">
        <v>0</v>
      </c>
      <c r="D781" s="7" t="s">
        <v>1009</v>
      </c>
      <c r="F781" s="7" t="s">
        <v>1009</v>
      </c>
      <c r="G781" s="40">
        <v>62</v>
      </c>
    </row>
    <row r="782" spans="1:7" x14ac:dyDescent="0.25">
      <c r="A782" s="7" t="s">
        <v>1010</v>
      </c>
      <c r="B782" s="40">
        <v>140</v>
      </c>
      <c r="D782" s="7" t="s">
        <v>1010</v>
      </c>
      <c r="F782" s="7" t="s">
        <v>1010</v>
      </c>
      <c r="G782" s="40">
        <v>356</v>
      </c>
    </row>
    <row r="783" spans="1:7" x14ac:dyDescent="0.25">
      <c r="A783" s="7" t="s">
        <v>1011</v>
      </c>
      <c r="B783" s="40">
        <v>80</v>
      </c>
      <c r="D783" s="7" t="s">
        <v>1011</v>
      </c>
      <c r="F783" s="7" t="s">
        <v>1011</v>
      </c>
      <c r="G783" s="40">
        <v>379</v>
      </c>
    </row>
    <row r="784" spans="1:7" x14ac:dyDescent="0.25">
      <c r="A784" s="7" t="s">
        <v>1012</v>
      </c>
      <c r="B784" s="40">
        <v>147</v>
      </c>
      <c r="D784" s="7" t="s">
        <v>1012</v>
      </c>
      <c r="F784" s="7" t="s">
        <v>1012</v>
      </c>
      <c r="G784" s="40">
        <v>73</v>
      </c>
    </row>
    <row r="785" spans="1:7" x14ac:dyDescent="0.25">
      <c r="A785" s="7" t="s">
        <v>1013</v>
      </c>
      <c r="B785" s="40">
        <v>27</v>
      </c>
      <c r="D785" s="7" t="s">
        <v>1013</v>
      </c>
      <c r="F785" s="7" t="s">
        <v>1013</v>
      </c>
      <c r="G785" s="40">
        <v>56</v>
      </c>
    </row>
    <row r="786" spans="1:7" x14ac:dyDescent="0.25">
      <c r="A786" s="7" t="s">
        <v>1014</v>
      </c>
      <c r="B786" s="40">
        <v>23</v>
      </c>
      <c r="D786" s="7" t="s">
        <v>1014</v>
      </c>
      <c r="F786" s="7" t="s">
        <v>1014</v>
      </c>
      <c r="G786" s="40">
        <v>3</v>
      </c>
    </row>
    <row r="787" spans="1:7" x14ac:dyDescent="0.25">
      <c r="A787" s="7" t="s">
        <v>1015</v>
      </c>
      <c r="B787" s="40">
        <v>100</v>
      </c>
      <c r="D787" s="7" t="s">
        <v>1015</v>
      </c>
      <c r="F787" s="7" t="s">
        <v>1015</v>
      </c>
      <c r="G787" s="40">
        <v>17</v>
      </c>
    </row>
    <row r="788" spans="1:7" x14ac:dyDescent="0.25">
      <c r="A788" s="7" t="s">
        <v>1016</v>
      </c>
      <c r="B788" s="40">
        <v>52</v>
      </c>
      <c r="D788" s="7" t="s">
        <v>1016</v>
      </c>
      <c r="F788" s="7" t="s">
        <v>1016</v>
      </c>
      <c r="G788" s="40">
        <v>481</v>
      </c>
    </row>
    <row r="789" spans="1:7" x14ac:dyDescent="0.25">
      <c r="A789" s="7" t="s">
        <v>1017</v>
      </c>
      <c r="B789" s="40">
        <v>100</v>
      </c>
      <c r="D789" s="7" t="s">
        <v>1017</v>
      </c>
      <c r="F789" s="7" t="s">
        <v>1017</v>
      </c>
      <c r="G789" s="40">
        <v>59</v>
      </c>
    </row>
    <row r="790" spans="1:7" x14ac:dyDescent="0.25">
      <c r="A790" s="7" t="s">
        <v>1018</v>
      </c>
      <c r="B790" s="40">
        <v>685</v>
      </c>
      <c r="D790" s="7" t="s">
        <v>1018</v>
      </c>
      <c r="F790" s="7" t="s">
        <v>1018</v>
      </c>
      <c r="G790" s="40">
        <v>784</v>
      </c>
    </row>
    <row r="791" spans="1:7" x14ac:dyDescent="0.25">
      <c r="A791" s="7" t="s">
        <v>1019</v>
      </c>
      <c r="B791" s="40">
        <v>500</v>
      </c>
      <c r="D791" s="7" t="s">
        <v>1019</v>
      </c>
      <c r="F791" s="7" t="s">
        <v>1019</v>
      </c>
      <c r="G791" s="40">
        <v>200</v>
      </c>
    </row>
    <row r="792" spans="1:7" x14ac:dyDescent="0.25">
      <c r="A792" s="7" t="s">
        <v>1021</v>
      </c>
      <c r="B792" s="40">
        <v>200</v>
      </c>
      <c r="D792" s="7" t="s">
        <v>1021</v>
      </c>
      <c r="F792" s="7" t="s">
        <v>1021</v>
      </c>
      <c r="G792" s="40">
        <v>0</v>
      </c>
    </row>
    <row r="793" spans="1:7" x14ac:dyDescent="0.25">
      <c r="A793" s="7" t="s">
        <v>1023</v>
      </c>
      <c r="B793" s="40">
        <v>18</v>
      </c>
      <c r="D793" s="7" t="s">
        <v>1023</v>
      </c>
      <c r="F793" s="7" t="s">
        <v>1023</v>
      </c>
      <c r="G793" s="40">
        <v>180</v>
      </c>
    </row>
    <row r="794" spans="1:7" x14ac:dyDescent="0.25">
      <c r="A794" s="7" t="s">
        <v>1024</v>
      </c>
      <c r="B794" s="40">
        <v>30</v>
      </c>
      <c r="D794" s="7" t="s">
        <v>1024</v>
      </c>
      <c r="F794" s="7" t="s">
        <v>1024</v>
      </c>
      <c r="G794" s="40">
        <v>114</v>
      </c>
    </row>
    <row r="795" spans="1:7" x14ac:dyDescent="0.25">
      <c r="A795" s="7" t="s">
        <v>1025</v>
      </c>
      <c r="B795" s="40">
        <v>86</v>
      </c>
      <c r="D795" s="7" t="s">
        <v>1025</v>
      </c>
      <c r="F795" s="7" t="s">
        <v>1025</v>
      </c>
      <c r="G795" s="40">
        <v>72</v>
      </c>
    </row>
    <row r="796" spans="1:7" x14ac:dyDescent="0.25">
      <c r="A796" s="7" t="s">
        <v>1026</v>
      </c>
      <c r="B796" s="40">
        <v>150</v>
      </c>
      <c r="D796" s="7" t="s">
        <v>1026</v>
      </c>
      <c r="F796" s="7" t="s">
        <v>1026</v>
      </c>
      <c r="G796" s="40">
        <v>24</v>
      </c>
    </row>
    <row r="797" spans="1:7" x14ac:dyDescent="0.25">
      <c r="A797" s="7" t="s">
        <v>1027</v>
      </c>
      <c r="B797" s="40">
        <v>0</v>
      </c>
      <c r="D797" s="7" t="s">
        <v>1027</v>
      </c>
      <c r="F797" s="7" t="s">
        <v>1027</v>
      </c>
      <c r="G797" s="40">
        <v>20</v>
      </c>
    </row>
    <row r="798" spans="1:7" x14ac:dyDescent="0.25">
      <c r="A798" s="7" t="s">
        <v>1028</v>
      </c>
      <c r="B798" s="40">
        <v>0</v>
      </c>
      <c r="D798" s="7" t="s">
        <v>1028</v>
      </c>
      <c r="F798" s="7" t="s">
        <v>1028</v>
      </c>
      <c r="G798" s="40">
        <v>158</v>
      </c>
    </row>
    <row r="799" spans="1:7" x14ac:dyDescent="0.25">
      <c r="A799" s="7" t="s">
        <v>1029</v>
      </c>
      <c r="B799" s="40">
        <v>130</v>
      </c>
      <c r="D799" s="7" t="s">
        <v>1029</v>
      </c>
      <c r="F799" s="7" t="s">
        <v>1029</v>
      </c>
      <c r="G799" s="40">
        <v>6</v>
      </c>
    </row>
    <row r="800" spans="1:7" x14ac:dyDescent="0.25">
      <c r="A800" s="7" t="s">
        <v>1030</v>
      </c>
      <c r="B800" s="40">
        <v>40</v>
      </c>
      <c r="D800" s="7" t="s">
        <v>1030</v>
      </c>
      <c r="F800" s="7" t="s">
        <v>1030</v>
      </c>
      <c r="G800" s="40">
        <v>30</v>
      </c>
    </row>
    <row r="801" spans="1:7" x14ac:dyDescent="0.25">
      <c r="A801" s="7" t="s">
        <v>1031</v>
      </c>
      <c r="B801" s="40">
        <v>14</v>
      </c>
      <c r="D801" s="7" t="s">
        <v>1031</v>
      </c>
      <c r="F801" s="7" t="s">
        <v>1031</v>
      </c>
      <c r="G801" s="40">
        <v>0</v>
      </c>
    </row>
    <row r="802" spans="1:7" x14ac:dyDescent="0.25">
      <c r="A802" s="7" t="s">
        <v>1032</v>
      </c>
      <c r="B802" s="40">
        <v>40</v>
      </c>
      <c r="D802" s="7" t="s">
        <v>1032</v>
      </c>
      <c r="F802" s="7" t="s">
        <v>1032</v>
      </c>
      <c r="G802" s="40">
        <v>84</v>
      </c>
    </row>
    <row r="803" spans="1:7" x14ac:dyDescent="0.25">
      <c r="A803" s="7" t="s">
        <v>1033</v>
      </c>
      <c r="B803" s="40">
        <v>80</v>
      </c>
      <c r="D803" s="7" t="s">
        <v>1033</v>
      </c>
      <c r="F803" s="7" t="s">
        <v>1033</v>
      </c>
      <c r="G803" s="40">
        <v>335</v>
      </c>
    </row>
    <row r="804" spans="1:7" x14ac:dyDescent="0.25">
      <c r="A804" s="7" t="s">
        <v>1035</v>
      </c>
      <c r="B804" s="40">
        <v>300</v>
      </c>
      <c r="D804" s="7" t="s">
        <v>1035</v>
      </c>
      <c r="F804" s="7" t="s">
        <v>1035</v>
      </c>
      <c r="G804" s="40">
        <v>1200</v>
      </c>
    </row>
    <row r="805" spans="1:7" x14ac:dyDescent="0.25">
      <c r="A805" s="7" t="s">
        <v>1036</v>
      </c>
      <c r="B805" s="40">
        <v>80</v>
      </c>
      <c r="D805" s="7" t="s">
        <v>1036</v>
      </c>
      <c r="F805" s="7" t="s">
        <v>1036</v>
      </c>
      <c r="G805" s="40">
        <v>765</v>
      </c>
    </row>
    <row r="806" spans="1:7" x14ac:dyDescent="0.25">
      <c r="A806" s="7" t="s">
        <v>1037</v>
      </c>
      <c r="B806" s="40">
        <v>0</v>
      </c>
      <c r="D806" s="7" t="s">
        <v>1037</v>
      </c>
      <c r="F806" s="7" t="s">
        <v>1037</v>
      </c>
      <c r="G806" s="40">
        <v>33</v>
      </c>
    </row>
    <row r="807" spans="1:7" x14ac:dyDescent="0.25">
      <c r="A807" s="7" t="s">
        <v>1038</v>
      </c>
      <c r="B807" s="40">
        <v>13</v>
      </c>
      <c r="D807" s="7" t="s">
        <v>1038</v>
      </c>
      <c r="F807" s="7" t="s">
        <v>1038</v>
      </c>
      <c r="G807" s="40">
        <v>0</v>
      </c>
    </row>
    <row r="808" spans="1:7" x14ac:dyDescent="0.25">
      <c r="A808" s="7" t="s">
        <v>1039</v>
      </c>
      <c r="B808" s="40">
        <v>960</v>
      </c>
      <c r="D808" s="7" t="s">
        <v>1039</v>
      </c>
      <c r="F808" s="7" t="s">
        <v>1039</v>
      </c>
      <c r="G808" s="40">
        <v>154</v>
      </c>
    </row>
    <row r="809" spans="1:7" x14ac:dyDescent="0.25">
      <c r="A809" s="7" t="s">
        <v>1040</v>
      </c>
      <c r="B809" s="40">
        <v>35</v>
      </c>
      <c r="D809" s="7" t="s">
        <v>1040</v>
      </c>
      <c r="F809" s="7" t="s">
        <v>1040</v>
      </c>
      <c r="G809" s="40">
        <v>2</v>
      </c>
    </row>
    <row r="810" spans="1:7" x14ac:dyDescent="0.25">
      <c r="A810" s="7" t="s">
        <v>1041</v>
      </c>
      <c r="B810" s="40">
        <v>50</v>
      </c>
      <c r="D810" s="7" t="s">
        <v>1041</v>
      </c>
      <c r="F810" s="7" t="s">
        <v>1041</v>
      </c>
      <c r="G810" s="40">
        <v>165</v>
      </c>
    </row>
    <row r="811" spans="1:7" x14ac:dyDescent="0.25">
      <c r="A811" s="7" t="s">
        <v>1042</v>
      </c>
      <c r="B811" s="40">
        <v>27</v>
      </c>
      <c r="D811" s="7" t="s">
        <v>1042</v>
      </c>
      <c r="F811" s="7" t="s">
        <v>1042</v>
      </c>
      <c r="G811" s="40">
        <v>115</v>
      </c>
    </row>
    <row r="812" spans="1:7" x14ac:dyDescent="0.25">
      <c r="A812" s="7" t="s">
        <v>1043</v>
      </c>
      <c r="B812" s="40">
        <v>100</v>
      </c>
      <c r="D812" s="7" t="s">
        <v>1043</v>
      </c>
      <c r="F812" s="7" t="s">
        <v>1043</v>
      </c>
      <c r="G812" s="40">
        <v>118</v>
      </c>
    </row>
    <row r="813" spans="1:7" x14ac:dyDescent="0.25">
      <c r="A813" s="7" t="s">
        <v>1044</v>
      </c>
      <c r="B813" s="40">
        <v>223</v>
      </c>
      <c r="D813" s="7" t="s">
        <v>1044</v>
      </c>
      <c r="F813" s="7" t="s">
        <v>1044</v>
      </c>
      <c r="G813" s="40">
        <v>84</v>
      </c>
    </row>
    <row r="814" spans="1:7" x14ac:dyDescent="0.25">
      <c r="A814" s="7" t="s">
        <v>1045</v>
      </c>
      <c r="B814" s="40">
        <v>0</v>
      </c>
      <c r="D814" s="7" t="s">
        <v>1045</v>
      </c>
      <c r="F814" s="7" t="s">
        <v>1045</v>
      </c>
      <c r="G814" s="40">
        <v>16</v>
      </c>
    </row>
    <row r="815" spans="1:7" x14ac:dyDescent="0.25">
      <c r="A815" s="7" t="s">
        <v>1046</v>
      </c>
      <c r="B815" s="40">
        <v>50</v>
      </c>
      <c r="D815" s="7" t="s">
        <v>1046</v>
      </c>
      <c r="F815" s="7" t="s">
        <v>1046</v>
      </c>
      <c r="G815" s="40">
        <v>46</v>
      </c>
    </row>
    <row r="816" spans="1:7" x14ac:dyDescent="0.25">
      <c r="A816" s="7" t="s">
        <v>1047</v>
      </c>
      <c r="B816" s="40">
        <v>0</v>
      </c>
      <c r="D816" s="7" t="s">
        <v>1047</v>
      </c>
      <c r="F816" s="7" t="s">
        <v>1047</v>
      </c>
      <c r="G816" s="40">
        <v>12</v>
      </c>
    </row>
    <row r="817" spans="1:7" x14ac:dyDescent="0.25">
      <c r="A817" s="7" t="s">
        <v>1048</v>
      </c>
      <c r="B817" s="40">
        <v>450</v>
      </c>
      <c r="D817" s="7" t="s">
        <v>1048</v>
      </c>
      <c r="F817" s="7" t="s">
        <v>1048</v>
      </c>
      <c r="G817" s="40">
        <v>157</v>
      </c>
    </row>
    <row r="818" spans="1:7" x14ac:dyDescent="0.25">
      <c r="A818" s="7" t="s">
        <v>1049</v>
      </c>
      <c r="B818" s="40">
        <v>0</v>
      </c>
      <c r="D818" s="7" t="s">
        <v>1049</v>
      </c>
      <c r="F818" s="7" t="s">
        <v>1049</v>
      </c>
      <c r="G818" s="40">
        <v>57</v>
      </c>
    </row>
    <row r="819" spans="1:7" x14ac:dyDescent="0.25">
      <c r="A819" s="7" t="s">
        <v>1050</v>
      </c>
      <c r="B819" s="40">
        <v>1289</v>
      </c>
      <c r="D819" s="7" t="s">
        <v>1050</v>
      </c>
      <c r="F819" s="7" t="s">
        <v>1050</v>
      </c>
      <c r="G819" s="40">
        <v>3678</v>
      </c>
    </row>
    <row r="820" spans="1:7" x14ac:dyDescent="0.25">
      <c r="A820" s="7" t="s">
        <v>1051</v>
      </c>
      <c r="B820" s="40">
        <v>32</v>
      </c>
      <c r="D820" s="7" t="s">
        <v>1051</v>
      </c>
      <c r="F820" s="7" t="s">
        <v>1051</v>
      </c>
      <c r="G820" s="40">
        <v>17</v>
      </c>
    </row>
    <row r="821" spans="1:7" x14ac:dyDescent="0.25">
      <c r="A821" s="7" t="s">
        <v>1052</v>
      </c>
      <c r="B821" s="40">
        <v>25</v>
      </c>
      <c r="D821" s="7" t="s">
        <v>1052</v>
      </c>
      <c r="F821" s="7" t="s">
        <v>1052</v>
      </c>
      <c r="G821" s="40">
        <v>18</v>
      </c>
    </row>
    <row r="822" spans="1:7" x14ac:dyDescent="0.25">
      <c r="A822" s="7" t="s">
        <v>1053</v>
      </c>
      <c r="B822" s="40">
        <v>800</v>
      </c>
      <c r="D822" s="7" t="s">
        <v>1053</v>
      </c>
      <c r="F822" s="7" t="s">
        <v>1053</v>
      </c>
      <c r="G822" s="40">
        <v>1014</v>
      </c>
    </row>
    <row r="823" spans="1:7" x14ac:dyDescent="0.25">
      <c r="A823" s="7" t="s">
        <v>1054</v>
      </c>
      <c r="B823" s="40">
        <v>25</v>
      </c>
      <c r="D823" s="7" t="s">
        <v>1054</v>
      </c>
      <c r="F823" s="7" t="s">
        <v>1054</v>
      </c>
      <c r="G823" s="40">
        <v>0</v>
      </c>
    </row>
    <row r="824" spans="1:7" x14ac:dyDescent="0.25">
      <c r="A824" s="7" t="s">
        <v>1055</v>
      </c>
      <c r="B824" s="40">
        <v>76</v>
      </c>
      <c r="D824" s="7" t="s">
        <v>1055</v>
      </c>
      <c r="F824" s="7" t="s">
        <v>1055</v>
      </c>
      <c r="G824" s="40">
        <v>56</v>
      </c>
    </row>
    <row r="825" spans="1:7" x14ac:dyDescent="0.25">
      <c r="A825" s="7" t="s">
        <v>1056</v>
      </c>
      <c r="B825" s="40">
        <v>34</v>
      </c>
      <c r="D825" s="7" t="s">
        <v>1056</v>
      </c>
      <c r="F825" s="7" t="s">
        <v>1056</v>
      </c>
      <c r="G825" s="40">
        <v>81</v>
      </c>
    </row>
    <row r="826" spans="1:7" x14ac:dyDescent="0.25">
      <c r="A826" s="7" t="s">
        <v>1057</v>
      </c>
      <c r="B826" s="40">
        <v>23</v>
      </c>
      <c r="D826" s="7" t="s">
        <v>1057</v>
      </c>
      <c r="F826" s="7" t="s">
        <v>1057</v>
      </c>
      <c r="G826" s="40">
        <v>203</v>
      </c>
    </row>
    <row r="827" spans="1:7" x14ac:dyDescent="0.25">
      <c r="A827" s="7" t="s">
        <v>1105</v>
      </c>
      <c r="B827" s="40">
        <v>193367</v>
      </c>
      <c r="D827" s="7" t="s">
        <v>1105</v>
      </c>
      <c r="F827" s="7" t="s">
        <v>1105</v>
      </c>
      <c r="G827" s="40">
        <v>428898</v>
      </c>
    </row>
  </sheetData>
  <mergeCells count="1">
    <mergeCell ref="E4: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89E9-F33C-437A-AECF-FBB1796EC864}">
  <dimension ref="A1:R1001"/>
  <sheetViews>
    <sheetView topLeftCell="B1" zoomScale="71" zoomScaleNormal="71" workbookViewId="0">
      <selection activeCell="S8" sqref="S8"/>
    </sheetView>
  </sheetViews>
  <sheetFormatPr defaultRowHeight="15" x14ac:dyDescent="0.25"/>
  <cols>
    <col min="1" max="1" width="11.140625" style="3" customWidth="1"/>
    <col min="2" max="2" width="15.7109375" bestFit="1" customWidth="1"/>
    <col min="3" max="3" width="14.140625" bestFit="1" customWidth="1"/>
    <col min="4" max="4" width="15.140625" customWidth="1"/>
    <col min="5" max="6" width="21" customWidth="1"/>
    <col min="7" max="7" width="29.5703125" customWidth="1"/>
    <col min="8" max="8" width="11.5703125" style="2" bestFit="1" customWidth="1"/>
    <col min="9" max="9" width="12.140625" style="2" customWidth="1"/>
    <col min="10" max="10" width="12.140625" style="20" customWidth="1"/>
    <col min="11" max="11" width="12.140625" style="18" customWidth="1"/>
    <col min="12" max="12" width="9.140625" style="16"/>
    <col min="15" max="15" width="13.42578125" customWidth="1"/>
    <col min="16" max="16" width="25.42578125" customWidth="1"/>
  </cols>
  <sheetData>
    <row r="1" spans="1:18" x14ac:dyDescent="0.25">
      <c r="A1" s="4" t="s">
        <v>0</v>
      </c>
      <c r="B1" s="5" t="s">
        <v>1</v>
      </c>
      <c r="C1" s="5" t="s">
        <v>2</v>
      </c>
      <c r="D1" s="5" t="s">
        <v>3</v>
      </c>
      <c r="E1" s="5" t="s">
        <v>4</v>
      </c>
      <c r="F1" s="5" t="s">
        <v>1108</v>
      </c>
      <c r="G1" s="5" t="s">
        <v>5</v>
      </c>
      <c r="H1" s="10" t="s">
        <v>6</v>
      </c>
      <c r="I1" s="10" t="s">
        <v>1072</v>
      </c>
      <c r="J1" s="19" t="s">
        <v>1102</v>
      </c>
      <c r="K1" s="17" t="s">
        <v>1101</v>
      </c>
      <c r="L1" s="15" t="s">
        <v>7</v>
      </c>
      <c r="M1" s="5" t="s">
        <v>8</v>
      </c>
      <c r="N1" s="5" t="s">
        <v>9</v>
      </c>
      <c r="O1" s="5" t="s">
        <v>10</v>
      </c>
      <c r="P1" s="5" t="s">
        <v>11</v>
      </c>
      <c r="Q1" s="5" t="s">
        <v>1125</v>
      </c>
      <c r="R1" s="5" t="s">
        <v>1126</v>
      </c>
    </row>
    <row r="2" spans="1:18" x14ac:dyDescent="0.25">
      <c r="A2" s="3" t="s">
        <v>12</v>
      </c>
      <c r="B2" t="s">
        <v>13</v>
      </c>
      <c r="C2" t="s">
        <v>14</v>
      </c>
      <c r="D2" t="s">
        <v>15</v>
      </c>
      <c r="E2" s="1">
        <v>0.06</v>
      </c>
      <c r="F2" s="1" t="str">
        <f>IF(Table1[[#This Row],[percentage_laid_off]]=100%,"1","0")</f>
        <v>0</v>
      </c>
      <c r="G2" t="s">
        <v>16</v>
      </c>
      <c r="H2" s="2">
        <v>44767</v>
      </c>
      <c r="I2" s="2" t="str">
        <f>TEXT(Table1[[#This Row],[date]],"dd")</f>
        <v>25</v>
      </c>
      <c r="J2" s="20">
        <f>DATE(2000,MONTH(Table1[[#This Row],[date]]),1)</f>
        <v>36708</v>
      </c>
      <c r="K2" s="18" t="str">
        <f>TEXT(Table1[[#This Row],[date]],"mm")</f>
        <v>07</v>
      </c>
      <c r="L2" s="16" t="s">
        <v>61</v>
      </c>
      <c r="M2">
        <f>YEAR(Table1[[#This Row],[date]])</f>
        <v>2022</v>
      </c>
      <c r="N2" t="s">
        <v>18</v>
      </c>
      <c r="O2" t="s">
        <v>19</v>
      </c>
      <c r="P2">
        <v>272</v>
      </c>
      <c r="Q2">
        <f>AVERAGE(Table1[funds_raised_millions])</f>
        <v>470.28289473684208</v>
      </c>
      <c r="R2">
        <f>AVERAGE(Table1[total_laid_off])</f>
        <v>236.96936274509804</v>
      </c>
    </row>
    <row r="3" spans="1:18" x14ac:dyDescent="0.25">
      <c r="A3" s="3" t="s">
        <v>20</v>
      </c>
      <c r="B3" t="s">
        <v>21</v>
      </c>
      <c r="C3" t="s">
        <v>22</v>
      </c>
      <c r="D3">
        <v>9</v>
      </c>
      <c r="E3" s="1">
        <v>0.09</v>
      </c>
      <c r="F3" s="1" t="str">
        <f>IF(Table1[[#This Row],[percentage_laid_off]]=100%,"1","0")</f>
        <v>0</v>
      </c>
      <c r="G3" t="s">
        <v>16</v>
      </c>
      <c r="H3" s="2">
        <v>44882</v>
      </c>
      <c r="I3" s="2" t="str">
        <f>TEXT(Table1[[#This Row],[date]],"dd")</f>
        <v>17</v>
      </c>
      <c r="J3" s="20">
        <f>DATE(2000,MONTH(Table1[[#This Row],[date]]),1)</f>
        <v>36831</v>
      </c>
      <c r="K3" s="18" t="str">
        <f>TEXT(Table1[[#This Row],[date]],"mm")</f>
        <v>11</v>
      </c>
      <c r="L3" s="16" t="s">
        <v>23</v>
      </c>
      <c r="M3">
        <v>2022</v>
      </c>
      <c r="N3" t="s">
        <v>24</v>
      </c>
      <c r="O3" t="s">
        <v>25</v>
      </c>
      <c r="P3">
        <v>35</v>
      </c>
      <c r="Q3">
        <f>AVERAGE(Table1[funds_raised_millions])</f>
        <v>470.28289473684208</v>
      </c>
      <c r="R3">
        <f>AVERAGE(Table1[total_laid_off])</f>
        <v>236.96936274509804</v>
      </c>
    </row>
    <row r="4" spans="1:18" x14ac:dyDescent="0.25">
      <c r="A4" s="3" t="s">
        <v>26</v>
      </c>
      <c r="B4" t="s">
        <v>27</v>
      </c>
      <c r="C4" t="s">
        <v>22</v>
      </c>
      <c r="D4">
        <v>19</v>
      </c>
      <c r="E4" s="1">
        <v>0.17</v>
      </c>
      <c r="F4" s="1" t="str">
        <f>IF(Table1[[#This Row],[percentage_laid_off]]=100%,"1","0")</f>
        <v>0</v>
      </c>
      <c r="G4" t="s">
        <v>28</v>
      </c>
      <c r="H4" s="2">
        <v>44953</v>
      </c>
      <c r="I4" s="2" t="str">
        <f>TEXT(Table1[[#This Row],[date]],"dd")</f>
        <v>27</v>
      </c>
      <c r="J4" s="20">
        <f>DATE(2000,MONTH(Table1[[#This Row],[date]]),1)</f>
        <v>36526</v>
      </c>
      <c r="K4" s="18" t="str">
        <f>TEXT(Table1[[#This Row],[date]],"mm")</f>
        <v>01</v>
      </c>
      <c r="L4" s="16" t="s">
        <v>29</v>
      </c>
      <c r="M4">
        <v>2023</v>
      </c>
      <c r="N4" t="s">
        <v>30</v>
      </c>
      <c r="O4" t="s">
        <v>31</v>
      </c>
      <c r="P4">
        <v>21</v>
      </c>
      <c r="Q4">
        <f>AVERAGE(Table1[funds_raised_millions])</f>
        <v>470.28289473684208</v>
      </c>
      <c r="R4">
        <f>AVERAGE(Table1[total_laid_off])</f>
        <v>236.96936274509804</v>
      </c>
    </row>
    <row r="5" spans="1:18" x14ac:dyDescent="0.25">
      <c r="A5" s="3" t="s">
        <v>32</v>
      </c>
      <c r="B5" t="s">
        <v>33</v>
      </c>
      <c r="C5" t="s">
        <v>34</v>
      </c>
      <c r="D5">
        <v>12</v>
      </c>
      <c r="E5" t="s">
        <v>15</v>
      </c>
      <c r="F5" s="1" t="str">
        <f>IF(Table1[[#This Row],[percentage_laid_off]]=100%,"1","0")</f>
        <v>0</v>
      </c>
      <c r="G5" t="b">
        <v>0</v>
      </c>
      <c r="H5" s="2">
        <v>44755</v>
      </c>
      <c r="I5" s="2" t="str">
        <f>TEXT(Table1[[#This Row],[date]],"dd")</f>
        <v>13</v>
      </c>
      <c r="J5" s="20">
        <f>DATE(2000,MONTH(Table1[[#This Row],[date]]),1)</f>
        <v>36708</v>
      </c>
      <c r="K5" s="18" t="str">
        <f>TEXT(Table1[[#This Row],[date]],"mm")</f>
        <v>07</v>
      </c>
      <c r="L5" s="16" t="s">
        <v>17</v>
      </c>
      <c r="M5">
        <v>2022</v>
      </c>
      <c r="N5" t="s">
        <v>35</v>
      </c>
      <c r="O5" t="s">
        <v>19</v>
      </c>
      <c r="P5">
        <v>120</v>
      </c>
      <c r="Q5">
        <f>AVERAGE(Table1[funds_raised_millions])</f>
        <v>470.28289473684208</v>
      </c>
      <c r="R5">
        <f>AVERAGE(Table1[total_laid_off])</f>
        <v>236.96936274509804</v>
      </c>
    </row>
    <row r="6" spans="1:18" x14ac:dyDescent="0.25">
      <c r="A6" s="3" t="s">
        <v>36</v>
      </c>
      <c r="B6" t="s">
        <v>13</v>
      </c>
      <c r="C6" t="s">
        <v>14</v>
      </c>
      <c r="D6">
        <v>100</v>
      </c>
      <c r="E6" s="1">
        <v>0.08</v>
      </c>
      <c r="F6" s="1" t="str">
        <f>IF(Table1[[#This Row],[percentage_laid_off]]=100%,"1","0")</f>
        <v>0</v>
      </c>
      <c r="G6" t="s">
        <v>16</v>
      </c>
      <c r="H6" s="2">
        <v>44659</v>
      </c>
      <c r="I6" s="2" t="str">
        <f>TEXT(Table1[[#This Row],[date]],"dd")</f>
        <v>08</v>
      </c>
      <c r="J6" s="20">
        <f>DATE(2000,MONTH(Table1[[#This Row],[date]]),1)</f>
        <v>36617</v>
      </c>
      <c r="K6" s="18" t="str">
        <f>TEXT(Table1[[#This Row],[date]],"mm")</f>
        <v>04</v>
      </c>
      <c r="L6" s="16" t="s">
        <v>37</v>
      </c>
      <c r="M6">
        <v>2022</v>
      </c>
      <c r="N6" t="s">
        <v>38</v>
      </c>
      <c r="O6" t="s">
        <v>19</v>
      </c>
      <c r="P6">
        <v>242</v>
      </c>
      <c r="Q6">
        <f>AVERAGE(Table1[funds_raised_millions])</f>
        <v>470.28289473684208</v>
      </c>
      <c r="R6">
        <f>AVERAGE(Table1[total_laid_off])</f>
        <v>236.96936274509804</v>
      </c>
    </row>
    <row r="7" spans="1:18" x14ac:dyDescent="0.25">
      <c r="A7" s="3" t="s">
        <v>39</v>
      </c>
      <c r="B7" t="s">
        <v>40</v>
      </c>
      <c r="C7" t="s">
        <v>41</v>
      </c>
      <c r="D7">
        <v>70</v>
      </c>
      <c r="E7" s="1">
        <v>0.17</v>
      </c>
      <c r="F7" s="1" t="str">
        <f>IF(Table1[[#This Row],[percentage_laid_off]]=100%,"1","0")</f>
        <v>0</v>
      </c>
      <c r="G7" t="s">
        <v>28</v>
      </c>
      <c r="H7" s="2">
        <v>43865</v>
      </c>
      <c r="I7" s="2" t="str">
        <f>TEXT(Table1[[#This Row],[date]],"dd")</f>
        <v>04</v>
      </c>
      <c r="J7" s="20">
        <f>DATE(2000,MONTH(Table1[[#This Row],[date]]),1)</f>
        <v>36557</v>
      </c>
      <c r="K7" s="18" t="str">
        <f>TEXT(Table1[[#This Row],[date]],"mm")</f>
        <v>02</v>
      </c>
      <c r="L7" s="16" t="s">
        <v>42</v>
      </c>
      <c r="M7">
        <v>2020</v>
      </c>
      <c r="N7" t="s">
        <v>43</v>
      </c>
      <c r="O7" t="s">
        <v>19</v>
      </c>
      <c r="P7">
        <v>253</v>
      </c>
      <c r="Q7">
        <f>AVERAGE(Table1[funds_raised_millions])</f>
        <v>470.28289473684208</v>
      </c>
      <c r="R7">
        <f>AVERAGE(Table1[total_laid_off])</f>
        <v>236.96936274509804</v>
      </c>
    </row>
    <row r="8" spans="1:18" x14ac:dyDescent="0.25">
      <c r="A8" s="3" t="s">
        <v>44</v>
      </c>
      <c r="B8" t="s">
        <v>45</v>
      </c>
      <c r="C8" t="s">
        <v>46</v>
      </c>
      <c r="D8">
        <v>90</v>
      </c>
      <c r="E8" s="1">
        <v>0.12</v>
      </c>
      <c r="F8" s="1" t="str">
        <f>IF(Table1[[#This Row],[percentage_laid_off]]=100%,"1","0")</f>
        <v>0</v>
      </c>
      <c r="G8" t="s">
        <v>28</v>
      </c>
      <c r="H8" s="2">
        <v>44567</v>
      </c>
      <c r="I8" s="2" t="str">
        <f>TEXT(Table1[[#This Row],[date]],"dd")</f>
        <v>06</v>
      </c>
      <c r="J8" s="20">
        <f>DATE(2000,MONTH(Table1[[#This Row],[date]]),1)</f>
        <v>36526</v>
      </c>
      <c r="K8" s="18" t="str">
        <f>TEXT(Table1[[#This Row],[date]],"mm")</f>
        <v>01</v>
      </c>
      <c r="L8" s="16" t="s">
        <v>29</v>
      </c>
      <c r="M8">
        <v>2022</v>
      </c>
      <c r="N8" t="s">
        <v>47</v>
      </c>
      <c r="O8" t="s">
        <v>48</v>
      </c>
      <c r="P8">
        <v>250</v>
      </c>
      <c r="Q8">
        <f>AVERAGE(Table1[funds_raised_millions])</f>
        <v>470.28289473684208</v>
      </c>
      <c r="R8">
        <f>AVERAGE(Table1[total_laid_off])</f>
        <v>236.96936274509804</v>
      </c>
    </row>
    <row r="9" spans="1:18" x14ac:dyDescent="0.25">
      <c r="A9" s="3" t="s">
        <v>44</v>
      </c>
      <c r="B9" t="s">
        <v>45</v>
      </c>
      <c r="C9" t="s">
        <v>46</v>
      </c>
      <c r="D9">
        <v>100</v>
      </c>
      <c r="E9" s="1">
        <v>0.15</v>
      </c>
      <c r="F9" s="1" t="str">
        <f>IF(Table1[[#This Row],[percentage_laid_off]]=100%,"1","0")</f>
        <v>0</v>
      </c>
      <c r="G9" t="s">
        <v>28</v>
      </c>
      <c r="H9" s="2">
        <v>44570</v>
      </c>
      <c r="I9" s="2" t="str">
        <f>TEXT(Table1[[#This Row],[date]],"dd")</f>
        <v>09</v>
      </c>
      <c r="J9" s="20">
        <f>DATE(2000,MONTH(Table1[[#This Row],[date]]),1)</f>
        <v>36526</v>
      </c>
      <c r="K9" s="18" t="str">
        <f>TEXT(Table1[[#This Row],[date]],"mm")</f>
        <v>01</v>
      </c>
      <c r="L9" s="16" t="s">
        <v>29</v>
      </c>
      <c r="M9">
        <v>2022</v>
      </c>
      <c r="N9" t="s">
        <v>47</v>
      </c>
      <c r="O9" t="s">
        <v>48</v>
      </c>
      <c r="P9">
        <v>250</v>
      </c>
      <c r="Q9">
        <f>AVERAGE(Table1[funds_raised_millions])</f>
        <v>470.28289473684208</v>
      </c>
      <c r="R9">
        <f>AVERAGE(Table1[total_laid_off])</f>
        <v>236.96936274509804</v>
      </c>
    </row>
    <row r="10" spans="1:18" x14ac:dyDescent="0.25">
      <c r="A10" s="3" t="s">
        <v>49</v>
      </c>
      <c r="B10" t="s">
        <v>50</v>
      </c>
      <c r="C10" t="s">
        <v>51</v>
      </c>
      <c r="D10" t="s">
        <v>15</v>
      </c>
      <c r="E10" s="1">
        <v>0.2</v>
      </c>
      <c r="F10" s="1" t="str">
        <f>IF(Table1[[#This Row],[percentage_laid_off]]=100%,"1","0")</f>
        <v>0</v>
      </c>
      <c r="G10" t="s">
        <v>28</v>
      </c>
      <c r="H10" s="2">
        <v>44770</v>
      </c>
      <c r="I10" s="2" t="str">
        <f>TEXT(Table1[[#This Row],[date]],"dd")</f>
        <v>28</v>
      </c>
      <c r="J10" s="20">
        <f>DATE(2000,MONTH(Table1[[#This Row],[date]]),1)</f>
        <v>36708</v>
      </c>
      <c r="K10" s="18" t="str">
        <f>TEXT(Table1[[#This Row],[date]],"mm")</f>
        <v>07</v>
      </c>
      <c r="L10" s="16" t="s">
        <v>17</v>
      </c>
      <c r="M10">
        <v>2022</v>
      </c>
      <c r="N10" t="s">
        <v>38</v>
      </c>
      <c r="O10" t="s">
        <v>19</v>
      </c>
      <c r="P10">
        <v>426</v>
      </c>
      <c r="Q10">
        <f>AVERAGE(Table1[funds_raised_millions])</f>
        <v>470.28289473684208</v>
      </c>
      <c r="R10">
        <f>AVERAGE(Table1[total_laid_off])</f>
        <v>236.96936274509804</v>
      </c>
    </row>
    <row r="11" spans="1:18" x14ac:dyDescent="0.25">
      <c r="A11" s="3" t="s">
        <v>52</v>
      </c>
      <c r="B11" t="s">
        <v>50</v>
      </c>
      <c r="C11" t="s">
        <v>14</v>
      </c>
      <c r="D11">
        <v>95</v>
      </c>
      <c r="E11" s="1">
        <v>0.3</v>
      </c>
      <c r="F11" s="1" t="str">
        <f>IF(Table1[[#This Row],[percentage_laid_off]]=100%,"1","0")</f>
        <v>0</v>
      </c>
      <c r="G11" t="s">
        <v>28</v>
      </c>
      <c r="H11" s="2">
        <v>44802</v>
      </c>
      <c r="I11" s="2" t="str">
        <f>TEXT(Table1[[#This Row],[date]],"dd")</f>
        <v>29</v>
      </c>
      <c r="J11" s="20">
        <f>DATE(2000,MONTH(Table1[[#This Row],[date]]),1)</f>
        <v>36739</v>
      </c>
      <c r="K11" s="18" t="str">
        <f>TEXT(Table1[[#This Row],[date]],"mm")</f>
        <v>08</v>
      </c>
      <c r="L11" s="16" t="s">
        <v>53</v>
      </c>
      <c r="M11">
        <v>2022</v>
      </c>
      <c r="N11" t="s">
        <v>30</v>
      </c>
      <c r="O11" t="s">
        <v>19</v>
      </c>
      <c r="P11">
        <v>44</v>
      </c>
      <c r="Q11">
        <f>AVERAGE(Table1[funds_raised_millions])</f>
        <v>470.28289473684208</v>
      </c>
      <c r="R11">
        <f>AVERAGE(Table1[total_laid_off])</f>
        <v>236.96936274509804</v>
      </c>
    </row>
    <row r="12" spans="1:18" x14ac:dyDescent="0.25">
      <c r="A12" s="3" t="s">
        <v>54</v>
      </c>
      <c r="B12" t="s">
        <v>55</v>
      </c>
      <c r="C12" t="s">
        <v>56</v>
      </c>
      <c r="D12" t="s">
        <v>15</v>
      </c>
      <c r="E12" s="1">
        <v>0.25</v>
      </c>
      <c r="F12" s="1" t="str">
        <f>IF(Table1[[#This Row],[percentage_laid_off]]=100%,"1","0")</f>
        <v>0</v>
      </c>
      <c r="G12" t="s">
        <v>28</v>
      </c>
      <c r="H12" s="2">
        <v>44626</v>
      </c>
      <c r="I12" s="2" t="str">
        <f>TEXT(Table1[[#This Row],[date]],"dd")</f>
        <v>06</v>
      </c>
      <c r="J12" s="20">
        <f>DATE(2000,MONTH(Table1[[#This Row],[date]]),1)</f>
        <v>36586</v>
      </c>
      <c r="K12" s="18" t="str">
        <f>TEXT(Table1[[#This Row],[date]],"mm")</f>
        <v>03</v>
      </c>
      <c r="L12" s="16" t="s">
        <v>57</v>
      </c>
      <c r="M12">
        <v>2022</v>
      </c>
      <c r="N12" t="s">
        <v>24</v>
      </c>
      <c r="O12" t="s">
        <v>58</v>
      </c>
      <c r="P12">
        <v>12</v>
      </c>
      <c r="Q12">
        <f>AVERAGE(Table1[funds_raised_millions])</f>
        <v>470.28289473684208</v>
      </c>
      <c r="R12">
        <f>AVERAGE(Table1[total_laid_off])</f>
        <v>236.96936274509804</v>
      </c>
    </row>
    <row r="13" spans="1:18" x14ac:dyDescent="0.25">
      <c r="A13" s="3" t="s">
        <v>59</v>
      </c>
      <c r="B13" t="s">
        <v>13</v>
      </c>
      <c r="C13" t="s">
        <v>60</v>
      </c>
      <c r="D13">
        <v>150</v>
      </c>
      <c r="E13" s="1">
        <v>0.1</v>
      </c>
      <c r="F13" s="1" t="str">
        <f>IF(Table1[[#This Row],[percentage_laid_off]]=100%,"1","0")</f>
        <v>0</v>
      </c>
      <c r="G13" t="s">
        <v>16</v>
      </c>
      <c r="H13" s="2">
        <v>44905</v>
      </c>
      <c r="I13" s="2" t="str">
        <f>TEXT(Table1[[#This Row],[date]],"dd")</f>
        <v>10</v>
      </c>
      <c r="J13" s="20">
        <f>DATE(2000,MONTH(Table1[[#This Row],[date]]),1)</f>
        <v>36861</v>
      </c>
      <c r="K13" s="18" t="str">
        <f>TEXT(Table1[[#This Row],[date]],"mm")</f>
        <v>12</v>
      </c>
      <c r="L13" s="16" t="s">
        <v>61</v>
      </c>
      <c r="M13">
        <v>2022</v>
      </c>
      <c r="N13" t="s">
        <v>18</v>
      </c>
      <c r="O13" t="s">
        <v>19</v>
      </c>
      <c r="P13">
        <v>426</v>
      </c>
      <c r="Q13">
        <f>AVERAGE(Table1[funds_raised_millions])</f>
        <v>470.28289473684208</v>
      </c>
      <c r="R13">
        <f>AVERAGE(Table1[total_laid_off])</f>
        <v>236.96936274509804</v>
      </c>
    </row>
    <row r="14" spans="1:18" x14ac:dyDescent="0.25">
      <c r="A14" s="3" t="s">
        <v>62</v>
      </c>
      <c r="B14" t="s">
        <v>63</v>
      </c>
      <c r="C14" t="s">
        <v>64</v>
      </c>
      <c r="D14" t="s">
        <v>15</v>
      </c>
      <c r="E14" s="1">
        <v>0.1</v>
      </c>
      <c r="F14" s="1" t="str">
        <f>IF(Table1[[#This Row],[percentage_laid_off]]=100%,"1","0")</f>
        <v>0</v>
      </c>
      <c r="G14" t="s">
        <v>16</v>
      </c>
      <c r="H14" s="2">
        <v>44944</v>
      </c>
      <c r="I14" s="2" t="str">
        <f>TEXT(Table1[[#This Row],[date]],"dd")</f>
        <v>18</v>
      </c>
      <c r="J14" s="20">
        <f>DATE(2000,MONTH(Table1[[#This Row],[date]]),1)</f>
        <v>36526</v>
      </c>
      <c r="K14" s="18" t="str">
        <f>TEXT(Table1[[#This Row],[date]],"mm")</f>
        <v>01</v>
      </c>
      <c r="L14" s="16" t="s">
        <v>29</v>
      </c>
      <c r="M14">
        <v>2023</v>
      </c>
      <c r="N14" t="s">
        <v>47</v>
      </c>
      <c r="O14" t="s">
        <v>19</v>
      </c>
      <c r="P14">
        <v>275</v>
      </c>
      <c r="Q14">
        <f>AVERAGE(Table1[funds_raised_millions])</f>
        <v>470.28289473684208</v>
      </c>
      <c r="R14">
        <f>AVERAGE(Table1[total_laid_off])</f>
        <v>236.96936274509804</v>
      </c>
    </row>
    <row r="15" spans="1:18" x14ac:dyDescent="0.25">
      <c r="A15" s="3" t="s">
        <v>65</v>
      </c>
      <c r="B15" t="s">
        <v>13</v>
      </c>
      <c r="C15" t="s">
        <v>66</v>
      </c>
      <c r="D15">
        <v>155</v>
      </c>
      <c r="E15" s="1">
        <v>7.0000000000000007E-2</v>
      </c>
      <c r="F15" s="1" t="str">
        <f>IF(Table1[[#This Row],[percentage_laid_off]]=100%,"1","0")</f>
        <v>0</v>
      </c>
      <c r="G15" t="s">
        <v>16</v>
      </c>
      <c r="H15" s="2">
        <v>44944</v>
      </c>
      <c r="I15" s="2" t="str">
        <f>TEXT(Table1[[#This Row],[date]],"dd")</f>
        <v>18</v>
      </c>
      <c r="J15" s="20">
        <f>DATE(2000,MONTH(Table1[[#This Row],[date]]),1)</f>
        <v>36526</v>
      </c>
      <c r="K15" s="18" t="str">
        <f>TEXT(Table1[[#This Row],[date]],"mm")</f>
        <v>01</v>
      </c>
      <c r="L15" s="16" t="s">
        <v>29</v>
      </c>
      <c r="M15">
        <v>2023</v>
      </c>
      <c r="N15" t="s">
        <v>38</v>
      </c>
      <c r="O15" t="s">
        <v>19</v>
      </c>
      <c r="P15">
        <v>253</v>
      </c>
      <c r="Q15">
        <f>AVERAGE(Table1[funds_raised_millions])</f>
        <v>470.28289473684208</v>
      </c>
      <c r="R15">
        <f>AVERAGE(Table1[total_laid_off])</f>
        <v>236.96936274509804</v>
      </c>
    </row>
    <row r="16" spans="1:18" x14ac:dyDescent="0.25">
      <c r="A16" s="3" t="s">
        <v>65</v>
      </c>
      <c r="B16" t="s">
        <v>13</v>
      </c>
      <c r="C16" t="s">
        <v>66</v>
      </c>
      <c r="D16">
        <v>200</v>
      </c>
      <c r="E16" s="1">
        <v>0.09</v>
      </c>
      <c r="F16" s="1" t="str">
        <f>IF(Table1[[#This Row],[percentage_laid_off]]=100%,"1","0")</f>
        <v>0</v>
      </c>
      <c r="G16" t="s">
        <v>16</v>
      </c>
      <c r="H16" s="2">
        <v>44661</v>
      </c>
      <c r="I16" s="2" t="str">
        <f>TEXT(Table1[[#This Row],[date]],"dd")</f>
        <v>10</v>
      </c>
      <c r="J16" s="20">
        <f>DATE(2000,MONTH(Table1[[#This Row],[date]]),1)</f>
        <v>36617</v>
      </c>
      <c r="K16" s="18" t="str">
        <f>TEXT(Table1[[#This Row],[date]],"mm")</f>
        <v>04</v>
      </c>
      <c r="L16" s="16" t="s">
        <v>37</v>
      </c>
      <c r="M16">
        <v>2022</v>
      </c>
      <c r="N16" t="s">
        <v>38</v>
      </c>
      <c r="O16" t="s">
        <v>19</v>
      </c>
      <c r="P16">
        <v>253</v>
      </c>
      <c r="Q16">
        <f>AVERAGE(Table1[funds_raised_millions])</f>
        <v>470.28289473684208</v>
      </c>
      <c r="R16">
        <f>AVERAGE(Table1[total_laid_off])</f>
        <v>236.96936274509804</v>
      </c>
    </row>
    <row r="17" spans="1:18" x14ac:dyDescent="0.25">
      <c r="A17" s="3" t="s">
        <v>67</v>
      </c>
      <c r="B17" t="s">
        <v>68</v>
      </c>
      <c r="C17" t="s">
        <v>14</v>
      </c>
      <c r="D17" t="s">
        <v>15</v>
      </c>
      <c r="E17" s="1">
        <v>0.1</v>
      </c>
      <c r="F17" s="1" t="str">
        <f>IF(Table1[[#This Row],[percentage_laid_off]]=100%,"1","0")</f>
        <v>0</v>
      </c>
      <c r="G17" t="s">
        <v>16</v>
      </c>
      <c r="H17" s="2">
        <v>44763</v>
      </c>
      <c r="I17" s="2" t="str">
        <f>TEXT(Table1[[#This Row],[date]],"dd")</f>
        <v>21</v>
      </c>
      <c r="J17" s="20">
        <f>DATE(2000,MONTH(Table1[[#This Row],[date]]),1)</f>
        <v>36708</v>
      </c>
      <c r="K17" s="18" t="str">
        <f>TEXT(Table1[[#This Row],[date]],"mm")</f>
        <v>07</v>
      </c>
      <c r="L17" s="16" t="s">
        <v>17</v>
      </c>
      <c r="M17">
        <v>2022</v>
      </c>
      <c r="N17" t="s">
        <v>18</v>
      </c>
      <c r="O17" t="s">
        <v>19</v>
      </c>
      <c r="P17">
        <v>247</v>
      </c>
      <c r="Q17">
        <f>AVERAGE(Table1[funds_raised_millions])</f>
        <v>470.28289473684208</v>
      </c>
      <c r="R17">
        <f>AVERAGE(Table1[total_laid_off])</f>
        <v>236.96936274509804</v>
      </c>
    </row>
    <row r="18" spans="1:18" x14ac:dyDescent="0.25">
      <c r="A18" s="3">
        <v>99</v>
      </c>
      <c r="B18" t="s">
        <v>45</v>
      </c>
      <c r="C18" t="s">
        <v>69</v>
      </c>
      <c r="D18">
        <v>75</v>
      </c>
      <c r="E18" s="1">
        <v>0.02</v>
      </c>
      <c r="F18" s="1" t="str">
        <f>IF(Table1[[#This Row],[percentage_laid_off]]=100%,"1","0")</f>
        <v>0</v>
      </c>
      <c r="G18" t="s">
        <v>16</v>
      </c>
      <c r="H18" s="2">
        <v>44824</v>
      </c>
      <c r="I18" s="2" t="str">
        <f>TEXT(Table1[[#This Row],[date]],"dd")</f>
        <v>20</v>
      </c>
      <c r="J18" s="20">
        <f>DATE(2000,MONTH(Table1[[#This Row],[date]]),1)</f>
        <v>36770</v>
      </c>
      <c r="K18" s="18" t="str">
        <f>TEXT(Table1[[#This Row],[date]],"mm")</f>
        <v>09</v>
      </c>
      <c r="L18" s="16" t="s">
        <v>70</v>
      </c>
      <c r="M18">
        <v>2022</v>
      </c>
      <c r="N18" t="s">
        <v>71</v>
      </c>
      <c r="O18" t="s">
        <v>48</v>
      </c>
      <c r="P18">
        <v>244</v>
      </c>
      <c r="Q18">
        <f>AVERAGE(Table1[funds_raised_millions])</f>
        <v>470.28289473684208</v>
      </c>
      <c r="R18">
        <f>AVERAGE(Table1[total_laid_off])</f>
        <v>236.96936274509804</v>
      </c>
    </row>
    <row r="19" spans="1:18" x14ac:dyDescent="0.25">
      <c r="A19" s="3" t="s">
        <v>72</v>
      </c>
      <c r="B19" t="s">
        <v>13</v>
      </c>
      <c r="C19" t="s">
        <v>46</v>
      </c>
      <c r="D19">
        <v>12</v>
      </c>
      <c r="E19" s="1">
        <v>0.05</v>
      </c>
      <c r="F19" s="1" t="str">
        <f>IF(Table1[[#This Row],[percentage_laid_off]]=100%,"1","0")</f>
        <v>0</v>
      </c>
      <c r="G19" t="s">
        <v>16</v>
      </c>
      <c r="H19" s="2">
        <v>44742</v>
      </c>
      <c r="I19" s="2" t="str">
        <f>TEXT(Table1[[#This Row],[date]],"dd")</f>
        <v>30</v>
      </c>
      <c r="J19" s="20">
        <f>DATE(2000,MONTH(Table1[[#This Row],[date]]),1)</f>
        <v>36678</v>
      </c>
      <c r="K19" s="18" t="str">
        <f>TEXT(Table1[[#This Row],[date]],"mm")</f>
        <v>06</v>
      </c>
      <c r="L19" s="16" t="s">
        <v>73</v>
      </c>
      <c r="M19">
        <v>2022</v>
      </c>
      <c r="N19" t="s">
        <v>35</v>
      </c>
      <c r="O19" t="s">
        <v>19</v>
      </c>
      <c r="P19">
        <v>106</v>
      </c>
      <c r="Q19">
        <f>AVERAGE(Table1[funds_raised_millions])</f>
        <v>470.28289473684208</v>
      </c>
      <c r="R19">
        <f>AVERAGE(Table1[total_laid_off])</f>
        <v>236.96936274509804</v>
      </c>
    </row>
    <row r="20" spans="1:18" x14ac:dyDescent="0.25">
      <c r="A20" s="3" t="s">
        <v>74</v>
      </c>
      <c r="B20" t="s">
        <v>75</v>
      </c>
      <c r="C20" t="s">
        <v>14</v>
      </c>
      <c r="D20">
        <v>40</v>
      </c>
      <c r="E20" t="s">
        <v>15</v>
      </c>
      <c r="F20" s="1" t="str">
        <f>IF(Table1[[#This Row],[percentage_laid_off]]=100%,"1","0")</f>
        <v>0</v>
      </c>
      <c r="G20" t="b">
        <v>0</v>
      </c>
      <c r="H20" s="2">
        <v>44812</v>
      </c>
      <c r="I20" s="2" t="str">
        <f>TEXT(Table1[[#This Row],[date]],"dd")</f>
        <v>08</v>
      </c>
      <c r="J20" s="20">
        <f>DATE(2000,MONTH(Table1[[#This Row],[date]]),1)</f>
        <v>36770</v>
      </c>
      <c r="K20" s="18" t="str">
        <f>TEXT(Table1[[#This Row],[date]],"mm")</f>
        <v>09</v>
      </c>
      <c r="L20" s="16" t="s">
        <v>70</v>
      </c>
      <c r="M20">
        <v>2022</v>
      </c>
      <c r="N20" t="s">
        <v>38</v>
      </c>
      <c r="O20" t="s">
        <v>19</v>
      </c>
      <c r="P20">
        <v>237</v>
      </c>
      <c r="Q20">
        <f>AVERAGE(Table1[funds_raised_millions])</f>
        <v>470.28289473684208</v>
      </c>
      <c r="R20">
        <f>AVERAGE(Table1[total_laid_off])</f>
        <v>236.96936274509804</v>
      </c>
    </row>
    <row r="21" spans="1:18" x14ac:dyDescent="0.25">
      <c r="A21" s="3" t="s">
        <v>76</v>
      </c>
      <c r="B21" t="s">
        <v>77</v>
      </c>
      <c r="C21" t="s">
        <v>78</v>
      </c>
      <c r="D21">
        <v>70</v>
      </c>
      <c r="E21" s="1">
        <v>0.15</v>
      </c>
      <c r="F21" s="1" t="str">
        <f>IF(Table1[[#This Row],[percentage_laid_off]]=100%,"1","0")</f>
        <v>0</v>
      </c>
      <c r="G21" t="s">
        <v>28</v>
      </c>
      <c r="H21" s="2">
        <v>44819</v>
      </c>
      <c r="I21" s="2" t="str">
        <f>TEXT(Table1[[#This Row],[date]],"dd")</f>
        <v>15</v>
      </c>
      <c r="J21" s="20">
        <f>DATE(2000,MONTH(Table1[[#This Row],[date]]),1)</f>
        <v>36770</v>
      </c>
      <c r="K21" s="18" t="str">
        <f>TEXT(Table1[[#This Row],[date]],"mm")</f>
        <v>09</v>
      </c>
      <c r="L21" s="16" t="s">
        <v>70</v>
      </c>
      <c r="M21">
        <v>2022</v>
      </c>
      <c r="N21" t="s">
        <v>38</v>
      </c>
      <c r="O21" t="s">
        <v>79</v>
      </c>
      <c r="P21">
        <v>126</v>
      </c>
      <c r="Q21">
        <f>AVERAGE(Table1[funds_raised_millions])</f>
        <v>470.28289473684208</v>
      </c>
      <c r="R21">
        <f>AVERAGE(Table1[total_laid_off])</f>
        <v>236.96936274509804</v>
      </c>
    </row>
    <row r="22" spans="1:18" x14ac:dyDescent="0.25">
      <c r="A22" s="3" t="s">
        <v>80</v>
      </c>
      <c r="B22" t="s">
        <v>81</v>
      </c>
      <c r="C22" t="s">
        <v>82</v>
      </c>
      <c r="D22">
        <v>45</v>
      </c>
      <c r="E22" s="1">
        <v>0.09</v>
      </c>
      <c r="F22" s="1" t="str">
        <f>IF(Table1[[#This Row],[percentage_laid_off]]=100%,"1","0")</f>
        <v>0</v>
      </c>
      <c r="G22" t="s">
        <v>16</v>
      </c>
      <c r="H22" s="2">
        <v>43834</v>
      </c>
      <c r="I22" s="2" t="str">
        <f>TEXT(Table1[[#This Row],[date]],"dd")</f>
        <v>04</v>
      </c>
      <c r="J22" s="20">
        <f>DATE(2000,MONTH(Table1[[#This Row],[date]]),1)</f>
        <v>36526</v>
      </c>
      <c r="K22" s="18" t="str">
        <f>TEXT(Table1[[#This Row],[date]],"mm")</f>
        <v>01</v>
      </c>
      <c r="L22" s="16" t="s">
        <v>29</v>
      </c>
      <c r="M22">
        <v>2020</v>
      </c>
      <c r="N22" t="s">
        <v>47</v>
      </c>
      <c r="O22" t="s">
        <v>83</v>
      </c>
      <c r="P22">
        <v>143</v>
      </c>
      <c r="Q22">
        <f>AVERAGE(Table1[funds_raised_millions])</f>
        <v>470.28289473684208</v>
      </c>
      <c r="R22">
        <f>AVERAGE(Table1[total_laid_off])</f>
        <v>236.96936274509804</v>
      </c>
    </row>
    <row r="23" spans="1:18" x14ac:dyDescent="0.25">
      <c r="A23" s="3" t="s">
        <v>84</v>
      </c>
      <c r="B23" t="s">
        <v>85</v>
      </c>
      <c r="C23" t="s">
        <v>82</v>
      </c>
      <c r="D23">
        <v>50</v>
      </c>
      <c r="E23" t="s">
        <v>15</v>
      </c>
      <c r="F23" s="1" t="str">
        <f>IF(Table1[[#This Row],[percentage_laid_off]]=100%,"1","0")</f>
        <v>0</v>
      </c>
      <c r="G23" t="b">
        <v>0</v>
      </c>
      <c r="H23" s="2">
        <v>43977</v>
      </c>
      <c r="I23" s="2" t="str">
        <f>TEXT(Table1[[#This Row],[date]],"dd")</f>
        <v>26</v>
      </c>
      <c r="J23" s="20">
        <f>DATE(2000,MONTH(Table1[[#This Row],[date]]),1)</f>
        <v>36647</v>
      </c>
      <c r="K23" s="18" t="str">
        <f>TEXT(Table1[[#This Row],[date]],"mm")</f>
        <v>05</v>
      </c>
      <c r="L23" s="16" t="s">
        <v>86</v>
      </c>
      <c r="M23">
        <v>2020</v>
      </c>
      <c r="N23" t="s">
        <v>47</v>
      </c>
      <c r="O23" t="s">
        <v>19</v>
      </c>
      <c r="P23">
        <v>207</v>
      </c>
      <c r="Q23">
        <f>AVERAGE(Table1[funds_raised_millions])</f>
        <v>470.28289473684208</v>
      </c>
      <c r="R23">
        <f>AVERAGE(Table1[total_laid_off])</f>
        <v>236.96936274509804</v>
      </c>
    </row>
    <row r="24" spans="1:18" x14ac:dyDescent="0.25">
      <c r="A24" s="3" t="s">
        <v>87</v>
      </c>
      <c r="B24" t="s">
        <v>88</v>
      </c>
      <c r="C24" t="s">
        <v>89</v>
      </c>
      <c r="D24">
        <v>54</v>
      </c>
      <c r="E24" t="s">
        <v>15</v>
      </c>
      <c r="F24" s="1" t="str">
        <f>IF(Table1[[#This Row],[percentage_laid_off]]=100%,"1","0")</f>
        <v>0</v>
      </c>
      <c r="G24" t="b">
        <v>0</v>
      </c>
      <c r="H24" s="2">
        <v>44181</v>
      </c>
      <c r="I24" s="2" t="str">
        <f>TEXT(Table1[[#This Row],[date]],"dd")</f>
        <v>16</v>
      </c>
      <c r="J24" s="20">
        <f>DATE(2000,MONTH(Table1[[#This Row],[date]]),1)</f>
        <v>36861</v>
      </c>
      <c r="K24" s="18" t="str">
        <f>TEXT(Table1[[#This Row],[date]],"mm")</f>
        <v>12</v>
      </c>
      <c r="L24" s="16" t="s">
        <v>61</v>
      </c>
      <c r="M24">
        <v>2020</v>
      </c>
      <c r="N24" t="s">
        <v>71</v>
      </c>
      <c r="O24" t="s">
        <v>19</v>
      </c>
      <c r="P24">
        <v>352</v>
      </c>
      <c r="Q24">
        <f>AVERAGE(Table1[funds_raised_millions])</f>
        <v>470.28289473684208</v>
      </c>
      <c r="R24">
        <f>AVERAGE(Table1[total_laid_off])</f>
        <v>236.96936274509804</v>
      </c>
    </row>
    <row r="25" spans="1:18" x14ac:dyDescent="0.25">
      <c r="A25" s="3" t="s">
        <v>90</v>
      </c>
      <c r="B25" t="s">
        <v>91</v>
      </c>
      <c r="C25" t="s">
        <v>22</v>
      </c>
      <c r="D25" t="s">
        <v>15</v>
      </c>
      <c r="E25" s="1">
        <v>0.15</v>
      </c>
      <c r="F25" s="1" t="str">
        <f>IF(Table1[[#This Row],[percentage_laid_off]]=100%,"1","0")</f>
        <v>0</v>
      </c>
      <c r="G25" t="s">
        <v>28</v>
      </c>
      <c r="H25" s="2">
        <v>44630</v>
      </c>
      <c r="I25" s="2" t="str">
        <f>TEXT(Table1[[#This Row],[date]],"dd")</f>
        <v>10</v>
      </c>
      <c r="J25" s="20">
        <f>DATE(2000,MONTH(Table1[[#This Row],[date]]),1)</f>
        <v>36586</v>
      </c>
      <c r="K25" s="18" t="str">
        <f>TEXT(Table1[[#This Row],[date]],"mm")</f>
        <v>03</v>
      </c>
      <c r="L25" s="16" t="s">
        <v>57</v>
      </c>
      <c r="M25">
        <v>2022</v>
      </c>
      <c r="N25" t="s">
        <v>35</v>
      </c>
      <c r="O25" t="s">
        <v>19</v>
      </c>
      <c r="P25">
        <v>360</v>
      </c>
      <c r="Q25">
        <f>AVERAGE(Table1[funds_raised_millions])</f>
        <v>470.28289473684208</v>
      </c>
      <c r="R25">
        <f>AVERAGE(Table1[total_laid_off])</f>
        <v>236.96936274509804</v>
      </c>
    </row>
    <row r="26" spans="1:18" x14ac:dyDescent="0.25">
      <c r="A26" s="3" t="s">
        <v>92</v>
      </c>
      <c r="B26" t="s">
        <v>27</v>
      </c>
      <c r="C26" t="s">
        <v>66</v>
      </c>
      <c r="D26">
        <v>78</v>
      </c>
      <c r="E26" s="1">
        <v>0.16</v>
      </c>
      <c r="F26" s="1" t="str">
        <f>IF(Table1[[#This Row],[percentage_laid_off]]=100%,"1","0")</f>
        <v>0</v>
      </c>
      <c r="G26" t="s">
        <v>28</v>
      </c>
      <c r="H26" s="2">
        <v>44824</v>
      </c>
      <c r="I26" s="2" t="str">
        <f>TEXT(Table1[[#This Row],[date]],"dd")</f>
        <v>20</v>
      </c>
      <c r="J26" s="20">
        <f>DATE(2000,MONTH(Table1[[#This Row],[date]]),1)</f>
        <v>36770</v>
      </c>
      <c r="K26" s="18" t="str">
        <f>TEXT(Table1[[#This Row],[date]],"mm")</f>
        <v>09</v>
      </c>
      <c r="L26" s="16" t="s">
        <v>70</v>
      </c>
      <c r="M26">
        <v>2022</v>
      </c>
      <c r="N26" t="s">
        <v>35</v>
      </c>
      <c r="O26" t="s">
        <v>31</v>
      </c>
      <c r="P26">
        <v>190</v>
      </c>
      <c r="Q26">
        <f>AVERAGE(Table1[funds_raised_millions])</f>
        <v>470.28289473684208</v>
      </c>
      <c r="R26">
        <f>AVERAGE(Table1[total_laid_off])</f>
        <v>236.96936274509804</v>
      </c>
    </row>
    <row r="27" spans="1:18" x14ac:dyDescent="0.25">
      <c r="A27" s="3" t="s">
        <v>93</v>
      </c>
      <c r="B27" t="s">
        <v>94</v>
      </c>
      <c r="C27" t="s">
        <v>14</v>
      </c>
      <c r="D27">
        <v>50</v>
      </c>
      <c r="E27" t="s">
        <v>15</v>
      </c>
      <c r="F27" s="1" t="str">
        <f>IF(Table1[[#This Row],[percentage_laid_off]]=100%,"1","0")</f>
        <v>0</v>
      </c>
      <c r="G27" t="b">
        <v>0</v>
      </c>
      <c r="H27" s="2">
        <v>44851</v>
      </c>
      <c r="I27" s="2" t="str">
        <f>TEXT(Table1[[#This Row],[date]],"dd")</f>
        <v>17</v>
      </c>
      <c r="J27" s="20">
        <f>DATE(2000,MONTH(Table1[[#This Row],[date]]),1)</f>
        <v>36800</v>
      </c>
      <c r="K27" s="18" t="str">
        <f>TEXT(Table1[[#This Row],[date]],"mm")</f>
        <v>10</v>
      </c>
      <c r="L27" s="16" t="s">
        <v>95</v>
      </c>
      <c r="M27">
        <v>2022</v>
      </c>
      <c r="N27" t="s">
        <v>30</v>
      </c>
      <c r="O27" t="s">
        <v>96</v>
      </c>
      <c r="P27">
        <v>189</v>
      </c>
      <c r="Q27">
        <f>AVERAGE(Table1[funds_raised_millions])</f>
        <v>470.28289473684208</v>
      </c>
      <c r="R27">
        <f>AVERAGE(Table1[total_laid_off])</f>
        <v>236.96936274509804</v>
      </c>
    </row>
    <row r="28" spans="1:18" x14ac:dyDescent="0.25">
      <c r="A28" s="3" t="s">
        <v>97</v>
      </c>
      <c r="B28" t="s">
        <v>27</v>
      </c>
      <c r="C28" t="s">
        <v>66</v>
      </c>
      <c r="D28">
        <v>36</v>
      </c>
      <c r="E28" s="1">
        <v>0.23</v>
      </c>
      <c r="F28" s="1" t="str">
        <f>IF(Table1[[#This Row],[percentage_laid_off]]=100%,"1","0")</f>
        <v>0</v>
      </c>
      <c r="G28" t="s">
        <v>28</v>
      </c>
      <c r="H28" s="2">
        <v>43945</v>
      </c>
      <c r="I28" s="2" t="str">
        <f>TEXT(Table1[[#This Row],[date]],"dd")</f>
        <v>24</v>
      </c>
      <c r="J28" s="20">
        <f>DATE(2000,MONTH(Table1[[#This Row],[date]]),1)</f>
        <v>36617</v>
      </c>
      <c r="K28" s="18" t="str">
        <f>TEXT(Table1[[#This Row],[date]],"mm")</f>
        <v>04</v>
      </c>
      <c r="L28" s="16" t="s">
        <v>37</v>
      </c>
      <c r="M28">
        <v>2020</v>
      </c>
      <c r="N28" t="s">
        <v>30</v>
      </c>
      <c r="O28" t="s">
        <v>31</v>
      </c>
      <c r="P28">
        <v>60</v>
      </c>
      <c r="Q28">
        <f>AVERAGE(Table1[funds_raised_millions])</f>
        <v>470.28289473684208</v>
      </c>
      <c r="R28">
        <f>AVERAGE(Table1[total_laid_off])</f>
        <v>236.96936274509804</v>
      </c>
    </row>
    <row r="29" spans="1:18" x14ac:dyDescent="0.25">
      <c r="A29" s="3" t="s">
        <v>98</v>
      </c>
      <c r="B29" t="s">
        <v>68</v>
      </c>
      <c r="C29" t="s">
        <v>14</v>
      </c>
      <c r="D29">
        <v>100</v>
      </c>
      <c r="E29" s="1">
        <v>0.12</v>
      </c>
      <c r="F29" s="1" t="str">
        <f>IF(Table1[[#This Row],[percentage_laid_off]]=100%,"1","0")</f>
        <v>0</v>
      </c>
      <c r="G29" t="s">
        <v>28</v>
      </c>
      <c r="H29" s="2">
        <v>44776</v>
      </c>
      <c r="I29" s="2" t="str">
        <f>TEXT(Table1[[#This Row],[date]],"dd")</f>
        <v>03</v>
      </c>
      <c r="J29" s="20">
        <f>DATE(2000,MONTH(Table1[[#This Row],[date]]),1)</f>
        <v>36739</v>
      </c>
      <c r="K29" s="18" t="str">
        <f>TEXT(Table1[[#This Row],[date]],"mm")</f>
        <v>08</v>
      </c>
      <c r="L29" s="16" t="s">
        <v>53</v>
      </c>
      <c r="M29">
        <v>2022</v>
      </c>
      <c r="N29" t="s">
        <v>38</v>
      </c>
      <c r="O29" t="s">
        <v>19</v>
      </c>
      <c r="P29">
        <v>406</v>
      </c>
      <c r="Q29">
        <f>AVERAGE(Table1[funds_raised_millions])</f>
        <v>470.28289473684208</v>
      </c>
      <c r="R29">
        <f>AVERAGE(Table1[total_laid_off])</f>
        <v>236.96936274509804</v>
      </c>
    </row>
    <row r="30" spans="1:18" x14ac:dyDescent="0.25">
      <c r="A30" s="3" t="s">
        <v>99</v>
      </c>
      <c r="B30" t="s">
        <v>13</v>
      </c>
      <c r="C30" t="s">
        <v>82</v>
      </c>
      <c r="D30">
        <v>20</v>
      </c>
      <c r="E30" s="1">
        <v>0.03</v>
      </c>
      <c r="F30" s="1" t="str">
        <f>IF(Table1[[#This Row],[percentage_laid_off]]=100%,"1","0")</f>
        <v>0</v>
      </c>
      <c r="G30" t="s">
        <v>16</v>
      </c>
      <c r="H30" s="2">
        <v>44944</v>
      </c>
      <c r="I30" s="2" t="str">
        <f>TEXT(Table1[[#This Row],[date]],"dd")</f>
        <v>18</v>
      </c>
      <c r="J30" s="20">
        <f>DATE(2000,MONTH(Table1[[#This Row],[date]]),1)</f>
        <v>36526</v>
      </c>
      <c r="K30" s="18" t="str">
        <f>TEXT(Table1[[#This Row],[date]],"mm")</f>
        <v>01</v>
      </c>
      <c r="L30" s="16" t="s">
        <v>29</v>
      </c>
      <c r="M30">
        <v>2023</v>
      </c>
      <c r="N30" t="s">
        <v>100</v>
      </c>
      <c r="O30" t="s">
        <v>19</v>
      </c>
      <c r="P30">
        <v>491</v>
      </c>
      <c r="Q30">
        <f>AVERAGE(Table1[funds_raised_millions])</f>
        <v>470.28289473684208</v>
      </c>
      <c r="R30">
        <f>AVERAGE(Table1[total_laid_off])</f>
        <v>236.96936274509804</v>
      </c>
    </row>
    <row r="31" spans="1:18" x14ac:dyDescent="0.25">
      <c r="A31" s="3" t="s">
        <v>101</v>
      </c>
      <c r="B31" t="s">
        <v>13</v>
      </c>
      <c r="C31" t="s">
        <v>22</v>
      </c>
      <c r="D31">
        <v>100</v>
      </c>
      <c r="E31" t="s">
        <v>15</v>
      </c>
      <c r="F31" s="1" t="str">
        <f>IF(Table1[[#This Row],[percentage_laid_off]]=100%,"1","0")</f>
        <v>0</v>
      </c>
      <c r="G31" t="b">
        <v>0</v>
      </c>
      <c r="H31" s="2">
        <v>44724</v>
      </c>
      <c r="I31" s="2" t="str">
        <f>TEXT(Table1[[#This Row],[date]],"dd")</f>
        <v>12</v>
      </c>
      <c r="J31" s="20">
        <f>DATE(2000,MONTH(Table1[[#This Row],[date]]),1)</f>
        <v>36678</v>
      </c>
      <c r="K31" s="18" t="str">
        <f>TEXT(Table1[[#This Row],[date]],"mm")</f>
        <v>06</v>
      </c>
      <c r="L31" s="16" t="s">
        <v>73</v>
      </c>
      <c r="M31">
        <v>2022</v>
      </c>
      <c r="N31" t="s">
        <v>38</v>
      </c>
      <c r="O31" t="s">
        <v>19</v>
      </c>
      <c r="P31">
        <v>2</v>
      </c>
      <c r="Q31">
        <f>AVERAGE(Table1[funds_raised_millions])</f>
        <v>470.28289473684208</v>
      </c>
      <c r="R31">
        <f>AVERAGE(Table1[total_laid_off])</f>
        <v>236.96936274509804</v>
      </c>
    </row>
    <row r="32" spans="1:18" x14ac:dyDescent="0.25">
      <c r="A32" s="3" t="s">
        <v>102</v>
      </c>
      <c r="B32" t="s">
        <v>103</v>
      </c>
      <c r="C32" t="s">
        <v>22</v>
      </c>
      <c r="D32">
        <v>210</v>
      </c>
      <c r="E32" s="1">
        <v>0.3</v>
      </c>
      <c r="F32" s="1" t="str">
        <f>IF(Table1[[#This Row],[percentage_laid_off]]=100%,"1","0")</f>
        <v>0</v>
      </c>
      <c r="G32" t="s">
        <v>28</v>
      </c>
      <c r="H32" s="2">
        <v>43921</v>
      </c>
      <c r="I32" s="2" t="str">
        <f>TEXT(Table1[[#This Row],[date]],"dd")</f>
        <v>31</v>
      </c>
      <c r="J32" s="20">
        <f>DATE(2000,MONTH(Table1[[#This Row],[date]]),1)</f>
        <v>36586</v>
      </c>
      <c r="K32" s="18" t="str">
        <f>TEXT(Table1[[#This Row],[date]],"mm")</f>
        <v>03</v>
      </c>
      <c r="L32" s="16" t="s">
        <v>57</v>
      </c>
      <c r="M32">
        <v>2020</v>
      </c>
      <c r="N32" t="s">
        <v>35</v>
      </c>
      <c r="O32" t="s">
        <v>19</v>
      </c>
      <c r="P32">
        <v>89</v>
      </c>
      <c r="Q32">
        <f>AVERAGE(Table1[funds_raised_millions])</f>
        <v>470.28289473684208</v>
      </c>
      <c r="R32">
        <f>AVERAGE(Table1[total_laid_off])</f>
        <v>236.96936274509804</v>
      </c>
    </row>
    <row r="33" spans="1:18" x14ac:dyDescent="0.25">
      <c r="A33" s="3" t="s">
        <v>104</v>
      </c>
      <c r="B33" t="s">
        <v>68</v>
      </c>
      <c r="C33" t="s">
        <v>14</v>
      </c>
      <c r="D33">
        <v>32</v>
      </c>
      <c r="E33" s="1">
        <v>0.21</v>
      </c>
      <c r="F33" s="1" t="str">
        <f>IF(Table1[[#This Row],[percentage_laid_off]]=100%,"1","0")</f>
        <v>0</v>
      </c>
      <c r="G33" t="s">
        <v>28</v>
      </c>
      <c r="H33" s="2">
        <v>44862</v>
      </c>
      <c r="I33" s="2" t="str">
        <f>TEXT(Table1[[#This Row],[date]],"dd")</f>
        <v>28</v>
      </c>
      <c r="J33" s="20">
        <f>DATE(2000,MONTH(Table1[[#This Row],[date]]),1)</f>
        <v>36800</v>
      </c>
      <c r="K33" s="18" t="str">
        <f>TEXT(Table1[[#This Row],[date]],"mm")</f>
        <v>10</v>
      </c>
      <c r="L33" s="16" t="s">
        <v>95</v>
      </c>
      <c r="M33">
        <v>2022</v>
      </c>
      <c r="N33" t="s">
        <v>15</v>
      </c>
      <c r="O33" t="s">
        <v>19</v>
      </c>
      <c r="P33" t="s">
        <v>15</v>
      </c>
      <c r="Q33">
        <f>AVERAGE(Table1[funds_raised_millions])</f>
        <v>470.28289473684208</v>
      </c>
      <c r="R33">
        <f>AVERAGE(Table1[total_laid_off])</f>
        <v>236.96936274509804</v>
      </c>
    </row>
    <row r="34" spans="1:18" x14ac:dyDescent="0.25">
      <c r="A34" s="3" t="s">
        <v>105</v>
      </c>
      <c r="B34" t="s">
        <v>106</v>
      </c>
      <c r="C34" t="s">
        <v>22</v>
      </c>
      <c r="D34">
        <v>40</v>
      </c>
      <c r="E34" t="s">
        <v>15</v>
      </c>
      <c r="F34" s="1" t="str">
        <f>IF(Table1[[#This Row],[percentage_laid_off]]=100%,"1","0")</f>
        <v>0</v>
      </c>
      <c r="G34" t="b">
        <v>0</v>
      </c>
      <c r="H34" s="2">
        <v>44749</v>
      </c>
      <c r="I34" s="2" t="str">
        <f>TEXT(Table1[[#This Row],[date]],"dd")</f>
        <v>07</v>
      </c>
      <c r="J34" s="20">
        <f>DATE(2000,MONTH(Table1[[#This Row],[date]]),1)</f>
        <v>36708</v>
      </c>
      <c r="K34" s="18" t="str">
        <f>TEXT(Table1[[#This Row],[date]],"mm")</f>
        <v>07</v>
      </c>
      <c r="L34" s="16" t="s">
        <v>17</v>
      </c>
      <c r="M34">
        <v>2022</v>
      </c>
      <c r="N34" t="s">
        <v>47</v>
      </c>
      <c r="O34" t="s">
        <v>19</v>
      </c>
      <c r="P34">
        <v>20</v>
      </c>
      <c r="Q34">
        <f>AVERAGE(Table1[funds_raised_millions])</f>
        <v>470.28289473684208</v>
      </c>
      <c r="R34">
        <f>AVERAGE(Table1[total_laid_off])</f>
        <v>236.96936274509804</v>
      </c>
    </row>
    <row r="35" spans="1:18" x14ac:dyDescent="0.25">
      <c r="A35" s="3" t="s">
        <v>107</v>
      </c>
      <c r="B35" t="s">
        <v>13</v>
      </c>
      <c r="C35" t="s">
        <v>82</v>
      </c>
      <c r="D35" t="s">
        <v>15</v>
      </c>
      <c r="E35" s="1">
        <v>0.01</v>
      </c>
      <c r="F35" s="1" t="str">
        <f>IF(Table1[[#This Row],[percentage_laid_off]]=100%,"1","0")</f>
        <v>0</v>
      </c>
      <c r="G35" t="s">
        <v>16</v>
      </c>
      <c r="H35" s="2">
        <v>44631</v>
      </c>
      <c r="I35" s="2" t="str">
        <f>TEXT(Table1[[#This Row],[date]],"dd")</f>
        <v>11</v>
      </c>
      <c r="J35" s="20">
        <f>DATE(2000,MONTH(Table1[[#This Row],[date]]),1)</f>
        <v>36586</v>
      </c>
      <c r="K35" s="18" t="str">
        <f>TEXT(Table1[[#This Row],[date]],"mm")</f>
        <v>03</v>
      </c>
      <c r="L35" s="16" t="s">
        <v>57</v>
      </c>
      <c r="M35">
        <v>2022</v>
      </c>
      <c r="N35" t="s">
        <v>38</v>
      </c>
      <c r="O35" t="s">
        <v>19</v>
      </c>
      <c r="P35">
        <v>1500</v>
      </c>
      <c r="Q35">
        <f>AVERAGE(Table1[funds_raised_millions])</f>
        <v>470.28289473684208</v>
      </c>
      <c r="R35">
        <f>AVERAGE(Table1[total_laid_off])</f>
        <v>236.96936274509804</v>
      </c>
    </row>
    <row r="36" spans="1:18" x14ac:dyDescent="0.25">
      <c r="A36" s="3" t="s">
        <v>107</v>
      </c>
      <c r="B36" t="s">
        <v>13</v>
      </c>
      <c r="C36" t="s">
        <v>82</v>
      </c>
      <c r="D36">
        <v>500</v>
      </c>
      <c r="E36" s="1">
        <v>0.19</v>
      </c>
      <c r="F36" s="1" t="str">
        <f>IF(Table1[[#This Row],[percentage_laid_off]]=100%,"1","0")</f>
        <v>0</v>
      </c>
      <c r="G36" t="s">
        <v>28</v>
      </c>
      <c r="H36" s="2">
        <v>45140</v>
      </c>
      <c r="I36" s="2" t="str">
        <f>TEXT(Table1[[#This Row],[date]],"dd")</f>
        <v>02</v>
      </c>
      <c r="J36" s="20">
        <f>DATE(2000,MONTH(Table1[[#This Row],[date]]),1)</f>
        <v>36739</v>
      </c>
      <c r="K36" s="18" t="str">
        <f>TEXT(Table1[[#This Row],[date]],"mm")</f>
        <v>08</v>
      </c>
      <c r="L36" s="16" t="s">
        <v>53</v>
      </c>
      <c r="M36">
        <v>2023</v>
      </c>
      <c r="N36" t="s">
        <v>38</v>
      </c>
      <c r="O36" t="s">
        <v>19</v>
      </c>
      <c r="P36">
        <v>1500</v>
      </c>
      <c r="Q36">
        <f>AVERAGE(Table1[funds_raised_millions])</f>
        <v>470.28289473684208</v>
      </c>
      <c r="R36">
        <f>AVERAGE(Table1[total_laid_off])</f>
        <v>236.96936274509804</v>
      </c>
    </row>
    <row r="37" spans="1:18" x14ac:dyDescent="0.25">
      <c r="A37" s="3" t="s">
        <v>108</v>
      </c>
      <c r="B37" t="s">
        <v>109</v>
      </c>
      <c r="C37" t="s">
        <v>34</v>
      </c>
      <c r="D37">
        <v>60</v>
      </c>
      <c r="E37" s="1">
        <v>0.2</v>
      </c>
      <c r="F37" s="1" t="str">
        <f>IF(Table1[[#This Row],[percentage_laid_off]]=100%,"1","0")</f>
        <v>0</v>
      </c>
      <c r="G37" t="s">
        <v>28</v>
      </c>
      <c r="H37" s="2">
        <v>44626</v>
      </c>
      <c r="I37" s="2" t="str">
        <f>TEXT(Table1[[#This Row],[date]],"dd")</f>
        <v>06</v>
      </c>
      <c r="J37" s="20">
        <f>DATE(2000,MONTH(Table1[[#This Row],[date]]),1)</f>
        <v>36586</v>
      </c>
      <c r="K37" s="18" t="str">
        <f>TEXT(Table1[[#This Row],[date]],"mm")</f>
        <v>03</v>
      </c>
      <c r="L37" s="16" t="s">
        <v>57</v>
      </c>
      <c r="M37">
        <v>2022</v>
      </c>
      <c r="N37" t="s">
        <v>47</v>
      </c>
      <c r="O37" t="s">
        <v>48</v>
      </c>
      <c r="P37" t="s">
        <v>15</v>
      </c>
      <c r="Q37">
        <f>AVERAGE(Table1[funds_raised_millions])</f>
        <v>470.28289473684208</v>
      </c>
      <c r="R37">
        <f>AVERAGE(Table1[total_laid_off])</f>
        <v>236.96936274509804</v>
      </c>
    </row>
    <row r="38" spans="1:18" x14ac:dyDescent="0.25">
      <c r="A38" s="3" t="s">
        <v>110</v>
      </c>
      <c r="B38" t="s">
        <v>111</v>
      </c>
      <c r="C38" t="s">
        <v>112</v>
      </c>
      <c r="D38">
        <v>1500</v>
      </c>
      <c r="E38" s="1">
        <v>0.25</v>
      </c>
      <c r="F38" s="1" t="str">
        <f>IF(Table1[[#This Row],[percentage_laid_off]]=100%,"1","0")</f>
        <v>0</v>
      </c>
      <c r="G38" t="s">
        <v>28</v>
      </c>
      <c r="H38" s="2">
        <v>43969</v>
      </c>
      <c r="I38" s="2" t="str">
        <f>TEXT(Table1[[#This Row],[date]],"dd")</f>
        <v>18</v>
      </c>
      <c r="J38" s="20">
        <f>DATE(2000,MONTH(Table1[[#This Row],[date]]),1)</f>
        <v>36647</v>
      </c>
      <c r="K38" s="18" t="str">
        <f>TEXT(Table1[[#This Row],[date]],"mm")</f>
        <v>05</v>
      </c>
      <c r="L38" s="16" t="s">
        <v>86</v>
      </c>
      <c r="M38">
        <v>2020</v>
      </c>
      <c r="N38" t="s">
        <v>71</v>
      </c>
      <c r="O38" t="s">
        <v>111</v>
      </c>
      <c r="P38" t="s">
        <v>15</v>
      </c>
      <c r="Q38">
        <f>AVERAGE(Table1[funds_raised_millions])</f>
        <v>470.28289473684208</v>
      </c>
      <c r="R38">
        <f>AVERAGE(Table1[total_laid_off])</f>
        <v>236.96936274509804</v>
      </c>
    </row>
    <row r="39" spans="1:18" x14ac:dyDescent="0.25">
      <c r="A39" s="3" t="s">
        <v>113</v>
      </c>
      <c r="B39" t="s">
        <v>13</v>
      </c>
      <c r="C39" t="s">
        <v>14</v>
      </c>
      <c r="D39">
        <v>44</v>
      </c>
      <c r="E39" s="1">
        <v>1</v>
      </c>
      <c r="F39" s="1" t="str">
        <f>IF(Table1[[#This Row],[percentage_laid_off]]=100%,"1","0")</f>
        <v>1</v>
      </c>
      <c r="G39" t="s">
        <v>114</v>
      </c>
      <c r="H39" s="2">
        <v>44665</v>
      </c>
      <c r="I39" s="2" t="str">
        <f>TEXT(Table1[[#This Row],[date]],"dd")</f>
        <v>14</v>
      </c>
      <c r="J39" s="20">
        <f>DATE(2000,MONTH(Table1[[#This Row],[date]]),1)</f>
        <v>36617</v>
      </c>
      <c r="K39" s="18" t="str">
        <f>TEXT(Table1[[#This Row],[date]],"mm")</f>
        <v>04</v>
      </c>
      <c r="L39" s="16" t="s">
        <v>37</v>
      </c>
      <c r="M39">
        <v>2022</v>
      </c>
      <c r="N39" t="s">
        <v>47</v>
      </c>
      <c r="O39" t="s">
        <v>19</v>
      </c>
      <c r="P39">
        <v>9</v>
      </c>
      <c r="Q39">
        <f>AVERAGE(Table1[funds_raised_millions])</f>
        <v>470.28289473684208</v>
      </c>
      <c r="R39">
        <f>AVERAGE(Table1[total_laid_off])</f>
        <v>236.96936274509804</v>
      </c>
    </row>
    <row r="40" spans="1:18" x14ac:dyDescent="0.25">
      <c r="A40" s="3" t="s">
        <v>115</v>
      </c>
      <c r="B40" t="s">
        <v>40</v>
      </c>
      <c r="C40" t="s">
        <v>22</v>
      </c>
      <c r="D40" t="s">
        <v>15</v>
      </c>
      <c r="E40" s="1">
        <v>0.16</v>
      </c>
      <c r="F40" s="1" t="str">
        <f>IF(Table1[[#This Row],[percentage_laid_off]]=100%,"1","0")</f>
        <v>0</v>
      </c>
      <c r="G40" t="s">
        <v>28</v>
      </c>
      <c r="H40" s="2">
        <v>44090</v>
      </c>
      <c r="I40" s="2" t="str">
        <f>TEXT(Table1[[#This Row],[date]],"dd")</f>
        <v>16</v>
      </c>
      <c r="J40" s="20">
        <f>DATE(2000,MONTH(Table1[[#This Row],[date]]),1)</f>
        <v>36770</v>
      </c>
      <c r="K40" s="18" t="str">
        <f>TEXT(Table1[[#This Row],[date]],"mm")</f>
        <v>09</v>
      </c>
      <c r="L40" s="16" t="s">
        <v>70</v>
      </c>
      <c r="M40">
        <v>2020</v>
      </c>
      <c r="N40" t="s">
        <v>24</v>
      </c>
      <c r="O40" t="s">
        <v>19</v>
      </c>
      <c r="P40">
        <v>18</v>
      </c>
      <c r="Q40">
        <f>AVERAGE(Table1[funds_raised_millions])</f>
        <v>470.28289473684208</v>
      </c>
      <c r="R40">
        <f>AVERAGE(Table1[total_laid_off])</f>
        <v>236.96936274509804</v>
      </c>
    </row>
    <row r="41" spans="1:18" x14ac:dyDescent="0.25">
      <c r="A41" s="3" t="s">
        <v>116</v>
      </c>
      <c r="B41" t="s">
        <v>13</v>
      </c>
      <c r="C41" t="s">
        <v>112</v>
      </c>
      <c r="D41">
        <v>30</v>
      </c>
      <c r="E41" t="s">
        <v>15</v>
      </c>
      <c r="F41" s="1" t="str">
        <f>IF(Table1[[#This Row],[percentage_laid_off]]=100%,"1","0")</f>
        <v>0</v>
      </c>
      <c r="G41" t="b">
        <v>0</v>
      </c>
      <c r="H41" s="2">
        <v>44988</v>
      </c>
      <c r="I41" s="2" t="str">
        <f>TEXT(Table1[[#This Row],[date]],"dd")</f>
        <v>03</v>
      </c>
      <c r="J41" s="20">
        <f>DATE(2000,MONTH(Table1[[#This Row],[date]]),1)</f>
        <v>36586</v>
      </c>
      <c r="K41" s="18" t="str">
        <f>TEXT(Table1[[#This Row],[date]],"mm")</f>
        <v>03</v>
      </c>
      <c r="L41" s="16" t="s">
        <v>57</v>
      </c>
      <c r="M41">
        <v>2023</v>
      </c>
      <c r="N41" t="s">
        <v>38</v>
      </c>
      <c r="O41" t="s">
        <v>19</v>
      </c>
      <c r="P41">
        <v>6400</v>
      </c>
      <c r="Q41">
        <f>AVERAGE(Table1[funds_raised_millions])</f>
        <v>470.28289473684208</v>
      </c>
      <c r="R41">
        <f>AVERAGE(Table1[total_laid_off])</f>
        <v>236.96936274509804</v>
      </c>
    </row>
    <row r="42" spans="1:18" x14ac:dyDescent="0.25">
      <c r="A42" s="3" t="s">
        <v>116</v>
      </c>
      <c r="B42" t="s">
        <v>13</v>
      </c>
      <c r="C42" t="s">
        <v>112</v>
      </c>
      <c r="D42">
        <v>1900</v>
      </c>
      <c r="E42" s="1">
        <v>0.25</v>
      </c>
      <c r="F42" s="1" t="str">
        <f>IF(Table1[[#This Row],[percentage_laid_off]]=100%,"1","0")</f>
        <v>0</v>
      </c>
      <c r="G42" t="s">
        <v>28</v>
      </c>
      <c r="H42" s="2">
        <v>43956</v>
      </c>
      <c r="I42" s="2" t="str">
        <f>TEXT(Table1[[#This Row],[date]],"dd")</f>
        <v>05</v>
      </c>
      <c r="J42" s="20">
        <f>DATE(2000,MONTH(Table1[[#This Row],[date]]),1)</f>
        <v>36647</v>
      </c>
      <c r="K42" s="18" t="str">
        <f>TEXT(Table1[[#This Row],[date]],"mm")</f>
        <v>05</v>
      </c>
      <c r="L42" s="16" t="s">
        <v>86</v>
      </c>
      <c r="M42">
        <v>2020</v>
      </c>
      <c r="N42" t="s">
        <v>117</v>
      </c>
      <c r="O42" t="s">
        <v>19</v>
      </c>
      <c r="P42">
        <v>5400</v>
      </c>
      <c r="Q42">
        <f>AVERAGE(Table1[funds_raised_millions])</f>
        <v>470.28289473684208</v>
      </c>
      <c r="R42">
        <f>AVERAGE(Table1[total_laid_off])</f>
        <v>236.96936274509804</v>
      </c>
    </row>
    <row r="43" spans="1:18" x14ac:dyDescent="0.25">
      <c r="A43" s="3" t="s">
        <v>118</v>
      </c>
      <c r="B43" t="s">
        <v>119</v>
      </c>
      <c r="C43" t="s">
        <v>120</v>
      </c>
      <c r="D43" t="s">
        <v>15</v>
      </c>
      <c r="E43" s="1">
        <v>0.31</v>
      </c>
      <c r="F43" s="1" t="str">
        <f>IF(Table1[[#This Row],[percentage_laid_off]]=100%,"1","0")</f>
        <v>0</v>
      </c>
      <c r="G43" t="s">
        <v>28</v>
      </c>
      <c r="H43" s="2">
        <v>44706</v>
      </c>
      <c r="I43" s="2" t="str">
        <f>TEXT(Table1[[#This Row],[date]],"dd")</f>
        <v>25</v>
      </c>
      <c r="J43" s="20">
        <f>DATE(2000,MONTH(Table1[[#This Row],[date]]),1)</f>
        <v>36647</v>
      </c>
      <c r="K43" s="18" t="str">
        <f>TEXT(Table1[[#This Row],[date]],"mm")</f>
        <v>05</v>
      </c>
      <c r="L43" s="16" t="s">
        <v>86</v>
      </c>
      <c r="M43">
        <v>2022</v>
      </c>
      <c r="N43" t="s">
        <v>30</v>
      </c>
      <c r="O43" t="s">
        <v>121</v>
      </c>
      <c r="P43">
        <v>109</v>
      </c>
      <c r="Q43">
        <f>AVERAGE(Table1[funds_raised_millions])</f>
        <v>470.28289473684208</v>
      </c>
      <c r="R43">
        <f>AVERAGE(Table1[total_laid_off])</f>
        <v>236.96936274509804</v>
      </c>
    </row>
    <row r="44" spans="1:18" x14ac:dyDescent="0.25">
      <c r="A44" s="3" t="s">
        <v>118</v>
      </c>
      <c r="B44" t="s">
        <v>119</v>
      </c>
      <c r="C44" t="s">
        <v>120</v>
      </c>
      <c r="D44" t="s">
        <v>15</v>
      </c>
      <c r="E44" s="1">
        <v>1</v>
      </c>
      <c r="F44" s="1" t="str">
        <f>IF(Table1[[#This Row],[percentage_laid_off]]=100%,"1","0")</f>
        <v>1</v>
      </c>
      <c r="G44" t="s">
        <v>114</v>
      </c>
      <c r="H44" s="2">
        <v>44902</v>
      </c>
      <c r="I44" s="2" t="str">
        <f>TEXT(Table1[[#This Row],[date]],"dd")</f>
        <v>07</v>
      </c>
      <c r="J44" s="20">
        <f>DATE(2000,MONTH(Table1[[#This Row],[date]]),1)</f>
        <v>36861</v>
      </c>
      <c r="K44" s="18" t="str">
        <f>TEXT(Table1[[#This Row],[date]],"mm")</f>
        <v>12</v>
      </c>
      <c r="L44" s="16" t="s">
        <v>61</v>
      </c>
      <c r="M44">
        <v>2022</v>
      </c>
      <c r="N44" t="s">
        <v>30</v>
      </c>
      <c r="O44" t="s">
        <v>121</v>
      </c>
      <c r="P44">
        <v>109</v>
      </c>
      <c r="Q44">
        <f>AVERAGE(Table1[funds_raised_millions])</f>
        <v>470.28289473684208</v>
      </c>
      <c r="R44">
        <f>AVERAGE(Table1[total_laid_off])</f>
        <v>236.96936274509804</v>
      </c>
    </row>
    <row r="45" spans="1:18" x14ac:dyDescent="0.25">
      <c r="A45" s="3" t="s">
        <v>122</v>
      </c>
      <c r="B45" t="s">
        <v>13</v>
      </c>
      <c r="C45" t="s">
        <v>123</v>
      </c>
      <c r="D45">
        <v>254</v>
      </c>
      <c r="E45" s="1">
        <v>0.2</v>
      </c>
      <c r="F45" s="1" t="str">
        <f>IF(Table1[[#This Row],[percentage_laid_off]]=100%,"1","0")</f>
        <v>0</v>
      </c>
      <c r="G45" t="s">
        <v>28</v>
      </c>
      <c r="H45" s="2">
        <v>44785</v>
      </c>
      <c r="I45" s="2" t="str">
        <f>TEXT(Table1[[#This Row],[date]],"dd")</f>
        <v>12</v>
      </c>
      <c r="J45" s="20">
        <f>DATE(2000,MONTH(Table1[[#This Row],[date]]),1)</f>
        <v>36739</v>
      </c>
      <c r="K45" s="18" t="str">
        <f>TEXT(Table1[[#This Row],[date]],"mm")</f>
        <v>08</v>
      </c>
      <c r="L45" s="16" t="s">
        <v>53</v>
      </c>
      <c r="M45">
        <v>2022</v>
      </c>
      <c r="N45" t="s">
        <v>100</v>
      </c>
      <c r="O45" t="s">
        <v>19</v>
      </c>
      <c r="P45">
        <v>1400</v>
      </c>
      <c r="Q45">
        <f>AVERAGE(Table1[funds_raised_millions])</f>
        <v>470.28289473684208</v>
      </c>
      <c r="R45">
        <f>AVERAGE(Table1[total_laid_off])</f>
        <v>236.96936274509804</v>
      </c>
    </row>
    <row r="46" spans="1:18" x14ac:dyDescent="0.25">
      <c r="A46" s="3" t="s">
        <v>124</v>
      </c>
      <c r="B46" t="s">
        <v>125</v>
      </c>
      <c r="C46" t="s">
        <v>34</v>
      </c>
      <c r="D46">
        <v>15</v>
      </c>
      <c r="E46" t="s">
        <v>15</v>
      </c>
      <c r="F46" s="1" t="str">
        <f>IF(Table1[[#This Row],[percentage_laid_off]]=100%,"1","0")</f>
        <v>0</v>
      </c>
      <c r="G46" t="b">
        <v>0</v>
      </c>
      <c r="H46" s="2">
        <v>44727</v>
      </c>
      <c r="I46" s="2" t="str">
        <f>TEXT(Table1[[#This Row],[date]],"dd")</f>
        <v>15</v>
      </c>
      <c r="J46" s="20">
        <f>DATE(2000,MONTH(Table1[[#This Row],[date]]),1)</f>
        <v>36678</v>
      </c>
      <c r="K46" s="18" t="str">
        <f>TEXT(Table1[[#This Row],[date]],"mm")</f>
        <v>06</v>
      </c>
      <c r="L46" s="16" t="s">
        <v>73</v>
      </c>
      <c r="M46">
        <v>2022</v>
      </c>
      <c r="N46" t="s">
        <v>47</v>
      </c>
      <c r="O46" t="s">
        <v>126</v>
      </c>
      <c r="P46">
        <v>7</v>
      </c>
      <c r="Q46">
        <f>AVERAGE(Table1[funds_raised_millions])</f>
        <v>470.28289473684208</v>
      </c>
      <c r="R46">
        <f>AVERAGE(Table1[total_laid_off])</f>
        <v>236.96936274509804</v>
      </c>
    </row>
    <row r="47" spans="1:18" x14ac:dyDescent="0.25">
      <c r="A47" s="3" t="s">
        <v>127</v>
      </c>
      <c r="B47" t="s">
        <v>40</v>
      </c>
      <c r="C47" t="s">
        <v>34</v>
      </c>
      <c r="D47">
        <v>30</v>
      </c>
      <c r="E47" s="1">
        <v>0.2</v>
      </c>
      <c r="F47" s="1" t="str">
        <f>IF(Table1[[#This Row],[percentage_laid_off]]=100%,"1","0")</f>
        <v>0</v>
      </c>
      <c r="G47" t="s">
        <v>28</v>
      </c>
      <c r="H47" s="2">
        <v>44704</v>
      </c>
      <c r="I47" s="2" t="str">
        <f>TEXT(Table1[[#This Row],[date]],"dd")</f>
        <v>23</v>
      </c>
      <c r="J47" s="20">
        <f>DATE(2000,MONTH(Table1[[#This Row],[date]]),1)</f>
        <v>36647</v>
      </c>
      <c r="K47" s="18" t="str">
        <f>TEXT(Table1[[#This Row],[date]],"mm")</f>
        <v>05</v>
      </c>
      <c r="L47" s="16" t="s">
        <v>86</v>
      </c>
      <c r="M47">
        <v>2022</v>
      </c>
      <c r="N47" t="s">
        <v>30</v>
      </c>
      <c r="O47" t="s">
        <v>19</v>
      </c>
      <c r="P47">
        <v>33</v>
      </c>
      <c r="Q47">
        <f>AVERAGE(Table1[funds_raised_millions])</f>
        <v>470.28289473684208</v>
      </c>
      <c r="R47">
        <f>AVERAGE(Table1[total_laid_off])</f>
        <v>236.96936274509804</v>
      </c>
    </row>
    <row r="48" spans="1:18" x14ac:dyDescent="0.25">
      <c r="A48" s="3" t="s">
        <v>128</v>
      </c>
      <c r="B48" t="s">
        <v>129</v>
      </c>
      <c r="C48" t="s">
        <v>112</v>
      </c>
      <c r="D48" t="s">
        <v>15</v>
      </c>
      <c r="E48" s="1">
        <v>0.7</v>
      </c>
      <c r="F48" s="1" t="str">
        <f>IF(Table1[[#This Row],[percentage_laid_off]]=100%,"1","0")</f>
        <v>0</v>
      </c>
      <c r="G48" t="s">
        <v>130</v>
      </c>
      <c r="H48" s="2">
        <v>43943</v>
      </c>
      <c r="I48" s="2" t="str">
        <f>TEXT(Table1[[#This Row],[date]],"dd")</f>
        <v>22</v>
      </c>
      <c r="J48" s="20">
        <f>DATE(2000,MONTH(Table1[[#This Row],[date]]),1)</f>
        <v>36617</v>
      </c>
      <c r="K48" s="18" t="str">
        <f>TEXT(Table1[[#This Row],[date]],"mm")</f>
        <v>04</v>
      </c>
      <c r="L48" s="16" t="s">
        <v>37</v>
      </c>
      <c r="M48">
        <v>2020</v>
      </c>
      <c r="N48" t="s">
        <v>47</v>
      </c>
      <c r="O48" t="s">
        <v>131</v>
      </c>
      <c r="P48" t="s">
        <v>15</v>
      </c>
      <c r="Q48">
        <f>AVERAGE(Table1[funds_raised_millions])</f>
        <v>470.28289473684208</v>
      </c>
      <c r="R48">
        <f>AVERAGE(Table1[total_laid_off])</f>
        <v>236.96936274509804</v>
      </c>
    </row>
    <row r="49" spans="1:18" x14ac:dyDescent="0.25">
      <c r="A49" s="3" t="s">
        <v>128</v>
      </c>
      <c r="B49" t="s">
        <v>129</v>
      </c>
      <c r="C49" t="s">
        <v>112</v>
      </c>
      <c r="D49" t="s">
        <v>15</v>
      </c>
      <c r="E49" s="1">
        <v>1</v>
      </c>
      <c r="F49" s="1" t="str">
        <f>IF(Table1[[#This Row],[percentage_laid_off]]=100%,"1","0")</f>
        <v>1</v>
      </c>
      <c r="G49" t="s">
        <v>114</v>
      </c>
      <c r="H49" s="2">
        <v>44017</v>
      </c>
      <c r="I49" s="2" t="str">
        <f>TEXT(Table1[[#This Row],[date]],"dd")</f>
        <v>05</v>
      </c>
      <c r="J49" s="20">
        <f>DATE(2000,MONTH(Table1[[#This Row],[date]]),1)</f>
        <v>36708</v>
      </c>
      <c r="K49" s="18" t="str">
        <f>TEXT(Table1[[#This Row],[date]],"mm")</f>
        <v>07</v>
      </c>
      <c r="L49" s="16" t="s">
        <v>17</v>
      </c>
      <c r="M49">
        <v>2020</v>
      </c>
      <c r="N49" t="s">
        <v>47</v>
      </c>
      <c r="O49" t="s">
        <v>131</v>
      </c>
      <c r="P49" t="s">
        <v>15</v>
      </c>
      <c r="Q49">
        <f>AVERAGE(Table1[funds_raised_millions])</f>
        <v>470.28289473684208</v>
      </c>
      <c r="R49">
        <f>AVERAGE(Table1[total_laid_off])</f>
        <v>236.96936274509804</v>
      </c>
    </row>
    <row r="50" spans="1:18" x14ac:dyDescent="0.25">
      <c r="A50" s="3" t="s">
        <v>132</v>
      </c>
      <c r="B50" t="s">
        <v>133</v>
      </c>
      <c r="C50" t="s">
        <v>134</v>
      </c>
      <c r="D50" t="s">
        <v>15</v>
      </c>
      <c r="E50" s="1">
        <v>0.2</v>
      </c>
      <c r="F50" s="1" t="str">
        <f>IF(Table1[[#This Row],[percentage_laid_off]]=100%,"1","0")</f>
        <v>0</v>
      </c>
      <c r="G50" t="s">
        <v>28</v>
      </c>
      <c r="H50" s="2">
        <v>44944</v>
      </c>
      <c r="I50" s="2" t="str">
        <f>TEXT(Table1[[#This Row],[date]],"dd")</f>
        <v>18</v>
      </c>
      <c r="J50" s="20">
        <f>DATE(2000,MONTH(Table1[[#This Row],[date]]),1)</f>
        <v>36526</v>
      </c>
      <c r="K50" s="18" t="str">
        <f>TEXT(Table1[[#This Row],[date]],"mm")</f>
        <v>01</v>
      </c>
      <c r="L50" s="16" t="s">
        <v>29</v>
      </c>
      <c r="M50">
        <v>2023</v>
      </c>
      <c r="N50" t="s">
        <v>43</v>
      </c>
      <c r="O50" t="s">
        <v>135</v>
      </c>
      <c r="P50">
        <v>420</v>
      </c>
      <c r="Q50">
        <f>AVERAGE(Table1[funds_raised_millions])</f>
        <v>470.28289473684208</v>
      </c>
      <c r="R50">
        <f>AVERAGE(Table1[total_laid_off])</f>
        <v>236.96936274509804</v>
      </c>
    </row>
    <row r="51" spans="1:18" x14ac:dyDescent="0.25">
      <c r="A51" s="3" t="s">
        <v>136</v>
      </c>
      <c r="B51" t="s">
        <v>129</v>
      </c>
      <c r="C51" t="s">
        <v>82</v>
      </c>
      <c r="D51">
        <v>67</v>
      </c>
      <c r="E51" s="1">
        <v>0.08</v>
      </c>
      <c r="F51" s="1" t="str">
        <f>IF(Table1[[#This Row],[percentage_laid_off]]=100%,"1","0")</f>
        <v>0</v>
      </c>
      <c r="G51" t="s">
        <v>16</v>
      </c>
      <c r="H51" s="2">
        <v>44893</v>
      </c>
      <c r="I51" s="2" t="str">
        <f>TEXT(Table1[[#This Row],[date]],"dd")</f>
        <v>28</v>
      </c>
      <c r="J51" s="20">
        <f>DATE(2000,MONTH(Table1[[#This Row],[date]]),1)</f>
        <v>36831</v>
      </c>
      <c r="K51" s="18" t="str">
        <f>TEXT(Table1[[#This Row],[date]],"mm")</f>
        <v>11</v>
      </c>
      <c r="L51" s="16" t="s">
        <v>23</v>
      </c>
      <c r="M51">
        <v>2022</v>
      </c>
      <c r="N51" t="s">
        <v>47</v>
      </c>
      <c r="O51" t="s">
        <v>131</v>
      </c>
      <c r="P51">
        <v>245</v>
      </c>
      <c r="Q51">
        <f>AVERAGE(Table1[funds_raised_millions])</f>
        <v>470.28289473684208</v>
      </c>
      <c r="R51">
        <f>AVERAGE(Table1[total_laid_off])</f>
        <v>236.96936274509804</v>
      </c>
    </row>
    <row r="52" spans="1:18" x14ac:dyDescent="0.25">
      <c r="A52" s="3" t="s">
        <v>137</v>
      </c>
      <c r="B52" t="s">
        <v>138</v>
      </c>
      <c r="C52" t="s">
        <v>14</v>
      </c>
      <c r="D52">
        <v>46</v>
      </c>
      <c r="E52" s="1">
        <v>0.3</v>
      </c>
      <c r="F52" s="1" t="str">
        <f>IF(Table1[[#This Row],[percentage_laid_off]]=100%,"1","0")</f>
        <v>0</v>
      </c>
      <c r="G52" t="s">
        <v>28</v>
      </c>
      <c r="H52" s="2">
        <v>45261</v>
      </c>
      <c r="I52" s="2" t="str">
        <f>TEXT(Table1[[#This Row],[date]],"dd")</f>
        <v>01</v>
      </c>
      <c r="J52" s="20">
        <f>DATE(2000,MONTH(Table1[[#This Row],[date]]),1)</f>
        <v>36861</v>
      </c>
      <c r="K52" s="18" t="str">
        <f>TEXT(Table1[[#This Row],[date]],"mm")</f>
        <v>12</v>
      </c>
      <c r="L52" s="16" t="s">
        <v>61</v>
      </c>
      <c r="M52">
        <v>2023</v>
      </c>
      <c r="N52" t="s">
        <v>139</v>
      </c>
      <c r="O52" t="s">
        <v>19</v>
      </c>
      <c r="P52" t="s">
        <v>15</v>
      </c>
      <c r="Q52">
        <f>AVERAGE(Table1[funds_raised_millions])</f>
        <v>470.28289473684208</v>
      </c>
      <c r="R52">
        <f>AVERAGE(Table1[total_laid_off])</f>
        <v>236.96936274509804</v>
      </c>
    </row>
    <row r="53" spans="1:18" x14ac:dyDescent="0.25">
      <c r="A53" s="3" t="s">
        <v>140</v>
      </c>
      <c r="B53" t="s">
        <v>129</v>
      </c>
      <c r="C53" t="s">
        <v>82</v>
      </c>
      <c r="D53">
        <v>100</v>
      </c>
      <c r="E53" t="s">
        <v>15</v>
      </c>
      <c r="F53" s="1" t="str">
        <f>IF(Table1[[#This Row],[percentage_laid_off]]=100%,"1","0")</f>
        <v>0</v>
      </c>
      <c r="G53" t="b">
        <v>0</v>
      </c>
      <c r="H53" s="2">
        <v>43936</v>
      </c>
      <c r="I53" s="2" t="str">
        <f>TEXT(Table1[[#This Row],[date]],"dd")</f>
        <v>15</v>
      </c>
      <c r="J53" s="20">
        <f>DATE(2000,MONTH(Table1[[#This Row],[date]]),1)</f>
        <v>36617</v>
      </c>
      <c r="K53" s="18" t="str">
        <f>TEXT(Table1[[#This Row],[date]],"mm")</f>
        <v>04</v>
      </c>
      <c r="L53" s="16" t="s">
        <v>37</v>
      </c>
      <c r="M53">
        <v>2020</v>
      </c>
      <c r="N53" t="s">
        <v>43</v>
      </c>
      <c r="O53" t="s">
        <v>131</v>
      </c>
      <c r="P53">
        <v>160</v>
      </c>
      <c r="Q53">
        <f>AVERAGE(Table1[funds_raised_millions])</f>
        <v>470.28289473684208</v>
      </c>
      <c r="R53">
        <f>AVERAGE(Table1[total_laid_off])</f>
        <v>236.96936274509804</v>
      </c>
    </row>
    <row r="54" spans="1:18" x14ac:dyDescent="0.25">
      <c r="A54" s="3" t="s">
        <v>141</v>
      </c>
      <c r="B54" t="s">
        <v>142</v>
      </c>
      <c r="C54" t="s">
        <v>14</v>
      </c>
      <c r="D54">
        <v>80</v>
      </c>
      <c r="E54" s="1">
        <v>0.14000000000000001</v>
      </c>
      <c r="F54" s="1" t="str">
        <f>IF(Table1[[#This Row],[percentage_laid_off]]=100%,"1","0")</f>
        <v>0</v>
      </c>
      <c r="G54" t="s">
        <v>28</v>
      </c>
      <c r="H54" s="2">
        <v>44789</v>
      </c>
      <c r="I54" s="2" t="str">
        <f>TEXT(Table1[[#This Row],[date]],"dd")</f>
        <v>16</v>
      </c>
      <c r="J54" s="20">
        <f>DATE(2000,MONTH(Table1[[#This Row],[date]]),1)</f>
        <v>36739</v>
      </c>
      <c r="K54" s="18" t="str">
        <f>TEXT(Table1[[#This Row],[date]],"mm")</f>
        <v>08</v>
      </c>
      <c r="L54" s="16" t="s">
        <v>53</v>
      </c>
      <c r="M54">
        <v>2022</v>
      </c>
      <c r="N54" t="s">
        <v>43</v>
      </c>
      <c r="O54" t="s">
        <v>31</v>
      </c>
      <c r="P54">
        <v>293</v>
      </c>
      <c r="Q54">
        <f>AVERAGE(Table1[funds_raised_millions])</f>
        <v>470.28289473684208</v>
      </c>
      <c r="R54">
        <f>AVERAGE(Table1[total_laid_off])</f>
        <v>236.96936274509804</v>
      </c>
    </row>
    <row r="55" spans="1:18" x14ac:dyDescent="0.25">
      <c r="A55" s="3" t="s">
        <v>143</v>
      </c>
      <c r="B55" t="s">
        <v>33</v>
      </c>
      <c r="C55" t="s">
        <v>82</v>
      </c>
      <c r="D55">
        <v>20</v>
      </c>
      <c r="E55" s="1">
        <v>0.08</v>
      </c>
      <c r="F55" s="1" t="str">
        <f>IF(Table1[[#This Row],[percentage_laid_off]]=100%,"1","0")</f>
        <v>0</v>
      </c>
      <c r="G55" t="s">
        <v>16</v>
      </c>
      <c r="H55" s="2">
        <v>44840</v>
      </c>
      <c r="I55" s="2" t="str">
        <f>TEXT(Table1[[#This Row],[date]],"dd")</f>
        <v>06</v>
      </c>
      <c r="J55" s="20">
        <f>DATE(2000,MONTH(Table1[[#This Row],[date]]),1)</f>
        <v>36800</v>
      </c>
      <c r="K55" s="18" t="str">
        <f>TEXT(Table1[[#This Row],[date]],"mm")</f>
        <v>10</v>
      </c>
      <c r="L55" s="16" t="s">
        <v>95</v>
      </c>
      <c r="M55">
        <v>2022</v>
      </c>
      <c r="N55" t="s">
        <v>35</v>
      </c>
      <c r="O55" t="s">
        <v>19</v>
      </c>
      <c r="P55">
        <v>175</v>
      </c>
      <c r="Q55">
        <f>AVERAGE(Table1[funds_raised_millions])</f>
        <v>470.28289473684208</v>
      </c>
      <c r="R55">
        <f>AVERAGE(Table1[total_laid_off])</f>
        <v>236.96936274509804</v>
      </c>
    </row>
    <row r="56" spans="1:18" x14ac:dyDescent="0.25">
      <c r="A56" s="3" t="s">
        <v>144</v>
      </c>
      <c r="B56" t="s">
        <v>145</v>
      </c>
      <c r="C56" t="s">
        <v>41</v>
      </c>
      <c r="D56">
        <v>400</v>
      </c>
      <c r="E56" t="s">
        <v>15</v>
      </c>
      <c r="F56" s="1" t="str">
        <f>IF(Table1[[#This Row],[percentage_laid_off]]=100%,"1","0")</f>
        <v>0</v>
      </c>
      <c r="G56" t="b">
        <v>0</v>
      </c>
      <c r="H56" s="2">
        <v>45080</v>
      </c>
      <c r="I56" s="2" t="str">
        <f>TEXT(Table1[[#This Row],[date]],"dd")</f>
        <v>03</v>
      </c>
      <c r="J56" s="20">
        <f>DATE(2000,MONTH(Table1[[#This Row],[date]]),1)</f>
        <v>36678</v>
      </c>
      <c r="K56" s="18" t="str">
        <f>TEXT(Table1[[#This Row],[date]],"mm")</f>
        <v>06</v>
      </c>
      <c r="L56" s="16" t="s">
        <v>73</v>
      </c>
      <c r="M56">
        <v>2023</v>
      </c>
      <c r="N56" t="s">
        <v>30</v>
      </c>
      <c r="O56" t="s">
        <v>146</v>
      </c>
      <c r="P56">
        <v>16</v>
      </c>
      <c r="Q56">
        <f>AVERAGE(Table1[funds_raised_millions])</f>
        <v>470.28289473684208</v>
      </c>
      <c r="R56">
        <f>AVERAGE(Table1[total_laid_off])</f>
        <v>236.96936274509804</v>
      </c>
    </row>
    <row r="57" spans="1:18" x14ac:dyDescent="0.25">
      <c r="A57" s="3" t="s">
        <v>147</v>
      </c>
      <c r="B57" t="s">
        <v>45</v>
      </c>
      <c r="C57" t="s">
        <v>14</v>
      </c>
      <c r="D57">
        <v>63</v>
      </c>
      <c r="E57" t="s">
        <v>15</v>
      </c>
      <c r="F57" s="1" t="str">
        <f>IF(Table1[[#This Row],[percentage_laid_off]]=100%,"1","0")</f>
        <v>0</v>
      </c>
      <c r="G57" t="b">
        <v>0</v>
      </c>
      <c r="H57" s="2">
        <v>44872</v>
      </c>
      <c r="I57" s="2" t="str">
        <f>TEXT(Table1[[#This Row],[date]],"dd")</f>
        <v>07</v>
      </c>
      <c r="J57" s="20">
        <f>DATE(2000,MONTH(Table1[[#This Row],[date]]),1)</f>
        <v>36831</v>
      </c>
      <c r="K57" s="18" t="str">
        <f>TEXT(Table1[[#This Row],[date]],"mm")</f>
        <v>11</v>
      </c>
      <c r="L57" s="16" t="s">
        <v>23</v>
      </c>
      <c r="M57">
        <v>2022</v>
      </c>
      <c r="N57" t="s">
        <v>35</v>
      </c>
      <c r="O57" t="s">
        <v>48</v>
      </c>
      <c r="P57">
        <v>174</v>
      </c>
      <c r="Q57">
        <f>AVERAGE(Table1[funds_raised_millions])</f>
        <v>470.28289473684208</v>
      </c>
      <c r="R57">
        <f>AVERAGE(Table1[total_laid_off])</f>
        <v>236.96936274509804</v>
      </c>
    </row>
    <row r="58" spans="1:18" x14ac:dyDescent="0.25">
      <c r="A58" s="3" t="s">
        <v>147</v>
      </c>
      <c r="B58" t="s">
        <v>45</v>
      </c>
      <c r="C58" t="s">
        <v>14</v>
      </c>
      <c r="D58">
        <v>113</v>
      </c>
      <c r="E58" s="1">
        <v>0.16</v>
      </c>
      <c r="F58" s="1" t="str">
        <f>IF(Table1[[#This Row],[percentage_laid_off]]=100%,"1","0")</f>
        <v>0</v>
      </c>
      <c r="G58" t="s">
        <v>28</v>
      </c>
      <c r="H58" s="2">
        <v>44816</v>
      </c>
      <c r="I58" s="2" t="str">
        <f>TEXT(Table1[[#This Row],[date]],"dd")</f>
        <v>12</v>
      </c>
      <c r="J58" s="20">
        <f>DATE(2000,MONTH(Table1[[#This Row],[date]]),1)</f>
        <v>36770</v>
      </c>
      <c r="K58" s="18" t="str">
        <f>TEXT(Table1[[#This Row],[date]],"mm")</f>
        <v>09</v>
      </c>
      <c r="L58" s="16" t="s">
        <v>70</v>
      </c>
      <c r="M58">
        <v>2022</v>
      </c>
      <c r="N58" t="s">
        <v>35</v>
      </c>
      <c r="O58" t="s">
        <v>48</v>
      </c>
      <c r="P58">
        <v>174</v>
      </c>
      <c r="Q58">
        <f>AVERAGE(Table1[funds_raised_millions])</f>
        <v>470.28289473684208</v>
      </c>
      <c r="R58">
        <f>AVERAGE(Table1[total_laid_off])</f>
        <v>236.96936274509804</v>
      </c>
    </row>
    <row r="59" spans="1:18" x14ac:dyDescent="0.25">
      <c r="A59" s="3" t="s">
        <v>148</v>
      </c>
      <c r="B59" t="s">
        <v>149</v>
      </c>
      <c r="C59" t="s">
        <v>41</v>
      </c>
      <c r="D59">
        <v>400</v>
      </c>
      <c r="E59" s="1">
        <v>0.4</v>
      </c>
      <c r="F59" s="1" t="str">
        <f>IF(Table1[[#This Row],[percentage_laid_off]]=100%,"1","0")</f>
        <v>0</v>
      </c>
      <c r="G59" t="s">
        <v>28</v>
      </c>
      <c r="H59" s="2">
        <v>44695</v>
      </c>
      <c r="I59" s="2" t="str">
        <f>TEXT(Table1[[#This Row],[date]],"dd")</f>
        <v>14</v>
      </c>
      <c r="J59" s="20">
        <f>DATE(2000,MONTH(Table1[[#This Row],[date]]),1)</f>
        <v>36647</v>
      </c>
      <c r="K59" s="18" t="str">
        <f>TEXT(Table1[[#This Row],[date]],"mm")</f>
        <v>05</v>
      </c>
      <c r="L59" s="16" t="s">
        <v>86</v>
      </c>
      <c r="M59">
        <v>2022</v>
      </c>
      <c r="N59" t="s">
        <v>71</v>
      </c>
      <c r="O59" t="s">
        <v>150</v>
      </c>
      <c r="P59">
        <v>60</v>
      </c>
      <c r="Q59">
        <f>AVERAGE(Table1[funds_raised_millions])</f>
        <v>470.28289473684208</v>
      </c>
      <c r="R59">
        <f>AVERAGE(Table1[total_laid_off])</f>
        <v>236.96936274509804</v>
      </c>
    </row>
    <row r="60" spans="1:18" x14ac:dyDescent="0.25">
      <c r="A60" s="3" t="s">
        <v>151</v>
      </c>
      <c r="B60" t="s">
        <v>13</v>
      </c>
      <c r="C60" t="s">
        <v>41</v>
      </c>
      <c r="D60">
        <v>23</v>
      </c>
      <c r="E60" t="s">
        <v>15</v>
      </c>
      <c r="F60" s="1" t="str">
        <f>IF(Table1[[#This Row],[percentage_laid_off]]=100%,"1","0")</f>
        <v>0</v>
      </c>
      <c r="G60" t="b">
        <v>0</v>
      </c>
      <c r="H60" s="2">
        <v>44770</v>
      </c>
      <c r="I60" s="2" t="str">
        <f>TEXT(Table1[[#This Row],[date]],"dd")</f>
        <v>28</v>
      </c>
      <c r="J60" s="20">
        <f>DATE(2000,MONTH(Table1[[#This Row],[date]]),1)</f>
        <v>36708</v>
      </c>
      <c r="K60" s="18" t="str">
        <f>TEXT(Table1[[#This Row],[date]],"mm")</f>
        <v>07</v>
      </c>
      <c r="L60" s="16" t="s">
        <v>17</v>
      </c>
      <c r="M60">
        <v>2022</v>
      </c>
      <c r="N60" t="s">
        <v>38</v>
      </c>
      <c r="O60" t="s">
        <v>19</v>
      </c>
      <c r="P60">
        <v>202</v>
      </c>
      <c r="Q60">
        <f>AVERAGE(Table1[funds_raised_millions])</f>
        <v>470.28289473684208</v>
      </c>
      <c r="R60">
        <f>AVERAGE(Table1[total_laid_off])</f>
        <v>236.96936274509804</v>
      </c>
    </row>
    <row r="61" spans="1:18" x14ac:dyDescent="0.25">
      <c r="A61" s="3" t="s">
        <v>152</v>
      </c>
      <c r="B61" t="s">
        <v>13</v>
      </c>
      <c r="C61" t="s">
        <v>14</v>
      </c>
      <c r="D61">
        <v>47</v>
      </c>
      <c r="E61" s="1">
        <v>0.06</v>
      </c>
      <c r="F61" s="1" t="str">
        <f>IF(Table1[[#This Row],[percentage_laid_off]]=100%,"1","0")</f>
        <v>0</v>
      </c>
      <c r="G61" t="s">
        <v>16</v>
      </c>
      <c r="H61" s="2">
        <v>44103</v>
      </c>
      <c r="I61" s="2" t="str">
        <f>TEXT(Table1[[#This Row],[date]],"dd")</f>
        <v>29</v>
      </c>
      <c r="J61" s="20">
        <f>DATE(2000,MONTH(Table1[[#This Row],[date]]),1)</f>
        <v>36770</v>
      </c>
      <c r="K61" s="18" t="str">
        <f>TEXT(Table1[[#This Row],[date]],"mm")</f>
        <v>09</v>
      </c>
      <c r="L61" s="16" t="s">
        <v>70</v>
      </c>
      <c r="M61">
        <v>2020</v>
      </c>
      <c r="N61" t="s">
        <v>43</v>
      </c>
      <c r="O61" t="s">
        <v>19</v>
      </c>
      <c r="P61">
        <v>356</v>
      </c>
      <c r="Q61">
        <f>AVERAGE(Table1[funds_raised_millions])</f>
        <v>470.28289473684208</v>
      </c>
      <c r="R61">
        <f>AVERAGE(Table1[total_laid_off])</f>
        <v>236.96936274509804</v>
      </c>
    </row>
    <row r="62" spans="1:18" x14ac:dyDescent="0.25">
      <c r="A62" s="3" t="s">
        <v>153</v>
      </c>
      <c r="B62" t="s">
        <v>68</v>
      </c>
      <c r="C62" t="s">
        <v>41</v>
      </c>
      <c r="D62">
        <v>150</v>
      </c>
      <c r="E62" t="s">
        <v>15</v>
      </c>
      <c r="F62" s="1" t="str">
        <f>IF(Table1[[#This Row],[percentage_laid_off]]=100%,"1","0")</f>
        <v>0</v>
      </c>
      <c r="G62" t="b">
        <v>0</v>
      </c>
      <c r="H62" s="2">
        <v>44862</v>
      </c>
      <c r="I62" s="2" t="str">
        <f>TEXT(Table1[[#This Row],[date]],"dd")</f>
        <v>28</v>
      </c>
      <c r="J62" s="20">
        <f>DATE(2000,MONTH(Table1[[#This Row],[date]]),1)</f>
        <v>36800</v>
      </c>
      <c r="K62" s="18" t="str">
        <f>TEXT(Table1[[#This Row],[date]],"mm")</f>
        <v>10</v>
      </c>
      <c r="L62" s="16" t="s">
        <v>95</v>
      </c>
      <c r="M62">
        <v>2022</v>
      </c>
      <c r="N62" t="s">
        <v>38</v>
      </c>
      <c r="O62" t="s">
        <v>19</v>
      </c>
      <c r="P62">
        <v>108</v>
      </c>
      <c r="Q62">
        <f>AVERAGE(Table1[funds_raised_millions])</f>
        <v>470.28289473684208</v>
      </c>
      <c r="R62">
        <f>AVERAGE(Table1[total_laid_off])</f>
        <v>236.96936274509804</v>
      </c>
    </row>
    <row r="63" spans="1:18" x14ac:dyDescent="0.25">
      <c r="A63" s="3" t="s">
        <v>153</v>
      </c>
      <c r="B63" t="s">
        <v>68</v>
      </c>
      <c r="C63" t="s">
        <v>41</v>
      </c>
      <c r="D63">
        <v>8000</v>
      </c>
      <c r="E63" s="1">
        <v>0.02</v>
      </c>
      <c r="F63" s="1" t="str">
        <f>IF(Table1[[#This Row],[percentage_laid_off]]=100%,"1","0")</f>
        <v>0</v>
      </c>
      <c r="G63" t="s">
        <v>16</v>
      </c>
      <c r="H63" s="2">
        <v>45017</v>
      </c>
      <c r="I63" s="2" t="str">
        <f>TEXT(Table1[[#This Row],[date]],"dd")</f>
        <v>01</v>
      </c>
      <c r="J63" s="20">
        <f>DATE(2000,MONTH(Table1[[#This Row],[date]]),1)</f>
        <v>36617</v>
      </c>
      <c r="K63" s="18" t="str">
        <f>TEXT(Table1[[#This Row],[date]],"mm")</f>
        <v>04</v>
      </c>
      <c r="L63" s="16" t="s">
        <v>37</v>
      </c>
      <c r="M63">
        <v>2023</v>
      </c>
      <c r="N63" t="s">
        <v>38</v>
      </c>
      <c r="O63" t="s">
        <v>19</v>
      </c>
      <c r="P63">
        <v>108</v>
      </c>
      <c r="Q63">
        <f>AVERAGE(Table1[funds_raised_millions])</f>
        <v>470.28289473684208</v>
      </c>
      <c r="R63">
        <f>AVERAGE(Table1[total_laid_off])</f>
        <v>236.96936274509804</v>
      </c>
    </row>
    <row r="64" spans="1:18" x14ac:dyDescent="0.25">
      <c r="A64" s="3" t="s">
        <v>153</v>
      </c>
      <c r="B64" t="s">
        <v>68</v>
      </c>
      <c r="C64" t="s">
        <v>41</v>
      </c>
      <c r="D64">
        <v>10000</v>
      </c>
      <c r="E64" s="1">
        <v>0.03</v>
      </c>
      <c r="F64" s="1" t="str">
        <f>IF(Table1[[#This Row],[percentage_laid_off]]=100%,"1","0")</f>
        <v>0</v>
      </c>
      <c r="G64" t="s">
        <v>16</v>
      </c>
      <c r="H64" s="2">
        <v>44881</v>
      </c>
      <c r="I64" s="2" t="str">
        <f>TEXT(Table1[[#This Row],[date]],"dd")</f>
        <v>16</v>
      </c>
      <c r="J64" s="20">
        <f>DATE(2000,MONTH(Table1[[#This Row],[date]]),1)</f>
        <v>36831</v>
      </c>
      <c r="K64" s="18" t="str">
        <f>TEXT(Table1[[#This Row],[date]],"mm")</f>
        <v>11</v>
      </c>
      <c r="L64" s="16" t="s">
        <v>23</v>
      </c>
      <c r="M64">
        <v>2022</v>
      </c>
      <c r="N64" t="s">
        <v>38</v>
      </c>
      <c r="O64" t="s">
        <v>19</v>
      </c>
      <c r="P64">
        <v>108</v>
      </c>
      <c r="Q64">
        <f>AVERAGE(Table1[funds_raised_millions])</f>
        <v>470.28289473684208</v>
      </c>
      <c r="R64">
        <f>AVERAGE(Table1[total_laid_off])</f>
        <v>236.96936274509804</v>
      </c>
    </row>
    <row r="65" spans="1:18" x14ac:dyDescent="0.25">
      <c r="A65" s="3" t="s">
        <v>154</v>
      </c>
      <c r="B65" t="s">
        <v>155</v>
      </c>
      <c r="C65" t="s">
        <v>46</v>
      </c>
      <c r="D65" t="s">
        <v>15</v>
      </c>
      <c r="E65" s="1">
        <v>0.1</v>
      </c>
      <c r="F65" s="1" t="str">
        <f>IF(Table1[[#This Row],[percentage_laid_off]]=100%,"1","0")</f>
        <v>0</v>
      </c>
      <c r="G65" t="s">
        <v>16</v>
      </c>
      <c r="H65" s="2">
        <v>44813</v>
      </c>
      <c r="I65" s="2" t="str">
        <f>TEXT(Table1[[#This Row],[date]],"dd")</f>
        <v>09</v>
      </c>
      <c r="J65" s="20">
        <f>DATE(2000,MONTH(Table1[[#This Row],[date]]),1)</f>
        <v>36770</v>
      </c>
      <c r="K65" s="18" t="str">
        <f>TEXT(Table1[[#This Row],[date]],"mm")</f>
        <v>09</v>
      </c>
      <c r="L65" s="16" t="s">
        <v>70</v>
      </c>
      <c r="M65">
        <v>2022</v>
      </c>
      <c r="N65" t="s">
        <v>30</v>
      </c>
      <c r="O65" t="s">
        <v>155</v>
      </c>
      <c r="P65">
        <v>328</v>
      </c>
      <c r="Q65">
        <f>AVERAGE(Table1[funds_raised_millions])</f>
        <v>470.28289473684208</v>
      </c>
      <c r="R65">
        <f>AVERAGE(Table1[total_laid_off])</f>
        <v>236.96936274509804</v>
      </c>
    </row>
    <row r="66" spans="1:18" x14ac:dyDescent="0.25">
      <c r="A66" s="3" t="s">
        <v>156</v>
      </c>
      <c r="B66" t="s">
        <v>157</v>
      </c>
      <c r="C66" t="s">
        <v>64</v>
      </c>
      <c r="D66">
        <v>50</v>
      </c>
      <c r="E66" t="s">
        <v>15</v>
      </c>
      <c r="F66" s="1" t="str">
        <f>IF(Table1[[#This Row],[percentage_laid_off]]=100%,"1","0")</f>
        <v>0</v>
      </c>
      <c r="G66" t="b">
        <v>0</v>
      </c>
      <c r="H66" s="2">
        <v>44960</v>
      </c>
      <c r="I66" s="2" t="str">
        <f>TEXT(Table1[[#This Row],[date]],"dd")</f>
        <v>03</v>
      </c>
      <c r="J66" s="20">
        <f>DATE(2000,MONTH(Table1[[#This Row],[date]]),1)</f>
        <v>36557</v>
      </c>
      <c r="K66" s="18" t="str">
        <f>TEXT(Table1[[#This Row],[date]],"mm")</f>
        <v>02</v>
      </c>
      <c r="L66" s="16" t="s">
        <v>42</v>
      </c>
      <c r="M66">
        <v>2023</v>
      </c>
      <c r="N66" t="s">
        <v>71</v>
      </c>
      <c r="O66" t="s">
        <v>48</v>
      </c>
      <c r="P66" t="s">
        <v>15</v>
      </c>
      <c r="Q66">
        <f>AVERAGE(Table1[funds_raised_millions])</f>
        <v>470.28289473684208</v>
      </c>
      <c r="R66">
        <f>AVERAGE(Table1[total_laid_off])</f>
        <v>236.96936274509804</v>
      </c>
    </row>
    <row r="67" spans="1:18" x14ac:dyDescent="0.25">
      <c r="A67" s="3" t="s">
        <v>158</v>
      </c>
      <c r="B67" t="s">
        <v>159</v>
      </c>
      <c r="C67" t="s">
        <v>66</v>
      </c>
      <c r="D67">
        <v>700</v>
      </c>
      <c r="E67" s="1">
        <v>0.03</v>
      </c>
      <c r="F67" s="1" t="str">
        <f>IF(Table1[[#This Row],[percentage_laid_off]]=100%,"1","0")</f>
        <v>0</v>
      </c>
      <c r="G67" t="s">
        <v>16</v>
      </c>
      <c r="H67" s="2">
        <v>44958</v>
      </c>
      <c r="I67" s="2" t="str">
        <f>TEXT(Table1[[#This Row],[date]],"dd")</f>
        <v>01</v>
      </c>
      <c r="J67" s="20">
        <f>DATE(2000,MONTH(Table1[[#This Row],[date]]),1)</f>
        <v>36557</v>
      </c>
      <c r="K67" s="18" t="str">
        <f>TEXT(Table1[[#This Row],[date]],"mm")</f>
        <v>02</v>
      </c>
      <c r="L67" s="16" t="s">
        <v>42</v>
      </c>
      <c r="M67">
        <v>2023</v>
      </c>
      <c r="N67" t="s">
        <v>38</v>
      </c>
      <c r="O67" t="s">
        <v>19</v>
      </c>
      <c r="P67" t="s">
        <v>15</v>
      </c>
      <c r="Q67">
        <f>AVERAGE(Table1[funds_raised_millions])</f>
        <v>470.28289473684208</v>
      </c>
      <c r="R67">
        <f>AVERAGE(Table1[total_laid_off])</f>
        <v>236.96936274509804</v>
      </c>
    </row>
    <row r="68" spans="1:18" x14ac:dyDescent="0.25">
      <c r="A68" s="3" t="s">
        <v>160</v>
      </c>
      <c r="B68" t="s">
        <v>88</v>
      </c>
      <c r="C68" t="s">
        <v>161</v>
      </c>
      <c r="D68">
        <v>50</v>
      </c>
      <c r="E68" s="1">
        <v>0.65</v>
      </c>
      <c r="F68" s="1" t="str">
        <f>IF(Table1[[#This Row],[percentage_laid_off]]=100%,"1","0")</f>
        <v>0</v>
      </c>
      <c r="G68" t="s">
        <v>130</v>
      </c>
      <c r="H68" s="2">
        <v>44943</v>
      </c>
      <c r="I68" s="2" t="str">
        <f>TEXT(Table1[[#This Row],[date]],"dd")</f>
        <v>17</v>
      </c>
      <c r="J68" s="20">
        <f>DATE(2000,MONTH(Table1[[#This Row],[date]]),1)</f>
        <v>36526</v>
      </c>
      <c r="K68" s="18" t="str">
        <f>TEXT(Table1[[#This Row],[date]],"mm")</f>
        <v>01</v>
      </c>
      <c r="L68" s="16" t="s">
        <v>29</v>
      </c>
      <c r="M68">
        <v>2023</v>
      </c>
      <c r="N68" t="s">
        <v>71</v>
      </c>
      <c r="O68" t="s">
        <v>19</v>
      </c>
      <c r="P68">
        <v>92</v>
      </c>
      <c r="Q68">
        <f>AVERAGE(Table1[funds_raised_millions])</f>
        <v>470.28289473684208</v>
      </c>
      <c r="R68">
        <f>AVERAGE(Table1[total_laid_off])</f>
        <v>236.96936274509804</v>
      </c>
    </row>
    <row r="69" spans="1:18" x14ac:dyDescent="0.25">
      <c r="A69" s="3" t="s">
        <v>162</v>
      </c>
      <c r="B69" t="s">
        <v>91</v>
      </c>
      <c r="C69" t="s">
        <v>82</v>
      </c>
      <c r="D69" t="s">
        <v>15</v>
      </c>
      <c r="E69" s="1">
        <v>0.18</v>
      </c>
      <c r="F69" s="1" t="str">
        <f>IF(Table1[[#This Row],[percentage_laid_off]]=100%,"1","0")</f>
        <v>0</v>
      </c>
      <c r="G69" t="s">
        <v>28</v>
      </c>
      <c r="H69" s="2">
        <v>44739</v>
      </c>
      <c r="I69" s="2" t="str">
        <f>TEXT(Table1[[#This Row],[date]],"dd")</f>
        <v>27</v>
      </c>
      <c r="J69" s="20">
        <f>DATE(2000,MONTH(Table1[[#This Row],[date]]),1)</f>
        <v>36678</v>
      </c>
      <c r="K69" s="18" t="str">
        <f>TEXT(Table1[[#This Row],[date]],"mm")</f>
        <v>06</v>
      </c>
      <c r="L69" s="16" t="s">
        <v>73</v>
      </c>
      <c r="M69">
        <v>2022</v>
      </c>
      <c r="N69" t="s">
        <v>47</v>
      </c>
      <c r="O69" t="s">
        <v>19</v>
      </c>
      <c r="P69">
        <v>283</v>
      </c>
      <c r="Q69">
        <f>AVERAGE(Table1[funds_raised_millions])</f>
        <v>470.28289473684208</v>
      </c>
      <c r="R69">
        <f>AVERAGE(Table1[total_laid_off])</f>
        <v>236.96936274509804</v>
      </c>
    </row>
    <row r="70" spans="1:18" x14ac:dyDescent="0.25">
      <c r="A70" s="3" t="s">
        <v>162</v>
      </c>
      <c r="B70" t="s">
        <v>91</v>
      </c>
      <c r="C70" t="s">
        <v>82</v>
      </c>
      <c r="D70">
        <v>130</v>
      </c>
      <c r="E70" s="1">
        <v>0.25</v>
      </c>
      <c r="F70" s="1" t="str">
        <f>IF(Table1[[#This Row],[percentage_laid_off]]=100%,"1","0")</f>
        <v>0</v>
      </c>
      <c r="G70" t="s">
        <v>28</v>
      </c>
      <c r="H70" s="2">
        <v>44984</v>
      </c>
      <c r="I70" s="2" t="str">
        <f>TEXT(Table1[[#This Row],[date]],"dd")</f>
        <v>27</v>
      </c>
      <c r="J70" s="20">
        <f>DATE(2000,MONTH(Table1[[#This Row],[date]]),1)</f>
        <v>36557</v>
      </c>
      <c r="K70" s="18" t="str">
        <f>TEXT(Table1[[#This Row],[date]],"mm")</f>
        <v>02</v>
      </c>
      <c r="L70" s="16" t="s">
        <v>42</v>
      </c>
      <c r="M70">
        <v>2023</v>
      </c>
      <c r="N70" t="s">
        <v>47</v>
      </c>
      <c r="O70" t="s">
        <v>19</v>
      </c>
      <c r="P70">
        <v>283</v>
      </c>
      <c r="Q70">
        <f>AVERAGE(Table1[funds_raised_millions])</f>
        <v>470.28289473684208</v>
      </c>
      <c r="R70">
        <f>AVERAGE(Table1[total_laid_off])</f>
        <v>236.96936274509804</v>
      </c>
    </row>
    <row r="71" spans="1:18" x14ac:dyDescent="0.25">
      <c r="A71" s="3" t="s">
        <v>163</v>
      </c>
      <c r="B71" t="s">
        <v>68</v>
      </c>
      <c r="C71" t="s">
        <v>22</v>
      </c>
      <c r="D71">
        <v>13</v>
      </c>
      <c r="E71" s="1">
        <v>0.03</v>
      </c>
      <c r="F71" s="1" t="str">
        <f>IF(Table1[[#This Row],[percentage_laid_off]]=100%,"1","0")</f>
        <v>0</v>
      </c>
      <c r="G71" t="s">
        <v>16</v>
      </c>
      <c r="H71" s="2">
        <v>44793</v>
      </c>
      <c r="I71" s="2" t="str">
        <f>TEXT(Table1[[#This Row],[date]],"dd")</f>
        <v>20</v>
      </c>
      <c r="J71" s="20">
        <f>DATE(2000,MONTH(Table1[[#This Row],[date]]),1)</f>
        <v>36739</v>
      </c>
      <c r="K71" s="18" t="str">
        <f>TEXT(Table1[[#This Row],[date]],"mm")</f>
        <v>08</v>
      </c>
      <c r="L71" s="16" t="s">
        <v>53</v>
      </c>
      <c r="M71">
        <v>2022</v>
      </c>
      <c r="N71" t="s">
        <v>43</v>
      </c>
      <c r="O71" t="s">
        <v>19</v>
      </c>
      <c r="P71">
        <v>187</v>
      </c>
      <c r="Q71">
        <f>AVERAGE(Table1[funds_raised_millions])</f>
        <v>470.28289473684208</v>
      </c>
      <c r="R71">
        <f>AVERAGE(Table1[total_laid_off])</f>
        <v>236.96936274509804</v>
      </c>
    </row>
    <row r="72" spans="1:18" x14ac:dyDescent="0.25">
      <c r="A72" s="3" t="s">
        <v>164</v>
      </c>
      <c r="B72" t="s">
        <v>68</v>
      </c>
      <c r="C72" t="s">
        <v>22</v>
      </c>
      <c r="D72">
        <v>17</v>
      </c>
      <c r="E72" s="1">
        <v>1</v>
      </c>
      <c r="F72" s="1" t="str">
        <f>IF(Table1[[#This Row],[percentage_laid_off]]=100%,"1","0")</f>
        <v>1</v>
      </c>
      <c r="G72" t="s">
        <v>114</v>
      </c>
      <c r="H72" s="2">
        <v>43919</v>
      </c>
      <c r="I72" s="2" t="str">
        <f>TEXT(Table1[[#This Row],[date]],"dd")</f>
        <v>29</v>
      </c>
      <c r="J72" s="20">
        <f>DATE(2000,MONTH(Table1[[#This Row],[date]]),1)</f>
        <v>36586</v>
      </c>
      <c r="K72" s="18" t="str">
        <f>TEXT(Table1[[#This Row],[date]],"mm")</f>
        <v>03</v>
      </c>
      <c r="L72" s="16" t="s">
        <v>57</v>
      </c>
      <c r="M72">
        <v>2020</v>
      </c>
      <c r="N72" t="s">
        <v>30</v>
      </c>
      <c r="O72" t="s">
        <v>19</v>
      </c>
      <c r="P72">
        <v>25</v>
      </c>
      <c r="Q72">
        <f>AVERAGE(Table1[funds_raised_millions])</f>
        <v>470.28289473684208</v>
      </c>
      <c r="R72">
        <f>AVERAGE(Table1[total_laid_off])</f>
        <v>236.96936274509804</v>
      </c>
    </row>
    <row r="73" spans="1:18" x14ac:dyDescent="0.25">
      <c r="A73" s="3" t="s">
        <v>165</v>
      </c>
      <c r="B73" t="s">
        <v>33</v>
      </c>
      <c r="C73" t="s">
        <v>14</v>
      </c>
      <c r="D73">
        <v>17</v>
      </c>
      <c r="E73" t="s">
        <v>15</v>
      </c>
      <c r="F73" s="1" t="str">
        <f>IF(Table1[[#This Row],[percentage_laid_off]]=100%,"1","0")</f>
        <v>0</v>
      </c>
      <c r="G73" t="b">
        <v>0</v>
      </c>
      <c r="H73" s="2">
        <v>43894</v>
      </c>
      <c r="I73" s="2" t="str">
        <f>TEXT(Table1[[#This Row],[date]],"dd")</f>
        <v>04</v>
      </c>
      <c r="J73" s="20">
        <f>DATE(2000,MONTH(Table1[[#This Row],[date]]),1)</f>
        <v>36586</v>
      </c>
      <c r="K73" s="18" t="str">
        <f>TEXT(Table1[[#This Row],[date]],"mm")</f>
        <v>03</v>
      </c>
      <c r="L73" s="16" t="s">
        <v>57</v>
      </c>
      <c r="M73">
        <v>2020</v>
      </c>
      <c r="N73" t="s">
        <v>24</v>
      </c>
      <c r="O73" t="s">
        <v>19</v>
      </c>
      <c r="P73">
        <v>14</v>
      </c>
      <c r="Q73">
        <f>AVERAGE(Table1[funds_raised_millions])</f>
        <v>470.28289473684208</v>
      </c>
      <c r="R73">
        <f>AVERAGE(Table1[total_laid_off])</f>
        <v>236.96936274509804</v>
      </c>
    </row>
    <row r="74" spans="1:18" x14ac:dyDescent="0.25">
      <c r="A74" s="3" t="s">
        <v>166</v>
      </c>
      <c r="B74" t="s">
        <v>40</v>
      </c>
      <c r="C74" t="s">
        <v>167</v>
      </c>
      <c r="D74">
        <v>135</v>
      </c>
      <c r="E74" s="1">
        <v>0.1</v>
      </c>
      <c r="F74" s="1" t="str">
        <f>IF(Table1[[#This Row],[percentage_laid_off]]=100%,"1","0")</f>
        <v>0</v>
      </c>
      <c r="G74" t="s">
        <v>16</v>
      </c>
      <c r="H74" s="2">
        <v>43956</v>
      </c>
      <c r="I74" s="2" t="str">
        <f>TEXT(Table1[[#This Row],[date]],"dd")</f>
        <v>05</v>
      </c>
      <c r="J74" s="20">
        <f>DATE(2000,MONTH(Table1[[#This Row],[date]]),1)</f>
        <v>36647</v>
      </c>
      <c r="K74" s="18" t="str">
        <f>TEXT(Table1[[#This Row],[date]],"mm")</f>
        <v>05</v>
      </c>
      <c r="L74" s="16" t="s">
        <v>86</v>
      </c>
      <c r="M74">
        <v>2020</v>
      </c>
      <c r="N74" t="s">
        <v>43</v>
      </c>
      <c r="O74" t="s">
        <v>19</v>
      </c>
      <c r="P74">
        <v>181</v>
      </c>
      <c r="Q74">
        <f>AVERAGE(Table1[funds_raised_millions])</f>
        <v>470.28289473684208</v>
      </c>
      <c r="R74">
        <f>AVERAGE(Table1[total_laid_off])</f>
        <v>236.96936274509804</v>
      </c>
    </row>
    <row r="75" spans="1:18" x14ac:dyDescent="0.25">
      <c r="A75" s="3" t="s">
        <v>168</v>
      </c>
      <c r="B75" t="s">
        <v>13</v>
      </c>
      <c r="C75" t="s">
        <v>167</v>
      </c>
      <c r="D75">
        <v>20</v>
      </c>
      <c r="E75" t="s">
        <v>15</v>
      </c>
      <c r="F75" s="1" t="str">
        <f>IF(Table1[[#This Row],[percentage_laid_off]]=100%,"1","0")</f>
        <v>0</v>
      </c>
      <c r="G75" t="b">
        <v>0</v>
      </c>
      <c r="H75" s="2">
        <v>43921</v>
      </c>
      <c r="I75" s="2" t="str">
        <f>TEXT(Table1[[#This Row],[date]],"dd")</f>
        <v>31</v>
      </c>
      <c r="J75" s="20">
        <f>DATE(2000,MONTH(Table1[[#This Row],[date]]),1)</f>
        <v>36586</v>
      </c>
      <c r="K75" s="18" t="str">
        <f>TEXT(Table1[[#This Row],[date]],"mm")</f>
        <v>03</v>
      </c>
      <c r="L75" s="16" t="s">
        <v>57</v>
      </c>
      <c r="M75">
        <v>2020</v>
      </c>
      <c r="N75" t="s">
        <v>30</v>
      </c>
      <c r="O75" t="s">
        <v>19</v>
      </c>
      <c r="P75">
        <v>26</v>
      </c>
      <c r="Q75">
        <f>AVERAGE(Table1[funds_raised_millions])</f>
        <v>470.28289473684208</v>
      </c>
      <c r="R75">
        <f>AVERAGE(Table1[total_laid_off])</f>
        <v>236.96936274509804</v>
      </c>
    </row>
    <row r="76" spans="1:18" x14ac:dyDescent="0.25">
      <c r="A76" s="3" t="s">
        <v>169</v>
      </c>
      <c r="B76" t="s">
        <v>170</v>
      </c>
      <c r="C76" t="s">
        <v>89</v>
      </c>
      <c r="D76">
        <v>35</v>
      </c>
      <c r="E76" s="1">
        <v>0.27</v>
      </c>
      <c r="F76" s="1" t="str">
        <f>IF(Table1[[#This Row],[percentage_laid_off]]=100%,"1","0")</f>
        <v>0</v>
      </c>
      <c r="G76" t="s">
        <v>28</v>
      </c>
      <c r="H76" s="2">
        <v>44719</v>
      </c>
      <c r="I76" s="2" t="str">
        <f>TEXT(Table1[[#This Row],[date]],"dd")</f>
        <v>07</v>
      </c>
      <c r="J76" s="20">
        <f>DATE(2000,MONTH(Table1[[#This Row],[date]]),1)</f>
        <v>36678</v>
      </c>
      <c r="K76" s="18" t="str">
        <f>TEXT(Table1[[#This Row],[date]],"mm")</f>
        <v>06</v>
      </c>
      <c r="L76" s="16" t="s">
        <v>73</v>
      </c>
      <c r="M76">
        <v>2022</v>
      </c>
      <c r="N76" t="s">
        <v>35</v>
      </c>
      <c r="O76" t="s">
        <v>19</v>
      </c>
      <c r="P76">
        <v>64</v>
      </c>
      <c r="Q76">
        <f>AVERAGE(Table1[funds_raised_millions])</f>
        <v>470.28289473684208</v>
      </c>
      <c r="R76">
        <f>AVERAGE(Table1[total_laid_off])</f>
        <v>236.96936274509804</v>
      </c>
    </row>
    <row r="77" spans="1:18" x14ac:dyDescent="0.25">
      <c r="A77" s="3" t="s">
        <v>171</v>
      </c>
      <c r="B77" t="s">
        <v>170</v>
      </c>
      <c r="C77" t="s">
        <v>14</v>
      </c>
      <c r="D77">
        <v>23</v>
      </c>
      <c r="E77" s="1">
        <v>0.38</v>
      </c>
      <c r="F77" s="1" t="str">
        <f>IF(Table1[[#This Row],[percentage_laid_off]]=100%,"1","0")</f>
        <v>0</v>
      </c>
      <c r="G77" t="s">
        <v>28</v>
      </c>
      <c r="H77" s="2">
        <v>44857</v>
      </c>
      <c r="I77" s="2" t="str">
        <f>TEXT(Table1[[#This Row],[date]],"dd")</f>
        <v>23</v>
      </c>
      <c r="J77" s="20">
        <f>DATE(2000,MONTH(Table1[[#This Row],[date]]),1)</f>
        <v>36800</v>
      </c>
      <c r="K77" s="18" t="str">
        <f>TEXT(Table1[[#This Row],[date]],"mm")</f>
        <v>10</v>
      </c>
      <c r="L77" s="16" t="s">
        <v>95</v>
      </c>
      <c r="M77">
        <v>2022</v>
      </c>
      <c r="N77" t="s">
        <v>47</v>
      </c>
      <c r="O77" t="s">
        <v>172</v>
      </c>
      <c r="P77">
        <v>36</v>
      </c>
      <c r="Q77">
        <f>AVERAGE(Table1[funds_raised_millions])</f>
        <v>470.28289473684208</v>
      </c>
      <c r="R77">
        <f>AVERAGE(Table1[total_laid_off])</f>
        <v>236.96936274509804</v>
      </c>
    </row>
    <row r="78" spans="1:18" x14ac:dyDescent="0.25">
      <c r="A78" s="3" t="s">
        <v>173</v>
      </c>
      <c r="B78" t="s">
        <v>170</v>
      </c>
      <c r="C78" t="s">
        <v>174</v>
      </c>
      <c r="D78">
        <v>11</v>
      </c>
      <c r="E78" t="s">
        <v>15</v>
      </c>
      <c r="F78" s="1" t="str">
        <f>IF(Table1[[#This Row],[percentage_laid_off]]=100%,"1","0")</f>
        <v>0</v>
      </c>
      <c r="G78" t="b">
        <v>0</v>
      </c>
      <c r="H78" s="2">
        <v>44787</v>
      </c>
      <c r="I78" s="2" t="str">
        <f>TEXT(Table1[[#This Row],[date]],"dd")</f>
        <v>14</v>
      </c>
      <c r="J78" s="20">
        <f>DATE(2000,MONTH(Table1[[#This Row],[date]]),1)</f>
        <v>36739</v>
      </c>
      <c r="K78" s="18" t="str">
        <f>TEXT(Table1[[#This Row],[date]],"mm")</f>
        <v>08</v>
      </c>
      <c r="L78" s="16" t="s">
        <v>53</v>
      </c>
      <c r="M78">
        <v>2022</v>
      </c>
      <c r="N78" t="s">
        <v>24</v>
      </c>
      <c r="O78" t="s">
        <v>172</v>
      </c>
      <c r="P78">
        <v>15</v>
      </c>
      <c r="Q78">
        <f>AVERAGE(Table1[funds_raised_millions])</f>
        <v>470.28289473684208</v>
      </c>
      <c r="R78">
        <f>AVERAGE(Table1[total_laid_off])</f>
        <v>236.96936274509804</v>
      </c>
    </row>
    <row r="79" spans="1:18" x14ac:dyDescent="0.25">
      <c r="A79" s="3" t="s">
        <v>175</v>
      </c>
      <c r="B79" t="s">
        <v>13</v>
      </c>
      <c r="C79" t="s">
        <v>174</v>
      </c>
      <c r="D79">
        <v>29</v>
      </c>
      <c r="E79" s="1">
        <v>0.1</v>
      </c>
      <c r="F79" s="1" t="str">
        <f>IF(Table1[[#This Row],[percentage_laid_off]]=100%,"1","0")</f>
        <v>0</v>
      </c>
      <c r="G79" t="s">
        <v>16</v>
      </c>
      <c r="H79" s="2">
        <v>44804</v>
      </c>
      <c r="I79" s="2" t="str">
        <f>TEXT(Table1[[#This Row],[date]],"dd")</f>
        <v>31</v>
      </c>
      <c r="J79" s="20">
        <f>DATE(2000,MONTH(Table1[[#This Row],[date]]),1)</f>
        <v>36739</v>
      </c>
      <c r="K79" s="18" t="str">
        <f>TEXT(Table1[[#This Row],[date]],"mm")</f>
        <v>08</v>
      </c>
      <c r="L79" s="16" t="s">
        <v>53</v>
      </c>
      <c r="M79">
        <v>2022</v>
      </c>
      <c r="N79" t="s">
        <v>43</v>
      </c>
      <c r="O79" t="s">
        <v>19</v>
      </c>
      <c r="P79">
        <v>169</v>
      </c>
      <c r="Q79">
        <f>AVERAGE(Table1[funds_raised_millions])</f>
        <v>470.28289473684208</v>
      </c>
      <c r="R79">
        <f>AVERAGE(Table1[total_laid_off])</f>
        <v>236.96936274509804</v>
      </c>
    </row>
    <row r="80" spans="1:18" x14ac:dyDescent="0.25">
      <c r="A80" s="3" t="s">
        <v>176</v>
      </c>
      <c r="B80" t="s">
        <v>13</v>
      </c>
      <c r="C80" t="s">
        <v>123</v>
      </c>
      <c r="D80" t="s">
        <v>15</v>
      </c>
      <c r="E80" s="1">
        <v>0.15</v>
      </c>
      <c r="F80" s="1" t="str">
        <f>IF(Table1[[#This Row],[percentage_laid_off]]=100%,"1","0")</f>
        <v>0</v>
      </c>
      <c r="G80" t="s">
        <v>28</v>
      </c>
      <c r="H80" s="2">
        <v>44910</v>
      </c>
      <c r="I80" s="2" t="str">
        <f>TEXT(Table1[[#This Row],[date]],"dd")</f>
        <v>15</v>
      </c>
      <c r="J80" s="20">
        <f>DATE(2000,MONTH(Table1[[#This Row],[date]]),1)</f>
        <v>36861</v>
      </c>
      <c r="K80" s="18" t="str">
        <f>TEXT(Table1[[#This Row],[date]],"mm")</f>
        <v>12</v>
      </c>
      <c r="L80" s="16" t="s">
        <v>61</v>
      </c>
      <c r="M80">
        <v>2022</v>
      </c>
      <c r="N80" t="s">
        <v>43</v>
      </c>
      <c r="O80" t="s">
        <v>19</v>
      </c>
      <c r="P80">
        <v>183</v>
      </c>
      <c r="Q80">
        <f>AVERAGE(Table1[funds_raised_millions])</f>
        <v>470.28289473684208</v>
      </c>
      <c r="R80">
        <f>AVERAGE(Table1[total_laid_off])</f>
        <v>236.96936274509804</v>
      </c>
    </row>
    <row r="81" spans="1:18" x14ac:dyDescent="0.25">
      <c r="A81" s="3" t="s">
        <v>177</v>
      </c>
      <c r="B81" t="s">
        <v>75</v>
      </c>
      <c r="C81" t="s">
        <v>82</v>
      </c>
      <c r="D81" t="s">
        <v>15</v>
      </c>
      <c r="E81" s="1">
        <v>0.25</v>
      </c>
      <c r="F81" s="1" t="str">
        <f>IF(Table1[[#This Row],[percentage_laid_off]]=100%,"1","0")</f>
        <v>0</v>
      </c>
      <c r="G81" t="s">
        <v>28</v>
      </c>
      <c r="H81" s="2">
        <v>44880</v>
      </c>
      <c r="I81" s="2" t="str">
        <f>TEXT(Table1[[#This Row],[date]],"dd")</f>
        <v>15</v>
      </c>
      <c r="J81" s="20">
        <f>DATE(2000,MONTH(Table1[[#This Row],[date]]),1)</f>
        <v>36831</v>
      </c>
      <c r="K81" s="18" t="str">
        <f>TEXT(Table1[[#This Row],[date]],"mm")</f>
        <v>11</v>
      </c>
      <c r="L81" s="16" t="s">
        <v>23</v>
      </c>
      <c r="M81">
        <v>2022</v>
      </c>
      <c r="N81" t="s">
        <v>30</v>
      </c>
      <c r="O81" t="s">
        <v>31</v>
      </c>
      <c r="P81">
        <v>11</v>
      </c>
      <c r="Q81">
        <f>AVERAGE(Table1[funds_raised_millions])</f>
        <v>470.28289473684208</v>
      </c>
      <c r="R81">
        <f>AVERAGE(Table1[total_laid_off])</f>
        <v>236.96936274509804</v>
      </c>
    </row>
    <row r="82" spans="1:18" x14ac:dyDescent="0.25">
      <c r="A82" s="3" t="s">
        <v>178</v>
      </c>
      <c r="B82" t="s">
        <v>13</v>
      </c>
      <c r="C82" t="s">
        <v>89</v>
      </c>
      <c r="D82">
        <v>80</v>
      </c>
      <c r="E82" s="1">
        <v>0.18</v>
      </c>
      <c r="F82" s="1" t="str">
        <f>IF(Table1[[#This Row],[percentage_laid_off]]=100%,"1","0")</f>
        <v>0</v>
      </c>
      <c r="G82" t="s">
        <v>28</v>
      </c>
      <c r="H82" s="2">
        <v>43949</v>
      </c>
      <c r="I82" s="2" t="str">
        <f>TEXT(Table1[[#This Row],[date]],"dd")</f>
        <v>28</v>
      </c>
      <c r="J82" s="20">
        <f>DATE(2000,MONTH(Table1[[#This Row],[date]]),1)</f>
        <v>36617</v>
      </c>
      <c r="K82" s="18" t="str">
        <f>TEXT(Table1[[#This Row],[date]],"mm")</f>
        <v>04</v>
      </c>
      <c r="L82" s="16" t="s">
        <v>37</v>
      </c>
      <c r="M82">
        <v>2020</v>
      </c>
      <c r="N82" t="s">
        <v>47</v>
      </c>
      <c r="O82" t="s">
        <v>19</v>
      </c>
      <c r="P82">
        <v>156</v>
      </c>
      <c r="Q82">
        <f>AVERAGE(Table1[funds_raised_millions])</f>
        <v>470.28289473684208</v>
      </c>
      <c r="R82">
        <f>AVERAGE(Table1[total_laid_off])</f>
        <v>236.96936274509804</v>
      </c>
    </row>
    <row r="83" spans="1:18" x14ac:dyDescent="0.25">
      <c r="A83" s="3" t="s">
        <v>179</v>
      </c>
      <c r="B83" t="s">
        <v>180</v>
      </c>
      <c r="C83" t="s">
        <v>181</v>
      </c>
      <c r="D83">
        <v>34</v>
      </c>
      <c r="E83" s="1">
        <v>0.08</v>
      </c>
      <c r="F83" s="1" t="str">
        <f>IF(Table1[[#This Row],[percentage_laid_off]]=100%,"1","0")</f>
        <v>0</v>
      </c>
      <c r="G83" t="s">
        <v>16</v>
      </c>
      <c r="H83" s="2">
        <v>44928</v>
      </c>
      <c r="I83" s="2" t="str">
        <f>TEXT(Table1[[#This Row],[date]],"dd")</f>
        <v>02</v>
      </c>
      <c r="J83" s="20">
        <f>DATE(2000,MONTH(Table1[[#This Row],[date]]),1)</f>
        <v>36526</v>
      </c>
      <c r="K83" s="18" t="str">
        <f>TEXT(Table1[[#This Row],[date]],"mm")</f>
        <v>01</v>
      </c>
      <c r="L83" s="16" t="s">
        <v>29</v>
      </c>
      <c r="M83">
        <v>2023</v>
      </c>
      <c r="N83" t="s">
        <v>38</v>
      </c>
      <c r="O83" t="s">
        <v>19</v>
      </c>
      <c r="P83" t="s">
        <v>15</v>
      </c>
      <c r="Q83">
        <f>AVERAGE(Table1[funds_raised_millions])</f>
        <v>470.28289473684208</v>
      </c>
      <c r="R83">
        <f>AVERAGE(Table1[total_laid_off])</f>
        <v>236.96936274509804</v>
      </c>
    </row>
    <row r="84" spans="1:18" x14ac:dyDescent="0.25">
      <c r="A84" s="3" t="s">
        <v>182</v>
      </c>
      <c r="B84" t="s">
        <v>180</v>
      </c>
      <c r="C84" t="s">
        <v>181</v>
      </c>
      <c r="D84">
        <v>130</v>
      </c>
      <c r="E84" s="1">
        <v>0.22</v>
      </c>
      <c r="F84" s="1" t="str">
        <f>IF(Table1[[#This Row],[percentage_laid_off]]=100%,"1","0")</f>
        <v>0</v>
      </c>
      <c r="G84" t="s">
        <v>28</v>
      </c>
      <c r="H84" s="2">
        <v>44763</v>
      </c>
      <c r="I84" s="2" t="str">
        <f>TEXT(Table1[[#This Row],[date]],"dd")</f>
        <v>21</v>
      </c>
      <c r="J84" s="20">
        <f>DATE(2000,MONTH(Table1[[#This Row],[date]]),1)</f>
        <v>36708</v>
      </c>
      <c r="K84" s="18" t="str">
        <f>TEXT(Table1[[#This Row],[date]],"mm")</f>
        <v>07</v>
      </c>
      <c r="L84" s="16" t="s">
        <v>17</v>
      </c>
      <c r="M84">
        <v>2022</v>
      </c>
      <c r="N84" t="s">
        <v>38</v>
      </c>
      <c r="O84" t="s">
        <v>19</v>
      </c>
      <c r="P84" t="s">
        <v>15</v>
      </c>
      <c r="Q84">
        <f>AVERAGE(Table1[funds_raised_millions])</f>
        <v>470.28289473684208</v>
      </c>
      <c r="R84">
        <f>AVERAGE(Table1[total_laid_off])</f>
        <v>236.96936274509804</v>
      </c>
    </row>
    <row r="85" spans="1:18" x14ac:dyDescent="0.25">
      <c r="A85" s="3" t="s">
        <v>183</v>
      </c>
      <c r="B85" t="s">
        <v>13</v>
      </c>
      <c r="C85" t="s">
        <v>22</v>
      </c>
      <c r="D85">
        <v>300</v>
      </c>
      <c r="E85" s="1">
        <v>0.12</v>
      </c>
      <c r="F85" s="1" t="str">
        <f>IF(Table1[[#This Row],[percentage_laid_off]]=100%,"1","0")</f>
        <v>0</v>
      </c>
      <c r="G85" t="s">
        <v>28</v>
      </c>
      <c r="H85" s="2">
        <v>44739</v>
      </c>
      <c r="I85" s="2" t="str">
        <f>TEXT(Table1[[#This Row],[date]],"dd")</f>
        <v>27</v>
      </c>
      <c r="J85" s="20">
        <f>DATE(2000,MONTH(Table1[[#This Row],[date]]),1)</f>
        <v>36678</v>
      </c>
      <c r="K85" s="18" t="str">
        <f>TEXT(Table1[[#This Row],[date]],"mm")</f>
        <v>06</v>
      </c>
      <c r="L85" s="16" t="s">
        <v>73</v>
      </c>
      <c r="M85">
        <v>2022</v>
      </c>
      <c r="N85" t="s">
        <v>38</v>
      </c>
      <c r="O85" t="s">
        <v>19</v>
      </c>
      <c r="P85">
        <v>1600</v>
      </c>
      <c r="Q85">
        <f>AVERAGE(Table1[funds_raised_millions])</f>
        <v>470.28289473684208</v>
      </c>
      <c r="R85">
        <f>AVERAGE(Table1[total_laid_off])</f>
        <v>236.96936274509804</v>
      </c>
    </row>
    <row r="86" spans="1:18" x14ac:dyDescent="0.25">
      <c r="A86" s="3" t="s">
        <v>184</v>
      </c>
      <c r="B86" t="s">
        <v>185</v>
      </c>
      <c r="C86" t="s">
        <v>51</v>
      </c>
      <c r="D86">
        <v>90</v>
      </c>
      <c r="E86" s="1">
        <v>0.06</v>
      </c>
      <c r="F86" s="1" t="str">
        <f>IF(Table1[[#This Row],[percentage_laid_off]]=100%,"1","0")</f>
        <v>0</v>
      </c>
      <c r="G86" t="s">
        <v>16</v>
      </c>
      <c r="H86" s="2">
        <v>44893</v>
      </c>
      <c r="I86" s="2" t="str">
        <f>TEXT(Table1[[#This Row],[date]],"dd")</f>
        <v>28</v>
      </c>
      <c r="J86" s="20">
        <f>DATE(2000,MONTH(Table1[[#This Row],[date]]),1)</f>
        <v>36831</v>
      </c>
      <c r="K86" s="18" t="str">
        <f>TEXT(Table1[[#This Row],[date]],"mm")</f>
        <v>11</v>
      </c>
      <c r="L86" s="16" t="s">
        <v>23</v>
      </c>
      <c r="M86">
        <v>2022</v>
      </c>
      <c r="N86" t="s">
        <v>43</v>
      </c>
      <c r="O86" t="s">
        <v>31</v>
      </c>
      <c r="P86">
        <v>483</v>
      </c>
      <c r="Q86">
        <f>AVERAGE(Table1[funds_raised_millions])</f>
        <v>470.28289473684208</v>
      </c>
      <c r="R86">
        <f>AVERAGE(Table1[total_laid_off])</f>
        <v>236.96936274509804</v>
      </c>
    </row>
    <row r="87" spans="1:18" x14ac:dyDescent="0.25">
      <c r="A87" s="3" t="s">
        <v>186</v>
      </c>
      <c r="B87" t="s">
        <v>187</v>
      </c>
      <c r="C87" t="s">
        <v>64</v>
      </c>
      <c r="D87">
        <v>80</v>
      </c>
      <c r="E87" s="1">
        <v>0.3</v>
      </c>
      <c r="F87" s="1" t="str">
        <f>IF(Table1[[#This Row],[percentage_laid_off]]=100%,"1","0")</f>
        <v>0</v>
      </c>
      <c r="G87" t="s">
        <v>28</v>
      </c>
      <c r="H87" s="2">
        <v>44732</v>
      </c>
      <c r="I87" s="2" t="str">
        <f>TEXT(Table1[[#This Row],[date]],"dd")</f>
        <v>20</v>
      </c>
      <c r="J87" s="20">
        <f>DATE(2000,MONTH(Table1[[#This Row],[date]]),1)</f>
        <v>36678</v>
      </c>
      <c r="K87" s="18" t="str">
        <f>TEXT(Table1[[#This Row],[date]],"mm")</f>
        <v>06</v>
      </c>
      <c r="L87" s="16" t="s">
        <v>73</v>
      </c>
      <c r="M87">
        <v>2022</v>
      </c>
      <c r="N87" t="s">
        <v>47</v>
      </c>
      <c r="O87" t="s">
        <v>83</v>
      </c>
      <c r="P87">
        <v>12</v>
      </c>
      <c r="Q87">
        <f>AVERAGE(Table1[funds_raised_millions])</f>
        <v>470.28289473684208</v>
      </c>
      <c r="R87">
        <f>AVERAGE(Table1[total_laid_off])</f>
        <v>236.96936274509804</v>
      </c>
    </row>
    <row r="88" spans="1:18" x14ac:dyDescent="0.25">
      <c r="A88" s="3" t="s">
        <v>188</v>
      </c>
      <c r="B88" t="s">
        <v>88</v>
      </c>
      <c r="C88" t="s">
        <v>181</v>
      </c>
      <c r="D88">
        <v>65</v>
      </c>
      <c r="E88" s="1">
        <v>0.1</v>
      </c>
      <c r="F88" s="1" t="str">
        <f>IF(Table1[[#This Row],[percentage_laid_off]]=100%,"1","0")</f>
        <v>0</v>
      </c>
      <c r="G88" t="s">
        <v>16</v>
      </c>
      <c r="H88" s="2">
        <v>44693</v>
      </c>
      <c r="I88" s="2" t="str">
        <f>TEXT(Table1[[#This Row],[date]],"dd")</f>
        <v>12</v>
      </c>
      <c r="J88" s="20">
        <f>DATE(2000,MONTH(Table1[[#This Row],[date]]),1)</f>
        <v>36647</v>
      </c>
      <c r="K88" s="18" t="str">
        <f>TEXT(Table1[[#This Row],[date]],"mm")</f>
        <v>05</v>
      </c>
      <c r="L88" s="16" t="s">
        <v>86</v>
      </c>
      <c r="M88">
        <v>2022</v>
      </c>
      <c r="N88" t="s">
        <v>18</v>
      </c>
      <c r="O88" t="s">
        <v>19</v>
      </c>
      <c r="P88">
        <v>265</v>
      </c>
      <c r="Q88">
        <f>AVERAGE(Table1[funds_raised_millions])</f>
        <v>470.28289473684208</v>
      </c>
      <c r="R88">
        <f>AVERAGE(Table1[total_laid_off])</f>
        <v>236.96936274509804</v>
      </c>
    </row>
    <row r="89" spans="1:18" x14ac:dyDescent="0.25">
      <c r="A89" s="3" t="s">
        <v>188</v>
      </c>
      <c r="B89" t="s">
        <v>170</v>
      </c>
      <c r="C89" t="s">
        <v>181</v>
      </c>
      <c r="D89">
        <v>24</v>
      </c>
      <c r="E89" s="1">
        <v>0.09</v>
      </c>
      <c r="F89" s="1" t="str">
        <f>IF(Table1[[#This Row],[percentage_laid_off]]=100%,"1","0")</f>
        <v>0</v>
      </c>
      <c r="G89" t="s">
        <v>16</v>
      </c>
      <c r="H89" s="2">
        <v>43834</v>
      </c>
      <c r="I89" s="2" t="str">
        <f>TEXT(Table1[[#This Row],[date]],"dd")</f>
        <v>04</v>
      </c>
      <c r="J89" s="20">
        <f>DATE(2000,MONTH(Table1[[#This Row],[date]]),1)</f>
        <v>36526</v>
      </c>
      <c r="K89" s="18" t="str">
        <f>TEXT(Table1[[#This Row],[date]],"mm")</f>
        <v>01</v>
      </c>
      <c r="L89" s="16" t="s">
        <v>29</v>
      </c>
      <c r="M89">
        <v>2020</v>
      </c>
      <c r="N89" t="s">
        <v>35</v>
      </c>
      <c r="O89" t="s">
        <v>172</v>
      </c>
      <c r="P89">
        <v>100</v>
      </c>
      <c r="Q89">
        <f>AVERAGE(Table1[funds_raised_millions])</f>
        <v>470.28289473684208</v>
      </c>
      <c r="R89">
        <f>AVERAGE(Table1[total_laid_off])</f>
        <v>236.96936274509804</v>
      </c>
    </row>
    <row r="90" spans="1:18" x14ac:dyDescent="0.25">
      <c r="A90" s="3" t="s">
        <v>189</v>
      </c>
      <c r="B90" t="s">
        <v>13</v>
      </c>
      <c r="C90" t="s">
        <v>190</v>
      </c>
      <c r="D90">
        <v>13</v>
      </c>
      <c r="E90" t="s">
        <v>15</v>
      </c>
      <c r="F90" s="1" t="str">
        <f>IF(Table1[[#This Row],[percentage_laid_off]]=100%,"1","0")</f>
        <v>0</v>
      </c>
      <c r="G90" t="b">
        <v>0</v>
      </c>
      <c r="H90" s="2">
        <v>44762</v>
      </c>
      <c r="I90" s="2" t="str">
        <f>TEXT(Table1[[#This Row],[date]],"dd")</f>
        <v>20</v>
      </c>
      <c r="J90" s="20">
        <f>DATE(2000,MONTH(Table1[[#This Row],[date]]),1)</f>
        <v>36708</v>
      </c>
      <c r="K90" s="18" t="str">
        <f>TEXT(Table1[[#This Row],[date]],"mm")</f>
        <v>07</v>
      </c>
      <c r="L90" s="16" t="s">
        <v>17</v>
      </c>
      <c r="M90">
        <v>2022</v>
      </c>
      <c r="N90" t="s">
        <v>139</v>
      </c>
      <c r="O90" t="s">
        <v>19</v>
      </c>
      <c r="P90">
        <v>1</v>
      </c>
      <c r="Q90">
        <f>AVERAGE(Table1[funds_raised_millions])</f>
        <v>470.28289473684208</v>
      </c>
      <c r="R90">
        <f>AVERAGE(Table1[total_laid_off])</f>
        <v>236.96936274509804</v>
      </c>
    </row>
    <row r="91" spans="1:18" x14ac:dyDescent="0.25">
      <c r="A91" s="3" t="s">
        <v>191</v>
      </c>
      <c r="B91" t="s">
        <v>192</v>
      </c>
      <c r="C91" t="s">
        <v>14</v>
      </c>
      <c r="D91" t="s">
        <v>15</v>
      </c>
      <c r="E91" s="1">
        <v>1</v>
      </c>
      <c r="F91" s="1" t="str">
        <f>IF(Table1[[#This Row],[percentage_laid_off]]=100%,"1","0")</f>
        <v>1</v>
      </c>
      <c r="G91" t="s">
        <v>114</v>
      </c>
      <c r="H91" s="2">
        <v>44939</v>
      </c>
      <c r="I91" s="2" t="str">
        <f>TEXT(Table1[[#This Row],[date]],"dd")</f>
        <v>13</v>
      </c>
      <c r="J91" s="20">
        <f>DATE(2000,MONTH(Table1[[#This Row],[date]]),1)</f>
        <v>36526</v>
      </c>
      <c r="K91" s="18" t="str">
        <f>TEXT(Table1[[#This Row],[date]],"mm")</f>
        <v>01</v>
      </c>
      <c r="L91" s="16" t="s">
        <v>29</v>
      </c>
      <c r="M91">
        <v>2023</v>
      </c>
      <c r="N91" t="s">
        <v>35</v>
      </c>
      <c r="O91" t="s">
        <v>19</v>
      </c>
      <c r="P91">
        <v>155</v>
      </c>
      <c r="Q91">
        <f>AVERAGE(Table1[funds_raised_millions])</f>
        <v>470.28289473684208</v>
      </c>
      <c r="R91">
        <f>AVERAGE(Table1[total_laid_off])</f>
        <v>236.96936274509804</v>
      </c>
    </row>
    <row r="92" spans="1:18" x14ac:dyDescent="0.25">
      <c r="A92" s="3" t="s">
        <v>193</v>
      </c>
      <c r="B92" t="s">
        <v>194</v>
      </c>
      <c r="C92" t="s">
        <v>69</v>
      </c>
      <c r="D92">
        <v>100</v>
      </c>
      <c r="E92" t="s">
        <v>15</v>
      </c>
      <c r="F92" s="1" t="str">
        <f>IF(Table1[[#This Row],[percentage_laid_off]]=100%,"1","0")</f>
        <v>0</v>
      </c>
      <c r="G92" t="b">
        <v>0</v>
      </c>
      <c r="H92" s="2">
        <v>44011</v>
      </c>
      <c r="I92" s="2" t="str">
        <f>TEXT(Table1[[#This Row],[date]],"dd")</f>
        <v>29</v>
      </c>
      <c r="J92" s="20">
        <f>DATE(2000,MONTH(Table1[[#This Row],[date]]),1)</f>
        <v>36678</v>
      </c>
      <c r="K92" s="18" t="str">
        <f>TEXT(Table1[[#This Row],[date]],"mm")</f>
        <v>06</v>
      </c>
      <c r="L92" s="16" t="s">
        <v>73</v>
      </c>
      <c r="M92">
        <v>2020</v>
      </c>
      <c r="N92" t="s">
        <v>47</v>
      </c>
      <c r="O92" t="s">
        <v>96</v>
      </c>
      <c r="P92">
        <v>3600</v>
      </c>
      <c r="Q92">
        <f>AVERAGE(Table1[funds_raised_millions])</f>
        <v>470.28289473684208</v>
      </c>
      <c r="R92">
        <f>AVERAGE(Table1[total_laid_off])</f>
        <v>236.96936274509804</v>
      </c>
    </row>
    <row r="93" spans="1:18" x14ac:dyDescent="0.25">
      <c r="A93" s="3" t="s">
        <v>193</v>
      </c>
      <c r="B93" t="s">
        <v>195</v>
      </c>
      <c r="C93" t="s">
        <v>69</v>
      </c>
      <c r="D93">
        <v>150</v>
      </c>
      <c r="E93" s="1">
        <v>0.05</v>
      </c>
      <c r="F93" s="1" t="str">
        <f>IF(Table1[[#This Row],[percentage_laid_off]]=100%,"1","0")</f>
        <v>0</v>
      </c>
      <c r="G93" t="s">
        <v>16</v>
      </c>
      <c r="H93" s="2">
        <v>44749</v>
      </c>
      <c r="I93" s="2" t="str">
        <f>TEXT(Table1[[#This Row],[date]],"dd")</f>
        <v>07</v>
      </c>
      <c r="J93" s="20">
        <f>DATE(2000,MONTH(Table1[[#This Row],[date]]),1)</f>
        <v>36708</v>
      </c>
      <c r="K93" s="18" t="str">
        <f>TEXT(Table1[[#This Row],[date]],"mm")</f>
        <v>07</v>
      </c>
      <c r="L93" s="16" t="s">
        <v>17</v>
      </c>
      <c r="M93">
        <v>2022</v>
      </c>
      <c r="N93" t="s">
        <v>47</v>
      </c>
      <c r="O93" t="s">
        <v>19</v>
      </c>
      <c r="P93">
        <v>3600</v>
      </c>
      <c r="Q93">
        <f>AVERAGE(Table1[funds_raised_millions])</f>
        <v>470.28289473684208</v>
      </c>
      <c r="R93">
        <f>AVERAGE(Table1[total_laid_off])</f>
        <v>236.96936274509804</v>
      </c>
    </row>
    <row r="94" spans="1:18" x14ac:dyDescent="0.25">
      <c r="A94" s="3" t="s">
        <v>193</v>
      </c>
      <c r="B94" t="s">
        <v>195</v>
      </c>
      <c r="C94" t="s">
        <v>69</v>
      </c>
      <c r="D94">
        <v>173</v>
      </c>
      <c r="E94" t="s">
        <v>15</v>
      </c>
      <c r="F94" s="1" t="str">
        <f>IF(Table1[[#This Row],[percentage_laid_off]]=100%,"1","0")</f>
        <v>0</v>
      </c>
      <c r="G94" t="b">
        <v>0</v>
      </c>
      <c r="H94" s="2">
        <v>44860</v>
      </c>
      <c r="I94" s="2" t="str">
        <f>TEXT(Table1[[#This Row],[date]],"dd")</f>
        <v>26</v>
      </c>
      <c r="J94" s="20">
        <f>DATE(2000,MONTH(Table1[[#This Row],[date]]),1)</f>
        <v>36800</v>
      </c>
      <c r="K94" s="18" t="str">
        <f>TEXT(Table1[[#This Row],[date]],"mm")</f>
        <v>10</v>
      </c>
      <c r="L94" s="16" t="s">
        <v>95</v>
      </c>
      <c r="M94">
        <v>2022</v>
      </c>
      <c r="N94" t="s">
        <v>47</v>
      </c>
      <c r="O94" t="s">
        <v>19</v>
      </c>
      <c r="P94">
        <v>3600</v>
      </c>
      <c r="Q94">
        <f>AVERAGE(Table1[funds_raised_millions])</f>
        <v>470.28289473684208</v>
      </c>
      <c r="R94">
        <f>AVERAGE(Table1[total_laid_off])</f>
        <v>236.96936274509804</v>
      </c>
    </row>
    <row r="95" spans="1:18" x14ac:dyDescent="0.25">
      <c r="A95" s="3" t="s">
        <v>193</v>
      </c>
      <c r="B95" t="s">
        <v>13</v>
      </c>
      <c r="C95" t="s">
        <v>69</v>
      </c>
      <c r="D95">
        <v>259</v>
      </c>
      <c r="E95" t="s">
        <v>15</v>
      </c>
      <c r="F95" s="1" t="str">
        <f>IF(Table1[[#This Row],[percentage_laid_off]]=100%,"1","0")</f>
        <v>0</v>
      </c>
      <c r="G95" t="b">
        <v>0</v>
      </c>
      <c r="H95" s="2">
        <v>44572</v>
      </c>
      <c r="I95" s="2" t="str">
        <f>TEXT(Table1[[#This Row],[date]],"dd")</f>
        <v>11</v>
      </c>
      <c r="J95" s="20">
        <f>DATE(2000,MONTH(Table1[[#This Row],[date]]),1)</f>
        <v>36526</v>
      </c>
      <c r="K95" s="18" t="str">
        <f>TEXT(Table1[[#This Row],[date]],"mm")</f>
        <v>01</v>
      </c>
      <c r="L95" s="16" t="s">
        <v>29</v>
      </c>
      <c r="M95">
        <v>2022</v>
      </c>
      <c r="N95" t="s">
        <v>47</v>
      </c>
      <c r="O95" t="s">
        <v>19</v>
      </c>
      <c r="P95">
        <v>3600</v>
      </c>
      <c r="Q95">
        <f>AVERAGE(Table1[funds_raised_millions])</f>
        <v>470.28289473684208</v>
      </c>
      <c r="R95">
        <f>AVERAGE(Table1[total_laid_off])</f>
        <v>236.96936274509804</v>
      </c>
    </row>
    <row r="96" spans="1:18" x14ac:dyDescent="0.25">
      <c r="A96" s="3" t="s">
        <v>196</v>
      </c>
      <c r="B96" t="s">
        <v>40</v>
      </c>
      <c r="C96" t="s">
        <v>82</v>
      </c>
      <c r="D96">
        <v>20</v>
      </c>
      <c r="E96" s="1">
        <v>7.0000000000000007E-2</v>
      </c>
      <c r="F96" s="1" t="str">
        <f>IF(Table1[[#This Row],[percentage_laid_off]]=100%,"1","0")</f>
        <v>0</v>
      </c>
      <c r="G96" t="s">
        <v>16</v>
      </c>
      <c r="H96" s="2">
        <v>44799</v>
      </c>
      <c r="I96" s="2" t="str">
        <f>TEXT(Table1[[#This Row],[date]],"dd")</f>
        <v>26</v>
      </c>
      <c r="J96" s="20">
        <f>DATE(2000,MONTH(Table1[[#This Row],[date]]),1)</f>
        <v>36739</v>
      </c>
      <c r="K96" s="18" t="str">
        <f>TEXT(Table1[[#This Row],[date]],"mm")</f>
        <v>08</v>
      </c>
      <c r="L96" s="16" t="s">
        <v>53</v>
      </c>
      <c r="M96">
        <v>2022</v>
      </c>
      <c r="N96" t="s">
        <v>30</v>
      </c>
      <c r="O96" t="s">
        <v>19</v>
      </c>
      <c r="P96">
        <v>78</v>
      </c>
      <c r="Q96">
        <f>AVERAGE(Table1[funds_raised_millions])</f>
        <v>470.28289473684208</v>
      </c>
      <c r="R96">
        <f>AVERAGE(Table1[total_laid_off])</f>
        <v>236.96936274509804</v>
      </c>
    </row>
    <row r="97" spans="1:18" x14ac:dyDescent="0.25">
      <c r="A97" s="3" t="s">
        <v>197</v>
      </c>
      <c r="B97" t="s">
        <v>13</v>
      </c>
      <c r="C97" t="s">
        <v>181</v>
      </c>
      <c r="D97">
        <v>25</v>
      </c>
      <c r="E97" s="1">
        <v>0.04</v>
      </c>
      <c r="F97" s="1" t="str">
        <f>IF(Table1[[#This Row],[percentage_laid_off]]=100%,"1","0")</f>
        <v>0</v>
      </c>
      <c r="G97" t="s">
        <v>16</v>
      </c>
      <c r="H97" s="2">
        <v>44785</v>
      </c>
      <c r="I97" s="2" t="str">
        <f>TEXT(Table1[[#This Row],[date]],"dd")</f>
        <v>12</v>
      </c>
      <c r="J97" s="20">
        <f>DATE(2000,MONTH(Table1[[#This Row],[date]]),1)</f>
        <v>36739</v>
      </c>
      <c r="K97" s="18" t="str">
        <f>TEXT(Table1[[#This Row],[date]],"mm")</f>
        <v>08</v>
      </c>
      <c r="L97" s="16" t="s">
        <v>53</v>
      </c>
      <c r="M97">
        <v>2022</v>
      </c>
      <c r="N97" t="s">
        <v>117</v>
      </c>
      <c r="O97" t="s">
        <v>19</v>
      </c>
      <c r="P97">
        <v>537</v>
      </c>
      <c r="Q97">
        <f>AVERAGE(Table1[funds_raised_millions])</f>
        <v>470.28289473684208</v>
      </c>
      <c r="R97">
        <f>AVERAGE(Table1[total_laid_off])</f>
        <v>236.96936274509804</v>
      </c>
    </row>
    <row r="98" spans="1:18" x14ac:dyDescent="0.25">
      <c r="A98" s="3" t="s">
        <v>198</v>
      </c>
      <c r="B98" t="s">
        <v>199</v>
      </c>
      <c r="C98" t="s">
        <v>69</v>
      </c>
      <c r="D98" t="s">
        <v>15</v>
      </c>
      <c r="E98" s="1">
        <v>0.3</v>
      </c>
      <c r="F98" s="1" t="str">
        <f>IF(Table1[[#This Row],[percentage_laid_off]]=100%,"1","0")</f>
        <v>0</v>
      </c>
      <c r="G98" t="s">
        <v>28</v>
      </c>
      <c r="H98" s="2">
        <v>44755</v>
      </c>
      <c r="I98" s="2" t="str">
        <f>TEXT(Table1[[#This Row],[date]],"dd")</f>
        <v>13</v>
      </c>
      <c r="J98" s="20">
        <f>DATE(2000,MONTH(Table1[[#This Row],[date]]),1)</f>
        <v>36708</v>
      </c>
      <c r="K98" s="18" t="str">
        <f>TEXT(Table1[[#This Row],[date]],"mm")</f>
        <v>07</v>
      </c>
      <c r="L98" s="16" t="s">
        <v>17</v>
      </c>
      <c r="M98">
        <v>2022</v>
      </c>
      <c r="N98" t="s">
        <v>38</v>
      </c>
      <c r="O98" t="s">
        <v>200</v>
      </c>
      <c r="P98">
        <v>629</v>
      </c>
      <c r="Q98">
        <f>AVERAGE(Table1[funds_raised_millions])</f>
        <v>470.28289473684208</v>
      </c>
      <c r="R98">
        <f>AVERAGE(Table1[total_laid_off])</f>
        <v>236.96936274509804</v>
      </c>
    </row>
    <row r="99" spans="1:18" x14ac:dyDescent="0.25">
      <c r="A99" s="3" t="s">
        <v>198</v>
      </c>
      <c r="B99" t="s">
        <v>199</v>
      </c>
      <c r="C99" t="s">
        <v>69</v>
      </c>
      <c r="D99">
        <v>800</v>
      </c>
      <c r="E99" s="1">
        <v>0.5</v>
      </c>
      <c r="F99" s="1" t="str">
        <f>IF(Table1[[#This Row],[percentage_laid_off]]=100%,"1","0")</f>
        <v>0</v>
      </c>
      <c r="G99" t="s">
        <v>28</v>
      </c>
      <c r="H99" s="2">
        <v>44956</v>
      </c>
      <c r="I99" s="2" t="str">
        <f>TEXT(Table1[[#This Row],[date]],"dd")</f>
        <v>30</v>
      </c>
      <c r="J99" s="20">
        <f>DATE(2000,MONTH(Table1[[#This Row],[date]]),1)</f>
        <v>36526</v>
      </c>
      <c r="K99" s="18" t="str">
        <f>TEXT(Table1[[#This Row],[date]],"mm")</f>
        <v>01</v>
      </c>
      <c r="L99" s="16" t="s">
        <v>29</v>
      </c>
      <c r="M99">
        <v>2023</v>
      </c>
      <c r="N99" t="s">
        <v>38</v>
      </c>
      <c r="O99" t="s">
        <v>200</v>
      </c>
      <c r="P99">
        <v>629</v>
      </c>
      <c r="Q99">
        <f>AVERAGE(Table1[funds_raised_millions])</f>
        <v>470.28289473684208</v>
      </c>
      <c r="R99">
        <f>AVERAGE(Table1[total_laid_off])</f>
        <v>236.96936274509804</v>
      </c>
    </row>
    <row r="100" spans="1:18" x14ac:dyDescent="0.25">
      <c r="A100" s="3" t="s">
        <v>201</v>
      </c>
      <c r="B100" t="s">
        <v>202</v>
      </c>
      <c r="C100" t="s">
        <v>120</v>
      </c>
      <c r="D100">
        <v>75</v>
      </c>
      <c r="E100" s="1">
        <v>7.0000000000000007E-2</v>
      </c>
      <c r="F100" s="1" t="str">
        <f>IF(Table1[[#This Row],[percentage_laid_off]]=100%,"1","0")</f>
        <v>0</v>
      </c>
      <c r="G100" t="s">
        <v>16</v>
      </c>
      <c r="H100" s="2">
        <v>43894</v>
      </c>
      <c r="I100" s="2" t="str">
        <f>TEXT(Table1[[#This Row],[date]],"dd")</f>
        <v>04</v>
      </c>
      <c r="J100" s="20">
        <f>DATE(2000,MONTH(Table1[[#This Row],[date]]),1)</f>
        <v>36586</v>
      </c>
      <c r="K100" s="18" t="str">
        <f>TEXT(Table1[[#This Row],[date]],"mm")</f>
        <v>03</v>
      </c>
      <c r="L100" s="16" t="s">
        <v>57</v>
      </c>
      <c r="M100">
        <v>2020</v>
      </c>
      <c r="N100" t="s">
        <v>30</v>
      </c>
      <c r="O100" t="s">
        <v>19</v>
      </c>
      <c r="P100">
        <v>35</v>
      </c>
      <c r="Q100">
        <f>AVERAGE(Table1[funds_raised_millions])</f>
        <v>470.28289473684208</v>
      </c>
      <c r="R100">
        <f>AVERAGE(Table1[total_laid_off])</f>
        <v>236.96936274509804</v>
      </c>
    </row>
    <row r="101" spans="1:18" x14ac:dyDescent="0.25">
      <c r="A101" s="3" t="s">
        <v>203</v>
      </c>
      <c r="B101" t="s">
        <v>75</v>
      </c>
      <c r="C101" t="s">
        <v>41</v>
      </c>
      <c r="D101">
        <v>216</v>
      </c>
      <c r="E101" s="1">
        <v>0.17</v>
      </c>
      <c r="F101" s="1" t="str">
        <f>IF(Table1[[#This Row],[percentage_laid_off]]=100%,"1","0")</f>
        <v>0</v>
      </c>
      <c r="G101" t="s">
        <v>28</v>
      </c>
      <c r="H101" s="2">
        <v>44659</v>
      </c>
      <c r="I101" s="2" t="str">
        <f>TEXT(Table1[[#This Row],[date]],"dd")</f>
        <v>08</v>
      </c>
      <c r="J101" s="20">
        <f>DATE(2000,MONTH(Table1[[#This Row],[date]]),1)</f>
        <v>36617</v>
      </c>
      <c r="K101" s="18" t="str">
        <f>TEXT(Table1[[#This Row],[date]],"mm")</f>
        <v>04</v>
      </c>
      <c r="L101" s="16" t="s">
        <v>37</v>
      </c>
      <c r="M101">
        <v>2022</v>
      </c>
      <c r="N101" t="s">
        <v>30</v>
      </c>
      <c r="O101" t="s">
        <v>31</v>
      </c>
      <c r="P101" t="s">
        <v>15</v>
      </c>
      <c r="Q101">
        <f>AVERAGE(Table1[funds_raised_millions])</f>
        <v>470.28289473684208</v>
      </c>
      <c r="R101">
        <f>AVERAGE(Table1[total_laid_off])</f>
        <v>236.96936274509804</v>
      </c>
    </row>
    <row r="102" spans="1:18" x14ac:dyDescent="0.25">
      <c r="A102" s="3" t="s">
        <v>204</v>
      </c>
      <c r="B102" t="s">
        <v>40</v>
      </c>
      <c r="C102" t="s">
        <v>51</v>
      </c>
      <c r="D102">
        <v>38</v>
      </c>
      <c r="E102" t="s">
        <v>15</v>
      </c>
      <c r="F102" s="1" t="str">
        <f>IF(Table1[[#This Row],[percentage_laid_off]]=100%,"1","0")</f>
        <v>0</v>
      </c>
      <c r="G102" t="b">
        <v>0</v>
      </c>
      <c r="H102" s="2">
        <v>44959</v>
      </c>
      <c r="I102" s="2" t="str">
        <f>TEXT(Table1[[#This Row],[date]],"dd")</f>
        <v>02</v>
      </c>
      <c r="J102" s="20">
        <f>DATE(2000,MONTH(Table1[[#This Row],[date]]),1)</f>
        <v>36557</v>
      </c>
      <c r="K102" s="18" t="str">
        <f>TEXT(Table1[[#This Row],[date]],"mm")</f>
        <v>02</v>
      </c>
      <c r="L102" s="16" t="s">
        <v>42</v>
      </c>
      <c r="M102">
        <v>2023</v>
      </c>
      <c r="N102" t="s">
        <v>24</v>
      </c>
      <c r="O102" t="s">
        <v>19</v>
      </c>
      <c r="P102">
        <v>1500</v>
      </c>
      <c r="Q102">
        <f>AVERAGE(Table1[funds_raised_millions])</f>
        <v>470.28289473684208</v>
      </c>
      <c r="R102">
        <f>AVERAGE(Table1[total_laid_off])</f>
        <v>236.96936274509804</v>
      </c>
    </row>
    <row r="103" spans="1:18" x14ac:dyDescent="0.25">
      <c r="A103" s="3" t="s">
        <v>205</v>
      </c>
      <c r="B103" t="s">
        <v>94</v>
      </c>
      <c r="C103" t="s">
        <v>41</v>
      </c>
      <c r="D103">
        <v>26</v>
      </c>
      <c r="E103" s="1">
        <v>0.36</v>
      </c>
      <c r="F103" s="1" t="str">
        <f>IF(Table1[[#This Row],[percentage_laid_off]]=100%,"1","0")</f>
        <v>0</v>
      </c>
      <c r="G103" t="s">
        <v>28</v>
      </c>
      <c r="H103" s="2">
        <v>44804</v>
      </c>
      <c r="I103" s="2" t="str">
        <f>TEXT(Table1[[#This Row],[date]],"dd")</f>
        <v>31</v>
      </c>
      <c r="J103" s="20">
        <f>DATE(2000,MONTH(Table1[[#This Row],[date]]),1)</f>
        <v>36739</v>
      </c>
      <c r="K103" s="18" t="str">
        <f>TEXT(Table1[[#This Row],[date]],"mm")</f>
        <v>08</v>
      </c>
      <c r="L103" s="16" t="s">
        <v>53</v>
      </c>
      <c r="M103">
        <v>2022</v>
      </c>
      <c r="N103" t="s">
        <v>47</v>
      </c>
      <c r="O103" t="s">
        <v>96</v>
      </c>
      <c r="P103" t="s">
        <v>15</v>
      </c>
      <c r="Q103">
        <f>AVERAGE(Table1[funds_raised_millions])</f>
        <v>470.28289473684208</v>
      </c>
      <c r="R103">
        <f>AVERAGE(Table1[total_laid_off])</f>
        <v>236.96936274509804</v>
      </c>
    </row>
    <row r="104" spans="1:18" x14ac:dyDescent="0.25">
      <c r="A104" s="3" t="s">
        <v>206</v>
      </c>
      <c r="B104" t="s">
        <v>13</v>
      </c>
      <c r="C104" t="s">
        <v>161</v>
      </c>
      <c r="D104">
        <v>180</v>
      </c>
      <c r="E104" s="1">
        <v>0.09</v>
      </c>
      <c r="F104" s="1" t="str">
        <f>IF(Table1[[#This Row],[percentage_laid_off]]=100%,"1","0")</f>
        <v>0</v>
      </c>
      <c r="G104" t="s">
        <v>16</v>
      </c>
      <c r="H104" s="2">
        <v>44880</v>
      </c>
      <c r="I104" s="2" t="str">
        <f>TEXT(Table1[[#This Row],[date]],"dd")</f>
        <v>15</v>
      </c>
      <c r="J104" s="20">
        <f>DATE(2000,MONTH(Table1[[#This Row],[date]]),1)</f>
        <v>36831</v>
      </c>
      <c r="K104" s="18" t="str">
        <f>TEXT(Table1[[#This Row],[date]],"mm")</f>
        <v>11</v>
      </c>
      <c r="L104" s="16" t="s">
        <v>23</v>
      </c>
      <c r="M104">
        <v>2022</v>
      </c>
      <c r="N104" t="s">
        <v>38</v>
      </c>
      <c r="O104" t="s">
        <v>19</v>
      </c>
      <c r="P104">
        <v>453</v>
      </c>
      <c r="Q104">
        <f>AVERAGE(Table1[funds_raised_millions])</f>
        <v>470.28289473684208</v>
      </c>
      <c r="R104">
        <f>AVERAGE(Table1[total_laid_off])</f>
        <v>236.96936274509804</v>
      </c>
    </row>
    <row r="105" spans="1:18" x14ac:dyDescent="0.25">
      <c r="A105" s="3" t="s">
        <v>207</v>
      </c>
      <c r="B105" t="s">
        <v>13</v>
      </c>
      <c r="C105" t="s">
        <v>22</v>
      </c>
      <c r="D105">
        <v>23</v>
      </c>
      <c r="E105" t="s">
        <v>15</v>
      </c>
      <c r="F105" s="1" t="str">
        <f>IF(Table1[[#This Row],[percentage_laid_off]]=100%,"1","0")</f>
        <v>0</v>
      </c>
      <c r="G105" t="b">
        <v>0</v>
      </c>
      <c r="H105" s="2">
        <v>44757</v>
      </c>
      <c r="I105" s="2" t="str">
        <f>TEXT(Table1[[#This Row],[date]],"dd")</f>
        <v>15</v>
      </c>
      <c r="J105" s="20">
        <f>DATE(2000,MONTH(Table1[[#This Row],[date]]),1)</f>
        <v>36708</v>
      </c>
      <c r="K105" s="18" t="str">
        <f>TEXT(Table1[[#This Row],[date]],"mm")</f>
        <v>07</v>
      </c>
      <c r="L105" s="16" t="s">
        <v>17</v>
      </c>
      <c r="M105">
        <v>2022</v>
      </c>
      <c r="N105" t="s">
        <v>24</v>
      </c>
      <c r="O105" t="s">
        <v>19</v>
      </c>
      <c r="P105">
        <v>27</v>
      </c>
      <c r="Q105">
        <f>AVERAGE(Table1[funds_raised_millions])</f>
        <v>470.28289473684208</v>
      </c>
      <c r="R105">
        <f>AVERAGE(Table1[total_laid_off])</f>
        <v>236.96936274509804</v>
      </c>
    </row>
    <row r="106" spans="1:18" x14ac:dyDescent="0.25">
      <c r="A106" s="3" t="s">
        <v>208</v>
      </c>
      <c r="B106" t="s">
        <v>103</v>
      </c>
      <c r="C106" t="s">
        <v>82</v>
      </c>
      <c r="D106" t="s">
        <v>15</v>
      </c>
      <c r="E106" s="1">
        <v>1</v>
      </c>
      <c r="F106" s="1" t="str">
        <f>IF(Table1[[#This Row],[percentage_laid_off]]=100%,"1","0")</f>
        <v>1</v>
      </c>
      <c r="G106" t="s">
        <v>114</v>
      </c>
      <c r="H106" s="2">
        <v>44888</v>
      </c>
      <c r="I106" s="2" t="str">
        <f>TEXT(Table1[[#This Row],[date]],"dd")</f>
        <v>23</v>
      </c>
      <c r="J106" s="20">
        <f>DATE(2000,MONTH(Table1[[#This Row],[date]]),1)</f>
        <v>36831</v>
      </c>
      <c r="K106" s="18" t="str">
        <f>TEXT(Table1[[#This Row],[date]],"mm")</f>
        <v>11</v>
      </c>
      <c r="L106" s="16" t="s">
        <v>23</v>
      </c>
      <c r="M106">
        <v>2022</v>
      </c>
      <c r="N106" t="s">
        <v>139</v>
      </c>
      <c r="O106" t="s">
        <v>19</v>
      </c>
      <c r="P106">
        <v>2</v>
      </c>
      <c r="Q106">
        <f>AVERAGE(Table1[funds_raised_millions])</f>
        <v>470.28289473684208</v>
      </c>
      <c r="R106">
        <f>AVERAGE(Table1[total_laid_off])</f>
        <v>236.96936274509804</v>
      </c>
    </row>
    <row r="107" spans="1:18" x14ac:dyDescent="0.25">
      <c r="A107" s="3" t="s">
        <v>209</v>
      </c>
      <c r="B107" t="s">
        <v>13</v>
      </c>
      <c r="C107" t="s">
        <v>210</v>
      </c>
      <c r="D107" t="s">
        <v>15</v>
      </c>
      <c r="E107" s="1">
        <v>0.16</v>
      </c>
      <c r="F107" s="1" t="str">
        <f>IF(Table1[[#This Row],[percentage_laid_off]]=100%,"1","0")</f>
        <v>0</v>
      </c>
      <c r="G107" t="s">
        <v>28</v>
      </c>
      <c r="H107" s="2">
        <v>44784</v>
      </c>
      <c r="I107" s="2" t="str">
        <f>TEXT(Table1[[#This Row],[date]],"dd")</f>
        <v>11</v>
      </c>
      <c r="J107" s="20">
        <f>DATE(2000,MONTH(Table1[[#This Row],[date]]),1)</f>
        <v>36739</v>
      </c>
      <c r="K107" s="18" t="str">
        <f>TEXT(Table1[[#This Row],[date]],"mm")</f>
        <v>08</v>
      </c>
      <c r="L107" s="16" t="s">
        <v>53</v>
      </c>
      <c r="M107">
        <v>2022</v>
      </c>
      <c r="N107" t="s">
        <v>38</v>
      </c>
      <c r="O107" t="s">
        <v>19</v>
      </c>
      <c r="P107">
        <v>300</v>
      </c>
      <c r="Q107">
        <f>AVERAGE(Table1[funds_raised_millions])</f>
        <v>470.28289473684208</v>
      </c>
      <c r="R107">
        <f>AVERAGE(Table1[total_laid_off])</f>
        <v>236.96936274509804</v>
      </c>
    </row>
    <row r="108" spans="1:18" x14ac:dyDescent="0.25">
      <c r="A108" s="3" t="s">
        <v>209</v>
      </c>
      <c r="B108" t="s">
        <v>13</v>
      </c>
      <c r="C108" t="s">
        <v>210</v>
      </c>
      <c r="D108">
        <v>40</v>
      </c>
      <c r="E108" s="1">
        <v>0.25</v>
      </c>
      <c r="F108" s="1" t="str">
        <f>IF(Table1[[#This Row],[percentage_laid_off]]=100%,"1","0")</f>
        <v>0</v>
      </c>
      <c r="G108" t="s">
        <v>28</v>
      </c>
      <c r="H108" s="2">
        <v>43955</v>
      </c>
      <c r="I108" s="2" t="str">
        <f>TEXT(Table1[[#This Row],[date]],"dd")</f>
        <v>04</v>
      </c>
      <c r="J108" s="20">
        <f>DATE(2000,MONTH(Table1[[#This Row],[date]]),1)</f>
        <v>36647</v>
      </c>
      <c r="K108" s="18" t="str">
        <f>TEXT(Table1[[#This Row],[date]],"mm")</f>
        <v>05</v>
      </c>
      <c r="L108" s="16" t="s">
        <v>86</v>
      </c>
      <c r="M108">
        <v>2020</v>
      </c>
      <c r="N108" t="s">
        <v>47</v>
      </c>
      <c r="O108" t="s">
        <v>19</v>
      </c>
      <c r="P108">
        <v>100</v>
      </c>
      <c r="Q108">
        <f>AVERAGE(Table1[funds_raised_millions])</f>
        <v>470.28289473684208</v>
      </c>
      <c r="R108">
        <f>AVERAGE(Table1[total_laid_off])</f>
        <v>236.96936274509804</v>
      </c>
    </row>
    <row r="109" spans="1:18" x14ac:dyDescent="0.25">
      <c r="A109" s="3" t="s">
        <v>211</v>
      </c>
      <c r="B109" t="s">
        <v>63</v>
      </c>
      <c r="C109" t="s">
        <v>89</v>
      </c>
      <c r="D109">
        <v>76</v>
      </c>
      <c r="E109" s="1">
        <v>0.2</v>
      </c>
      <c r="F109" s="1" t="str">
        <f>IF(Table1[[#This Row],[percentage_laid_off]]=100%,"1","0")</f>
        <v>0</v>
      </c>
      <c r="G109" t="s">
        <v>28</v>
      </c>
      <c r="H109" s="2">
        <v>45017</v>
      </c>
      <c r="I109" s="2" t="str">
        <f>TEXT(Table1[[#This Row],[date]],"dd")</f>
        <v>01</v>
      </c>
      <c r="J109" s="20">
        <f>DATE(2000,MONTH(Table1[[#This Row],[date]]),1)</f>
        <v>36617</v>
      </c>
      <c r="K109" s="18" t="str">
        <f>TEXT(Table1[[#This Row],[date]],"mm")</f>
        <v>04</v>
      </c>
      <c r="L109" s="16" t="s">
        <v>37</v>
      </c>
      <c r="M109">
        <v>2023</v>
      </c>
      <c r="N109" t="s">
        <v>35</v>
      </c>
      <c r="O109" t="s">
        <v>19</v>
      </c>
      <c r="P109">
        <v>282</v>
      </c>
      <c r="Q109">
        <f>AVERAGE(Table1[funds_raised_millions])</f>
        <v>470.28289473684208</v>
      </c>
      <c r="R109">
        <f>AVERAGE(Table1[total_laid_off])</f>
        <v>236.96936274509804</v>
      </c>
    </row>
    <row r="110" spans="1:18" x14ac:dyDescent="0.25">
      <c r="A110" s="3" t="s">
        <v>212</v>
      </c>
      <c r="B110" t="s">
        <v>213</v>
      </c>
      <c r="C110" t="s">
        <v>174</v>
      </c>
      <c r="D110" t="s">
        <v>15</v>
      </c>
      <c r="E110" s="1">
        <v>0.5</v>
      </c>
      <c r="F110" s="1" t="str">
        <f>IF(Table1[[#This Row],[percentage_laid_off]]=100%,"1","0")</f>
        <v>0</v>
      </c>
      <c r="G110" t="s">
        <v>28</v>
      </c>
      <c r="H110" s="2">
        <v>43865</v>
      </c>
      <c r="I110" s="2" t="str">
        <f>TEXT(Table1[[#This Row],[date]],"dd")</f>
        <v>04</v>
      </c>
      <c r="J110" s="20">
        <f>DATE(2000,MONTH(Table1[[#This Row],[date]]),1)</f>
        <v>36557</v>
      </c>
      <c r="K110" s="18" t="str">
        <f>TEXT(Table1[[#This Row],[date]],"mm")</f>
        <v>02</v>
      </c>
      <c r="L110" s="16" t="s">
        <v>42</v>
      </c>
      <c r="M110">
        <v>2020</v>
      </c>
      <c r="N110" t="s">
        <v>47</v>
      </c>
      <c r="O110" t="s">
        <v>19</v>
      </c>
      <c r="P110" t="s">
        <v>15</v>
      </c>
      <c r="Q110">
        <f>AVERAGE(Table1[funds_raised_millions])</f>
        <v>470.28289473684208</v>
      </c>
      <c r="R110">
        <f>AVERAGE(Table1[total_laid_off])</f>
        <v>236.96936274509804</v>
      </c>
    </row>
    <row r="111" spans="1:18" x14ac:dyDescent="0.25">
      <c r="A111" s="3" t="s">
        <v>214</v>
      </c>
      <c r="B111" t="s">
        <v>40</v>
      </c>
      <c r="C111" t="s">
        <v>78</v>
      </c>
      <c r="D111">
        <v>15</v>
      </c>
      <c r="E111" t="s">
        <v>15</v>
      </c>
      <c r="F111" s="1" t="str">
        <f>IF(Table1[[#This Row],[percentage_laid_off]]=100%,"1","0")</f>
        <v>0</v>
      </c>
      <c r="G111" t="b">
        <v>0</v>
      </c>
      <c r="H111" s="2">
        <v>44000</v>
      </c>
      <c r="I111" s="2" t="str">
        <f>TEXT(Table1[[#This Row],[date]],"dd")</f>
        <v>18</v>
      </c>
      <c r="J111" s="20">
        <f>DATE(2000,MONTH(Table1[[#This Row],[date]]),1)</f>
        <v>36678</v>
      </c>
      <c r="K111" s="18" t="str">
        <f>TEXT(Table1[[#This Row],[date]],"mm")</f>
        <v>06</v>
      </c>
      <c r="L111" s="16" t="s">
        <v>73</v>
      </c>
      <c r="M111">
        <v>2020</v>
      </c>
      <c r="N111" t="s">
        <v>30</v>
      </c>
      <c r="O111" t="s">
        <v>19</v>
      </c>
      <c r="P111">
        <v>32</v>
      </c>
      <c r="Q111">
        <f>AVERAGE(Table1[funds_raised_millions])</f>
        <v>470.28289473684208</v>
      </c>
      <c r="R111">
        <f>AVERAGE(Table1[total_laid_off])</f>
        <v>236.96936274509804</v>
      </c>
    </row>
    <row r="112" spans="1:18" x14ac:dyDescent="0.25">
      <c r="A112" s="3" t="s">
        <v>215</v>
      </c>
      <c r="B112" t="s">
        <v>55</v>
      </c>
      <c r="C112" t="s">
        <v>161</v>
      </c>
      <c r="D112">
        <v>500</v>
      </c>
      <c r="E112" s="1">
        <v>0.05</v>
      </c>
      <c r="F112" s="1" t="str">
        <f>IF(Table1[[#This Row],[percentage_laid_off]]=100%,"1","0")</f>
        <v>0</v>
      </c>
      <c r="G112" t="s">
        <v>16</v>
      </c>
      <c r="H112" s="2">
        <v>45080</v>
      </c>
      <c r="I112" s="2" t="str">
        <f>TEXT(Table1[[#This Row],[date]],"dd")</f>
        <v>03</v>
      </c>
      <c r="J112" s="20">
        <f>DATE(2000,MONTH(Table1[[#This Row],[date]]),1)</f>
        <v>36678</v>
      </c>
      <c r="K112" s="18" t="str">
        <f>TEXT(Table1[[#This Row],[date]],"mm")</f>
        <v>06</v>
      </c>
      <c r="L112" s="16" t="s">
        <v>73</v>
      </c>
      <c r="M112">
        <v>2023</v>
      </c>
      <c r="N112" t="s">
        <v>38</v>
      </c>
      <c r="O112" t="s">
        <v>58</v>
      </c>
      <c r="P112">
        <v>210</v>
      </c>
      <c r="Q112">
        <f>AVERAGE(Table1[funds_raised_millions])</f>
        <v>470.28289473684208</v>
      </c>
      <c r="R112">
        <f>AVERAGE(Table1[total_laid_off])</f>
        <v>236.96936274509804</v>
      </c>
    </row>
    <row r="113" spans="1:18" x14ac:dyDescent="0.25">
      <c r="A113" s="3" t="s">
        <v>216</v>
      </c>
      <c r="B113" t="s">
        <v>13</v>
      </c>
      <c r="C113" t="s">
        <v>82</v>
      </c>
      <c r="D113">
        <v>32</v>
      </c>
      <c r="E113" s="1">
        <v>0.3</v>
      </c>
      <c r="F113" s="1" t="str">
        <f>IF(Table1[[#This Row],[percentage_laid_off]]=100%,"1","0")</f>
        <v>0</v>
      </c>
      <c r="G113" t="s">
        <v>28</v>
      </c>
      <c r="H113" s="2">
        <v>44853</v>
      </c>
      <c r="I113" s="2" t="str">
        <f>TEXT(Table1[[#This Row],[date]],"dd")</f>
        <v>19</v>
      </c>
      <c r="J113" s="20">
        <f>DATE(2000,MONTH(Table1[[#This Row],[date]]),1)</f>
        <v>36800</v>
      </c>
      <c r="K113" s="18" t="str">
        <f>TEXT(Table1[[#This Row],[date]],"mm")</f>
        <v>10</v>
      </c>
      <c r="L113" s="16" t="s">
        <v>95</v>
      </c>
      <c r="M113">
        <v>2022</v>
      </c>
      <c r="N113" t="s">
        <v>30</v>
      </c>
      <c r="O113" t="s">
        <v>19</v>
      </c>
      <c r="P113">
        <v>177</v>
      </c>
      <c r="Q113">
        <f>AVERAGE(Table1[funds_raised_millions])</f>
        <v>470.28289473684208</v>
      </c>
      <c r="R113">
        <f>AVERAGE(Table1[total_laid_off])</f>
        <v>236.96936274509804</v>
      </c>
    </row>
    <row r="114" spans="1:18" x14ac:dyDescent="0.25">
      <c r="A114" s="3" t="s">
        <v>217</v>
      </c>
      <c r="B114" t="s">
        <v>68</v>
      </c>
      <c r="C114" t="s">
        <v>134</v>
      </c>
      <c r="D114">
        <v>6</v>
      </c>
      <c r="E114" s="1">
        <v>1</v>
      </c>
      <c r="F114" s="1" t="str">
        <f>IF(Table1[[#This Row],[percentage_laid_off]]=100%,"1","0")</f>
        <v>1</v>
      </c>
      <c r="G114" t="s">
        <v>114</v>
      </c>
      <c r="H114" s="2">
        <v>44108</v>
      </c>
      <c r="I114" s="2" t="str">
        <f>TEXT(Table1[[#This Row],[date]],"dd")</f>
        <v>04</v>
      </c>
      <c r="J114" s="20">
        <f>DATE(2000,MONTH(Table1[[#This Row],[date]]),1)</f>
        <v>36800</v>
      </c>
      <c r="K114" s="18" t="str">
        <f>TEXT(Table1[[#This Row],[date]],"mm")</f>
        <v>10</v>
      </c>
      <c r="L114" s="16" t="s">
        <v>95</v>
      </c>
      <c r="M114">
        <v>2020</v>
      </c>
      <c r="N114" t="s">
        <v>47</v>
      </c>
      <c r="O114" t="s">
        <v>19</v>
      </c>
      <c r="P114">
        <v>1</v>
      </c>
      <c r="Q114">
        <f>AVERAGE(Table1[funds_raised_millions])</f>
        <v>470.28289473684208</v>
      </c>
      <c r="R114">
        <f>AVERAGE(Table1[total_laid_off])</f>
        <v>236.96936274509804</v>
      </c>
    </row>
    <row r="115" spans="1:18" x14ac:dyDescent="0.25">
      <c r="A115" s="3" t="s">
        <v>218</v>
      </c>
      <c r="B115" t="s">
        <v>40</v>
      </c>
      <c r="C115" t="s">
        <v>22</v>
      </c>
      <c r="D115" t="s">
        <v>15</v>
      </c>
      <c r="E115" s="1">
        <v>0.15</v>
      </c>
      <c r="F115" s="1" t="str">
        <f>IF(Table1[[#This Row],[percentage_laid_off]]=100%,"1","0")</f>
        <v>0</v>
      </c>
      <c r="G115" t="s">
        <v>28</v>
      </c>
      <c r="H115" s="2">
        <v>45047</v>
      </c>
      <c r="I115" s="2" t="str">
        <f>TEXT(Table1[[#This Row],[date]],"dd")</f>
        <v>01</v>
      </c>
      <c r="J115" s="20">
        <f>DATE(2000,MONTH(Table1[[#This Row],[date]]),1)</f>
        <v>36647</v>
      </c>
      <c r="K115" s="18" t="str">
        <f>TEXT(Table1[[#This Row],[date]],"mm")</f>
        <v>05</v>
      </c>
      <c r="L115" s="16" t="s">
        <v>86</v>
      </c>
      <c r="M115">
        <v>2023</v>
      </c>
      <c r="N115" t="s">
        <v>18</v>
      </c>
      <c r="O115" t="s">
        <v>19</v>
      </c>
      <c r="P115">
        <v>863</v>
      </c>
      <c r="Q115">
        <f>AVERAGE(Table1[funds_raised_millions])</f>
        <v>470.28289473684208</v>
      </c>
      <c r="R115">
        <f>AVERAGE(Table1[total_laid_off])</f>
        <v>236.96936274509804</v>
      </c>
    </row>
    <row r="116" spans="1:18" x14ac:dyDescent="0.25">
      <c r="A116" s="3" t="s">
        <v>219</v>
      </c>
      <c r="B116" t="s">
        <v>170</v>
      </c>
      <c r="C116" t="s">
        <v>181</v>
      </c>
      <c r="D116">
        <v>19</v>
      </c>
      <c r="E116" s="1">
        <v>0.09</v>
      </c>
      <c r="F116" s="1" t="str">
        <f>IF(Table1[[#This Row],[percentage_laid_off]]=100%,"1","0")</f>
        <v>0</v>
      </c>
      <c r="G116" t="s">
        <v>16</v>
      </c>
      <c r="H116" s="2">
        <v>44957</v>
      </c>
      <c r="I116" s="2" t="str">
        <f>TEXT(Table1[[#This Row],[date]],"dd")</f>
        <v>31</v>
      </c>
      <c r="J116" s="20">
        <f>DATE(2000,MONTH(Table1[[#This Row],[date]]),1)</f>
        <v>36526</v>
      </c>
      <c r="K116" s="18" t="str">
        <f>TEXT(Table1[[#This Row],[date]],"mm")</f>
        <v>01</v>
      </c>
      <c r="L116" s="16" t="s">
        <v>29</v>
      </c>
      <c r="M116">
        <v>2023</v>
      </c>
      <c r="N116" t="s">
        <v>47</v>
      </c>
      <c r="O116" t="s">
        <v>172</v>
      </c>
      <c r="P116">
        <v>80</v>
      </c>
      <c r="Q116">
        <f>AVERAGE(Table1[funds_raised_millions])</f>
        <v>470.28289473684208</v>
      </c>
      <c r="R116">
        <f>AVERAGE(Table1[total_laid_off])</f>
        <v>236.96936274509804</v>
      </c>
    </row>
    <row r="117" spans="1:18" x14ac:dyDescent="0.25">
      <c r="A117" s="3" t="s">
        <v>220</v>
      </c>
      <c r="B117" t="s">
        <v>40</v>
      </c>
      <c r="C117" t="s">
        <v>221</v>
      </c>
      <c r="D117">
        <v>20</v>
      </c>
      <c r="E117" s="1">
        <v>0.05</v>
      </c>
      <c r="F117" s="1" t="str">
        <f>IF(Table1[[#This Row],[percentage_laid_off]]=100%,"1","0")</f>
        <v>0</v>
      </c>
      <c r="G117" t="s">
        <v>16</v>
      </c>
      <c r="H117" s="2">
        <v>45017</v>
      </c>
      <c r="I117" s="2" t="str">
        <f>TEXT(Table1[[#This Row],[date]],"dd")</f>
        <v>01</v>
      </c>
      <c r="J117" s="20">
        <f>DATE(2000,MONTH(Table1[[#This Row],[date]]),1)</f>
        <v>36617</v>
      </c>
      <c r="K117" s="18" t="str">
        <f>TEXT(Table1[[#This Row],[date]],"mm")</f>
        <v>04</v>
      </c>
      <c r="L117" s="16" t="s">
        <v>37</v>
      </c>
      <c r="M117">
        <v>2023</v>
      </c>
      <c r="N117" t="s">
        <v>18</v>
      </c>
      <c r="O117" t="s">
        <v>19</v>
      </c>
      <c r="P117">
        <v>274</v>
      </c>
      <c r="Q117">
        <f>AVERAGE(Table1[funds_raised_millions])</f>
        <v>470.28289473684208</v>
      </c>
      <c r="R117">
        <f>AVERAGE(Table1[total_laid_off])</f>
        <v>236.96936274509804</v>
      </c>
    </row>
    <row r="118" spans="1:18" x14ac:dyDescent="0.25">
      <c r="A118" s="3" t="s">
        <v>222</v>
      </c>
      <c r="B118" t="s">
        <v>88</v>
      </c>
      <c r="C118" t="s">
        <v>181</v>
      </c>
      <c r="D118">
        <v>70</v>
      </c>
      <c r="E118" s="1">
        <v>0.09</v>
      </c>
      <c r="F118" s="1" t="str">
        <f>IF(Table1[[#This Row],[percentage_laid_off]]=100%,"1","0")</f>
        <v>0</v>
      </c>
      <c r="G118" t="s">
        <v>16</v>
      </c>
      <c r="H118" s="2">
        <v>44735</v>
      </c>
      <c r="I118" s="2" t="str">
        <f>TEXT(Table1[[#This Row],[date]],"dd")</f>
        <v>23</v>
      </c>
      <c r="J118" s="20">
        <f>DATE(2000,MONTH(Table1[[#This Row],[date]]),1)</f>
        <v>36678</v>
      </c>
      <c r="K118" s="18" t="str">
        <f>TEXT(Table1[[#This Row],[date]],"mm")</f>
        <v>06</v>
      </c>
      <c r="L118" s="16" t="s">
        <v>73</v>
      </c>
      <c r="M118">
        <v>2022</v>
      </c>
      <c r="N118" t="s">
        <v>100</v>
      </c>
      <c r="O118" t="s">
        <v>19</v>
      </c>
      <c r="P118">
        <v>500</v>
      </c>
      <c r="Q118">
        <f>AVERAGE(Table1[funds_raised_millions])</f>
        <v>470.28289473684208</v>
      </c>
      <c r="R118">
        <f>AVERAGE(Table1[total_laid_off])</f>
        <v>236.96936274509804</v>
      </c>
    </row>
    <row r="119" spans="1:18" x14ac:dyDescent="0.25">
      <c r="A119" s="3" t="s">
        <v>223</v>
      </c>
      <c r="B119" t="s">
        <v>13</v>
      </c>
      <c r="C119" t="s">
        <v>82</v>
      </c>
      <c r="D119" t="s">
        <v>15</v>
      </c>
      <c r="E119" s="1">
        <v>1</v>
      </c>
      <c r="F119" s="1" t="str">
        <f>IF(Table1[[#This Row],[percentage_laid_off]]=100%,"1","0")</f>
        <v>1</v>
      </c>
      <c r="G119" t="s">
        <v>114</v>
      </c>
      <c r="H119" s="2">
        <v>44501</v>
      </c>
      <c r="I119" s="2" t="str">
        <f>TEXT(Table1[[#This Row],[date]],"dd")</f>
        <v>01</v>
      </c>
      <c r="J119" s="20">
        <f>DATE(2000,MONTH(Table1[[#This Row],[date]]),1)</f>
        <v>36831</v>
      </c>
      <c r="K119" s="18" t="str">
        <f>TEXT(Table1[[#This Row],[date]],"mm")</f>
        <v>11</v>
      </c>
      <c r="L119" s="16" t="s">
        <v>23</v>
      </c>
      <c r="M119">
        <v>2021</v>
      </c>
      <c r="N119" t="s">
        <v>47</v>
      </c>
      <c r="O119" t="s">
        <v>19</v>
      </c>
      <c r="P119">
        <v>584</v>
      </c>
      <c r="Q119">
        <f>AVERAGE(Table1[funds_raised_millions])</f>
        <v>470.28289473684208</v>
      </c>
      <c r="R119">
        <f>AVERAGE(Table1[total_laid_off])</f>
        <v>236.96936274509804</v>
      </c>
    </row>
    <row r="120" spans="1:18" x14ac:dyDescent="0.25">
      <c r="A120" s="3" t="s">
        <v>224</v>
      </c>
      <c r="B120" t="s">
        <v>13</v>
      </c>
      <c r="C120" t="s">
        <v>161</v>
      </c>
      <c r="D120">
        <v>250</v>
      </c>
      <c r="E120" s="1">
        <v>0.02</v>
      </c>
      <c r="F120" s="1" t="str">
        <f>IF(Table1[[#This Row],[percentage_laid_off]]=100%,"1","0")</f>
        <v>0</v>
      </c>
      <c r="G120" t="s">
        <v>16</v>
      </c>
      <c r="H120" s="2">
        <v>44959</v>
      </c>
      <c r="I120" s="2" t="str">
        <f>TEXT(Table1[[#This Row],[date]],"dd")</f>
        <v>02</v>
      </c>
      <c r="J120" s="20">
        <f>DATE(2000,MONTH(Table1[[#This Row],[date]]),1)</f>
        <v>36557</v>
      </c>
      <c r="K120" s="18" t="str">
        <f>TEXT(Table1[[#This Row],[date]],"mm")</f>
        <v>02</v>
      </c>
      <c r="L120" s="16" t="s">
        <v>42</v>
      </c>
      <c r="M120">
        <v>2023</v>
      </c>
      <c r="N120" t="s">
        <v>38</v>
      </c>
      <c r="O120" t="s">
        <v>19</v>
      </c>
      <c r="P120" t="s">
        <v>15</v>
      </c>
      <c r="Q120">
        <f>AVERAGE(Table1[funds_raised_millions])</f>
        <v>470.28289473684208</v>
      </c>
      <c r="R120">
        <f>AVERAGE(Table1[total_laid_off])</f>
        <v>236.96936274509804</v>
      </c>
    </row>
    <row r="121" spans="1:18" x14ac:dyDescent="0.25">
      <c r="A121" s="3" t="s">
        <v>225</v>
      </c>
      <c r="B121" t="s">
        <v>13</v>
      </c>
      <c r="C121" t="s">
        <v>69</v>
      </c>
      <c r="D121" t="s">
        <v>15</v>
      </c>
      <c r="E121" s="1">
        <v>1</v>
      </c>
      <c r="F121" s="1" t="str">
        <f>IF(Table1[[#This Row],[percentage_laid_off]]=100%,"1","0")</f>
        <v>1</v>
      </c>
      <c r="G121" t="s">
        <v>114</v>
      </c>
      <c r="H121" s="2">
        <v>43835</v>
      </c>
      <c r="I121" s="2" t="str">
        <f>TEXT(Table1[[#This Row],[date]],"dd")</f>
        <v>05</v>
      </c>
      <c r="J121" s="20">
        <f>DATE(2000,MONTH(Table1[[#This Row],[date]]),1)</f>
        <v>36526</v>
      </c>
      <c r="K121" s="18" t="str">
        <f>TEXT(Table1[[#This Row],[date]],"mm")</f>
        <v>01</v>
      </c>
      <c r="L121" s="16" t="s">
        <v>29</v>
      </c>
      <c r="M121">
        <v>2020</v>
      </c>
      <c r="N121" t="s">
        <v>71</v>
      </c>
      <c r="O121" t="s">
        <v>19</v>
      </c>
      <c r="P121">
        <v>24</v>
      </c>
      <c r="Q121">
        <f>AVERAGE(Table1[funds_raised_millions])</f>
        <v>470.28289473684208</v>
      </c>
      <c r="R121">
        <f>AVERAGE(Table1[total_laid_off])</f>
        <v>236.96936274509804</v>
      </c>
    </row>
    <row r="122" spans="1:18" x14ac:dyDescent="0.25">
      <c r="A122" s="3" t="s">
        <v>226</v>
      </c>
      <c r="B122" t="s">
        <v>13</v>
      </c>
      <c r="C122" t="s">
        <v>161</v>
      </c>
      <c r="D122">
        <v>260</v>
      </c>
      <c r="E122" s="1">
        <v>0.1</v>
      </c>
      <c r="F122" s="1" t="str">
        <f>IF(Table1[[#This Row],[percentage_laid_off]]=100%,"1","0")</f>
        <v>0</v>
      </c>
      <c r="G122" t="s">
        <v>16</v>
      </c>
      <c r="H122" s="2">
        <v>43948</v>
      </c>
      <c r="I122" s="2" t="str">
        <f>TEXT(Table1[[#This Row],[date]],"dd")</f>
        <v>27</v>
      </c>
      <c r="J122" s="20">
        <f>DATE(2000,MONTH(Table1[[#This Row],[date]]),1)</f>
        <v>36617</v>
      </c>
      <c r="K122" s="18" t="str">
        <f>TEXT(Table1[[#This Row],[date]],"mm")</f>
        <v>04</v>
      </c>
      <c r="L122" s="16" t="s">
        <v>37</v>
      </c>
      <c r="M122">
        <v>2020</v>
      </c>
      <c r="N122" t="s">
        <v>30</v>
      </c>
      <c r="O122" t="s">
        <v>19</v>
      </c>
      <c r="P122">
        <v>840</v>
      </c>
      <c r="Q122">
        <f>AVERAGE(Table1[funds_raised_millions])</f>
        <v>470.28289473684208</v>
      </c>
      <c r="R122">
        <f>AVERAGE(Table1[total_laid_off])</f>
        <v>236.96936274509804</v>
      </c>
    </row>
    <row r="123" spans="1:18" x14ac:dyDescent="0.25">
      <c r="A123" s="3" t="s">
        <v>227</v>
      </c>
      <c r="B123" t="s">
        <v>228</v>
      </c>
      <c r="C123" t="s">
        <v>134</v>
      </c>
      <c r="D123" t="s">
        <v>15</v>
      </c>
      <c r="E123" s="1">
        <v>0.11</v>
      </c>
      <c r="F123" s="1" t="str">
        <f>IF(Table1[[#This Row],[percentage_laid_off]]=100%,"1","0")</f>
        <v>0</v>
      </c>
      <c r="G123" t="s">
        <v>28</v>
      </c>
      <c r="H123" s="2">
        <v>44669</v>
      </c>
      <c r="I123" s="2" t="str">
        <f>TEXT(Table1[[#This Row],[date]],"dd")</f>
        <v>18</v>
      </c>
      <c r="J123" s="20">
        <f>DATE(2000,MONTH(Table1[[#This Row],[date]]),1)</f>
        <v>36617</v>
      </c>
      <c r="K123" s="18" t="str">
        <f>TEXT(Table1[[#This Row],[date]],"mm")</f>
        <v>04</v>
      </c>
      <c r="L123" s="16" t="s">
        <v>37</v>
      </c>
      <c r="M123">
        <v>2022</v>
      </c>
      <c r="N123" t="s">
        <v>35</v>
      </c>
      <c r="O123" t="s">
        <v>19</v>
      </c>
      <c r="P123">
        <v>152</v>
      </c>
      <c r="Q123">
        <f>AVERAGE(Table1[funds_raised_millions])</f>
        <v>470.28289473684208</v>
      </c>
      <c r="R123">
        <f>AVERAGE(Table1[total_laid_off])</f>
        <v>236.96936274509804</v>
      </c>
    </row>
    <row r="124" spans="1:18" x14ac:dyDescent="0.25">
      <c r="A124" s="3" t="s">
        <v>229</v>
      </c>
      <c r="B124" t="s">
        <v>230</v>
      </c>
      <c r="C124" t="s">
        <v>78</v>
      </c>
      <c r="D124">
        <v>5</v>
      </c>
      <c r="E124" s="1">
        <v>0.2</v>
      </c>
      <c r="F124" s="1" t="str">
        <f>IF(Table1[[#This Row],[percentage_laid_off]]=100%,"1","0")</f>
        <v>0</v>
      </c>
      <c r="G124" t="s">
        <v>28</v>
      </c>
      <c r="H124" s="2">
        <v>43894</v>
      </c>
      <c r="I124" s="2" t="str">
        <f>TEXT(Table1[[#This Row],[date]],"dd")</f>
        <v>04</v>
      </c>
      <c r="J124" s="20">
        <f>DATE(2000,MONTH(Table1[[#This Row],[date]]),1)</f>
        <v>36586</v>
      </c>
      <c r="K124" s="18" t="str">
        <f>TEXT(Table1[[#This Row],[date]],"mm")</f>
        <v>03</v>
      </c>
      <c r="L124" s="16" t="s">
        <v>57</v>
      </c>
      <c r="M124">
        <v>2020</v>
      </c>
      <c r="N124" t="s">
        <v>47</v>
      </c>
      <c r="O124" t="s">
        <v>19</v>
      </c>
      <c r="P124" t="s">
        <v>15</v>
      </c>
      <c r="Q124">
        <f>AVERAGE(Table1[funds_raised_millions])</f>
        <v>470.28289473684208</v>
      </c>
      <c r="R124">
        <f>AVERAGE(Table1[total_laid_off])</f>
        <v>236.96936274509804</v>
      </c>
    </row>
    <row r="125" spans="1:18" x14ac:dyDescent="0.25">
      <c r="A125" s="3" t="s">
        <v>231</v>
      </c>
      <c r="B125" t="s">
        <v>33</v>
      </c>
      <c r="C125" t="s">
        <v>112</v>
      </c>
      <c r="D125">
        <v>80</v>
      </c>
      <c r="E125" t="s">
        <v>15</v>
      </c>
      <c r="F125" s="1" t="str">
        <f>IF(Table1[[#This Row],[percentage_laid_off]]=100%,"1","0")</f>
        <v>0</v>
      </c>
      <c r="G125" t="b">
        <v>0</v>
      </c>
      <c r="H125" s="2">
        <v>44741</v>
      </c>
      <c r="I125" s="2" t="str">
        <f>TEXT(Table1[[#This Row],[date]],"dd")</f>
        <v>29</v>
      </c>
      <c r="J125" s="20">
        <f>DATE(2000,MONTH(Table1[[#This Row],[date]]),1)</f>
        <v>36678</v>
      </c>
      <c r="K125" s="18" t="str">
        <f>TEXT(Table1[[#This Row],[date]],"mm")</f>
        <v>06</v>
      </c>
      <c r="L125" s="16" t="s">
        <v>73</v>
      </c>
      <c r="M125">
        <v>2022</v>
      </c>
      <c r="N125" t="s">
        <v>47</v>
      </c>
      <c r="O125" t="s">
        <v>19</v>
      </c>
      <c r="P125">
        <v>811</v>
      </c>
      <c r="Q125">
        <f>AVERAGE(Table1[funds_raised_millions])</f>
        <v>470.28289473684208</v>
      </c>
      <c r="R125">
        <f>AVERAGE(Table1[total_laid_off])</f>
        <v>236.96936274509804</v>
      </c>
    </row>
    <row r="126" spans="1:18" x14ac:dyDescent="0.25">
      <c r="A126" s="3" t="s">
        <v>231</v>
      </c>
      <c r="B126" t="s">
        <v>33</v>
      </c>
      <c r="C126" t="s">
        <v>112</v>
      </c>
      <c r="D126">
        <v>144</v>
      </c>
      <c r="E126" s="1">
        <v>0.22</v>
      </c>
      <c r="F126" s="1" t="str">
        <f>IF(Table1[[#This Row],[percentage_laid_off]]=100%,"1","0")</f>
        <v>0</v>
      </c>
      <c r="G126" t="s">
        <v>28</v>
      </c>
      <c r="H126" s="2">
        <v>44815</v>
      </c>
      <c r="I126" s="2" t="str">
        <f>TEXT(Table1[[#This Row],[date]],"dd")</f>
        <v>11</v>
      </c>
      <c r="J126" s="20">
        <f>DATE(2000,MONTH(Table1[[#This Row],[date]]),1)</f>
        <v>36770</v>
      </c>
      <c r="K126" s="18" t="str">
        <f>TEXT(Table1[[#This Row],[date]],"mm")</f>
        <v>09</v>
      </c>
      <c r="L126" s="16" t="s">
        <v>70</v>
      </c>
      <c r="M126">
        <v>2022</v>
      </c>
      <c r="N126" t="s">
        <v>117</v>
      </c>
      <c r="O126" t="s">
        <v>19</v>
      </c>
      <c r="P126">
        <v>686</v>
      </c>
      <c r="Q126">
        <f>AVERAGE(Table1[funds_raised_millions])</f>
        <v>470.28289473684208</v>
      </c>
      <c r="R126">
        <f>AVERAGE(Table1[total_laid_off])</f>
        <v>236.96936274509804</v>
      </c>
    </row>
    <row r="127" spans="1:18" x14ac:dyDescent="0.25">
      <c r="A127" s="3" t="s">
        <v>232</v>
      </c>
      <c r="B127" t="s">
        <v>233</v>
      </c>
      <c r="C127" t="s">
        <v>181</v>
      </c>
      <c r="D127" t="s">
        <v>15</v>
      </c>
      <c r="E127" s="1">
        <v>0.25</v>
      </c>
      <c r="F127" s="1" t="str">
        <f>IF(Table1[[#This Row],[percentage_laid_off]]=100%,"1","0")</f>
        <v>0</v>
      </c>
      <c r="G127" t="s">
        <v>28</v>
      </c>
      <c r="H127" s="2">
        <v>44845</v>
      </c>
      <c r="I127" s="2" t="str">
        <f>TEXT(Table1[[#This Row],[date]],"dd")</f>
        <v>11</v>
      </c>
      <c r="J127" s="20">
        <f>DATE(2000,MONTH(Table1[[#This Row],[date]]),1)</f>
        <v>36800</v>
      </c>
      <c r="K127" s="18" t="str">
        <f>TEXT(Table1[[#This Row],[date]],"mm")</f>
        <v>10</v>
      </c>
      <c r="L127" s="16" t="s">
        <v>95</v>
      </c>
      <c r="M127">
        <v>2022</v>
      </c>
      <c r="N127" t="s">
        <v>47</v>
      </c>
      <c r="O127" t="s">
        <v>19</v>
      </c>
      <c r="P127" t="s">
        <v>15</v>
      </c>
      <c r="Q127">
        <f>AVERAGE(Table1[funds_raised_millions])</f>
        <v>470.28289473684208</v>
      </c>
      <c r="R127">
        <f>AVERAGE(Table1[total_laid_off])</f>
        <v>236.96936274509804</v>
      </c>
    </row>
    <row r="128" spans="1:18" x14ac:dyDescent="0.25">
      <c r="A128" s="3" t="s">
        <v>234</v>
      </c>
      <c r="B128" t="s">
        <v>170</v>
      </c>
      <c r="C128" t="s">
        <v>64</v>
      </c>
      <c r="D128">
        <v>500</v>
      </c>
      <c r="E128" s="1">
        <v>0.67</v>
      </c>
      <c r="F128" s="1" t="str">
        <f>IF(Table1[[#This Row],[percentage_laid_off]]=100%,"1","0")</f>
        <v>0</v>
      </c>
      <c r="G128" t="s">
        <v>130</v>
      </c>
      <c r="H128" s="2">
        <v>44566</v>
      </c>
      <c r="I128" s="2" t="str">
        <f>TEXT(Table1[[#This Row],[date]],"dd")</f>
        <v>05</v>
      </c>
      <c r="J128" s="20">
        <f>DATE(2000,MONTH(Table1[[#This Row],[date]]),1)</f>
        <v>36526</v>
      </c>
      <c r="K128" s="18" t="str">
        <f>TEXT(Table1[[#This Row],[date]],"mm")</f>
        <v>01</v>
      </c>
      <c r="L128" s="16" t="s">
        <v>29</v>
      </c>
      <c r="M128">
        <v>2022</v>
      </c>
      <c r="N128" t="s">
        <v>30</v>
      </c>
      <c r="O128" t="s">
        <v>172</v>
      </c>
      <c r="P128">
        <v>45</v>
      </c>
      <c r="Q128">
        <f>AVERAGE(Table1[funds_raised_millions])</f>
        <v>470.28289473684208</v>
      </c>
      <c r="R128">
        <f>AVERAGE(Table1[total_laid_off])</f>
        <v>236.96936274509804</v>
      </c>
    </row>
    <row r="129" spans="1:18" x14ac:dyDescent="0.25">
      <c r="A129" s="3" t="s">
        <v>235</v>
      </c>
      <c r="B129" t="s">
        <v>40</v>
      </c>
      <c r="C129" t="s">
        <v>41</v>
      </c>
      <c r="D129">
        <v>60</v>
      </c>
      <c r="E129" s="1">
        <v>0.1</v>
      </c>
      <c r="F129" s="1" t="str">
        <f>IF(Table1[[#This Row],[percentage_laid_off]]=100%,"1","0")</f>
        <v>0</v>
      </c>
      <c r="G129" t="s">
        <v>16</v>
      </c>
      <c r="H129" s="2">
        <v>44016</v>
      </c>
      <c r="I129" s="2" t="str">
        <f>TEXT(Table1[[#This Row],[date]],"dd")</f>
        <v>04</v>
      </c>
      <c r="J129" s="20">
        <f>DATE(2000,MONTH(Table1[[#This Row],[date]]),1)</f>
        <v>36708</v>
      </c>
      <c r="K129" s="18" t="str">
        <f>TEXT(Table1[[#This Row],[date]],"mm")</f>
        <v>07</v>
      </c>
      <c r="L129" s="16" t="s">
        <v>17</v>
      </c>
      <c r="M129">
        <v>2020</v>
      </c>
      <c r="N129" t="s">
        <v>43</v>
      </c>
      <c r="O129" t="s">
        <v>19</v>
      </c>
      <c r="P129">
        <v>181</v>
      </c>
      <c r="Q129">
        <f>AVERAGE(Table1[funds_raised_millions])</f>
        <v>470.28289473684208</v>
      </c>
      <c r="R129">
        <f>AVERAGE(Table1[total_laid_off])</f>
        <v>236.96936274509804</v>
      </c>
    </row>
    <row r="130" spans="1:18" x14ac:dyDescent="0.25">
      <c r="A130" s="3" t="s">
        <v>236</v>
      </c>
      <c r="B130" t="s">
        <v>237</v>
      </c>
      <c r="C130" t="s">
        <v>41</v>
      </c>
      <c r="D130" t="s">
        <v>15</v>
      </c>
      <c r="E130" s="1">
        <v>1</v>
      </c>
      <c r="F130" s="1" t="str">
        <f>IF(Table1[[#This Row],[percentage_laid_off]]=100%,"1","0")</f>
        <v>1</v>
      </c>
      <c r="G130" t="s">
        <v>114</v>
      </c>
      <c r="H130" s="2">
        <v>43870</v>
      </c>
      <c r="I130" s="2" t="str">
        <f>TEXT(Table1[[#This Row],[date]],"dd")</f>
        <v>09</v>
      </c>
      <c r="J130" s="20">
        <f>DATE(2000,MONTH(Table1[[#This Row],[date]]),1)</f>
        <v>36557</v>
      </c>
      <c r="K130" s="18" t="str">
        <f>TEXT(Table1[[#This Row],[date]],"mm")</f>
        <v>02</v>
      </c>
      <c r="L130" s="16" t="s">
        <v>42</v>
      </c>
      <c r="M130">
        <v>2020</v>
      </c>
      <c r="N130" t="s">
        <v>24</v>
      </c>
      <c r="O130" t="s">
        <v>238</v>
      </c>
      <c r="P130">
        <v>30</v>
      </c>
      <c r="Q130">
        <f>AVERAGE(Table1[funds_raised_millions])</f>
        <v>470.28289473684208</v>
      </c>
      <c r="R130">
        <f>AVERAGE(Table1[total_laid_off])</f>
        <v>236.96936274509804</v>
      </c>
    </row>
    <row r="131" spans="1:18" x14ac:dyDescent="0.25">
      <c r="A131" s="3" t="s">
        <v>239</v>
      </c>
      <c r="B131" t="s">
        <v>27</v>
      </c>
      <c r="C131" t="s">
        <v>82</v>
      </c>
      <c r="D131">
        <v>5</v>
      </c>
      <c r="E131" s="1">
        <v>0.25</v>
      </c>
      <c r="F131" s="1" t="str">
        <f>IF(Table1[[#This Row],[percentage_laid_off]]=100%,"1","0")</f>
        <v>0</v>
      </c>
      <c r="G131" t="s">
        <v>28</v>
      </c>
      <c r="H131" s="2">
        <v>44154</v>
      </c>
      <c r="I131" s="2" t="str">
        <f>TEXT(Table1[[#This Row],[date]],"dd")</f>
        <v>19</v>
      </c>
      <c r="J131" s="20">
        <f>DATE(2000,MONTH(Table1[[#This Row],[date]]),1)</f>
        <v>36831</v>
      </c>
      <c r="K131" s="18" t="str">
        <f>TEXT(Table1[[#This Row],[date]],"mm")</f>
        <v>11</v>
      </c>
      <c r="L131" s="16" t="s">
        <v>23</v>
      </c>
      <c r="M131">
        <v>2020</v>
      </c>
      <c r="N131" t="s">
        <v>139</v>
      </c>
      <c r="O131" t="s">
        <v>19</v>
      </c>
      <c r="P131">
        <v>3</v>
      </c>
      <c r="Q131">
        <f>AVERAGE(Table1[funds_raised_millions])</f>
        <v>470.28289473684208</v>
      </c>
      <c r="R131">
        <f>AVERAGE(Table1[total_laid_off])</f>
        <v>236.96936274509804</v>
      </c>
    </row>
    <row r="132" spans="1:18" x14ac:dyDescent="0.25">
      <c r="A132" s="3" t="s">
        <v>240</v>
      </c>
      <c r="B132" t="s">
        <v>13</v>
      </c>
      <c r="C132" t="s">
        <v>41</v>
      </c>
      <c r="D132">
        <v>250</v>
      </c>
      <c r="E132" s="1">
        <v>0.5</v>
      </c>
      <c r="F132" s="1" t="str">
        <f>IF(Table1[[#This Row],[percentage_laid_off]]=100%,"1","0")</f>
        <v>0</v>
      </c>
      <c r="G132" t="s">
        <v>28</v>
      </c>
      <c r="H132" s="2">
        <v>43916</v>
      </c>
      <c r="I132" s="2" t="str">
        <f>TEXT(Table1[[#This Row],[date]],"dd")</f>
        <v>26</v>
      </c>
      <c r="J132" s="20">
        <f>DATE(2000,MONTH(Table1[[#This Row],[date]]),1)</f>
        <v>36586</v>
      </c>
      <c r="K132" s="18" t="str">
        <f>TEXT(Table1[[#This Row],[date]],"mm")</f>
        <v>03</v>
      </c>
      <c r="L132" s="16" t="s">
        <v>57</v>
      </c>
      <c r="M132">
        <v>2020</v>
      </c>
      <c r="N132" t="s">
        <v>35</v>
      </c>
      <c r="O132" t="s">
        <v>19</v>
      </c>
      <c r="P132">
        <v>88</v>
      </c>
      <c r="Q132">
        <f>AVERAGE(Table1[funds_raised_millions])</f>
        <v>470.28289473684208</v>
      </c>
      <c r="R132">
        <f>AVERAGE(Table1[total_laid_off])</f>
        <v>236.96936274509804</v>
      </c>
    </row>
    <row r="133" spans="1:18" x14ac:dyDescent="0.25">
      <c r="A133" s="3" t="s">
        <v>241</v>
      </c>
      <c r="B133" t="s">
        <v>199</v>
      </c>
      <c r="C133" t="s">
        <v>14</v>
      </c>
      <c r="D133">
        <v>100</v>
      </c>
      <c r="E133" t="s">
        <v>15</v>
      </c>
      <c r="F133" s="1" t="str">
        <f>IF(Table1[[#This Row],[percentage_laid_off]]=100%,"1","0")</f>
        <v>0</v>
      </c>
      <c r="G133" t="b">
        <v>0</v>
      </c>
      <c r="H133" s="2">
        <v>44902</v>
      </c>
      <c r="I133" s="2" t="str">
        <f>TEXT(Table1[[#This Row],[date]],"dd")</f>
        <v>07</v>
      </c>
      <c r="J133" s="20">
        <f>DATE(2000,MONTH(Table1[[#This Row],[date]]),1)</f>
        <v>36861</v>
      </c>
      <c r="K133" s="18" t="str">
        <f>TEXT(Table1[[#This Row],[date]],"mm")</f>
        <v>12</v>
      </c>
      <c r="L133" s="16" t="s">
        <v>61</v>
      </c>
      <c r="M133">
        <v>2022</v>
      </c>
      <c r="N133" t="s">
        <v>38</v>
      </c>
      <c r="O133" t="s">
        <v>200</v>
      </c>
      <c r="P133">
        <v>1100</v>
      </c>
      <c r="Q133">
        <f>AVERAGE(Table1[funds_raised_millions])</f>
        <v>470.28289473684208</v>
      </c>
      <c r="R133">
        <f>AVERAGE(Table1[total_laid_off])</f>
        <v>236.96936274509804</v>
      </c>
    </row>
    <row r="134" spans="1:18" x14ac:dyDescent="0.25">
      <c r="A134" s="3" t="s">
        <v>242</v>
      </c>
      <c r="B134" t="s">
        <v>243</v>
      </c>
      <c r="C134" t="s">
        <v>41</v>
      </c>
      <c r="D134">
        <v>93</v>
      </c>
      <c r="E134" s="1">
        <v>0.13</v>
      </c>
      <c r="F134" s="1" t="str">
        <f>IF(Table1[[#This Row],[percentage_laid_off]]=100%,"1","0")</f>
        <v>0</v>
      </c>
      <c r="G134" t="s">
        <v>28</v>
      </c>
      <c r="H134" s="2">
        <v>44918</v>
      </c>
      <c r="I134" s="2" t="str">
        <f>TEXT(Table1[[#This Row],[date]],"dd")</f>
        <v>23</v>
      </c>
      <c r="J134" s="20">
        <f>DATE(2000,MONTH(Table1[[#This Row],[date]]),1)</f>
        <v>36861</v>
      </c>
      <c r="K134" s="18" t="str">
        <f>TEXT(Table1[[#This Row],[date]],"mm")</f>
        <v>12</v>
      </c>
      <c r="L134" s="16" t="s">
        <v>61</v>
      </c>
      <c r="M134">
        <v>2022</v>
      </c>
      <c r="N134" t="s">
        <v>18</v>
      </c>
      <c r="O134" t="s">
        <v>244</v>
      </c>
      <c r="P134">
        <v>1000</v>
      </c>
      <c r="Q134">
        <f>AVERAGE(Table1[funds_raised_millions])</f>
        <v>470.28289473684208</v>
      </c>
      <c r="R134">
        <f>AVERAGE(Table1[total_laid_off])</f>
        <v>236.96936274509804</v>
      </c>
    </row>
    <row r="135" spans="1:18" x14ac:dyDescent="0.25">
      <c r="A135" s="3" t="s">
        <v>245</v>
      </c>
      <c r="B135" t="s">
        <v>213</v>
      </c>
      <c r="C135" t="s">
        <v>46</v>
      </c>
      <c r="D135" t="s">
        <v>15</v>
      </c>
      <c r="E135" s="1">
        <v>0.15</v>
      </c>
      <c r="F135" s="1" t="str">
        <f>IF(Table1[[#This Row],[percentage_laid_off]]=100%,"1","0")</f>
        <v>0</v>
      </c>
      <c r="G135" t="s">
        <v>28</v>
      </c>
      <c r="H135" s="2">
        <v>44785</v>
      </c>
      <c r="I135" s="2" t="str">
        <f>TEXT(Table1[[#This Row],[date]],"dd")</f>
        <v>12</v>
      </c>
      <c r="J135" s="20">
        <f>DATE(2000,MONTH(Table1[[#This Row],[date]]),1)</f>
        <v>36739</v>
      </c>
      <c r="K135" s="18" t="str">
        <f>TEXT(Table1[[#This Row],[date]],"mm")</f>
        <v>08</v>
      </c>
      <c r="L135" s="16" t="s">
        <v>53</v>
      </c>
      <c r="M135">
        <v>2022</v>
      </c>
      <c r="N135" t="s">
        <v>38</v>
      </c>
      <c r="O135" t="s">
        <v>19</v>
      </c>
      <c r="P135">
        <v>932</v>
      </c>
      <c r="Q135">
        <f>AVERAGE(Table1[funds_raised_millions])</f>
        <v>470.28289473684208</v>
      </c>
      <c r="R135">
        <f>AVERAGE(Table1[total_laid_off])</f>
        <v>236.96936274509804</v>
      </c>
    </row>
    <row r="136" spans="1:18" x14ac:dyDescent="0.25">
      <c r="A136" s="3" t="s">
        <v>246</v>
      </c>
      <c r="B136" t="s">
        <v>247</v>
      </c>
      <c r="C136" t="s">
        <v>15</v>
      </c>
      <c r="D136" t="s">
        <v>15</v>
      </c>
      <c r="E136" s="1">
        <v>0.15</v>
      </c>
      <c r="F136" s="1" t="str">
        <f>IF(Table1[[#This Row],[percentage_laid_off]]=100%,"1","0")</f>
        <v>0</v>
      </c>
      <c r="G136" t="s">
        <v>28</v>
      </c>
      <c r="H136" s="2">
        <v>44944</v>
      </c>
      <c r="I136" s="2" t="str">
        <f>TEXT(Table1[[#This Row],[date]],"dd")</f>
        <v>18</v>
      </c>
      <c r="J136" s="20">
        <f>DATE(2000,MONTH(Table1[[#This Row],[date]]),1)</f>
        <v>36526</v>
      </c>
      <c r="K136" s="18" t="str">
        <f>TEXT(Table1[[#This Row],[date]],"mm")</f>
        <v>01</v>
      </c>
      <c r="L136" s="16" t="s">
        <v>29</v>
      </c>
      <c r="M136">
        <v>2023</v>
      </c>
      <c r="N136" t="s">
        <v>38</v>
      </c>
      <c r="O136" t="s">
        <v>19</v>
      </c>
      <c r="P136">
        <v>946</v>
      </c>
      <c r="Q136">
        <f>AVERAGE(Table1[funds_raised_millions])</f>
        <v>470.28289473684208</v>
      </c>
      <c r="R136">
        <f>AVERAGE(Table1[total_laid_off])</f>
        <v>236.96936274509804</v>
      </c>
    </row>
    <row r="137" spans="1:18" x14ac:dyDescent="0.25">
      <c r="A137" s="3" t="s">
        <v>248</v>
      </c>
      <c r="B137" t="s">
        <v>159</v>
      </c>
      <c r="C137" t="s">
        <v>60</v>
      </c>
      <c r="D137">
        <v>30</v>
      </c>
      <c r="E137" t="s">
        <v>15</v>
      </c>
      <c r="F137" s="1" t="str">
        <f>IF(Table1[[#This Row],[percentage_laid_off]]=100%,"1","0")</f>
        <v>0</v>
      </c>
      <c r="G137" t="b">
        <v>0</v>
      </c>
      <c r="H137" s="2">
        <v>44734</v>
      </c>
      <c r="I137" s="2" t="str">
        <f>TEXT(Table1[[#This Row],[date]],"dd")</f>
        <v>22</v>
      </c>
      <c r="J137" s="20">
        <f>DATE(2000,MONTH(Table1[[#This Row],[date]]),1)</f>
        <v>36678</v>
      </c>
      <c r="K137" s="18" t="str">
        <f>TEXT(Table1[[#This Row],[date]],"mm")</f>
        <v>06</v>
      </c>
      <c r="L137" s="16" t="s">
        <v>73</v>
      </c>
      <c r="M137">
        <v>2022</v>
      </c>
      <c r="N137" t="s">
        <v>30</v>
      </c>
      <c r="O137" t="s">
        <v>19</v>
      </c>
      <c r="P137">
        <v>51</v>
      </c>
      <c r="Q137">
        <f>AVERAGE(Table1[funds_raised_millions])</f>
        <v>470.28289473684208</v>
      </c>
      <c r="R137">
        <f>AVERAGE(Table1[total_laid_off])</f>
        <v>236.96936274509804</v>
      </c>
    </row>
    <row r="138" spans="1:18" x14ac:dyDescent="0.25">
      <c r="A138" s="3" t="s">
        <v>248</v>
      </c>
      <c r="B138" t="s">
        <v>159</v>
      </c>
      <c r="C138" t="s">
        <v>60</v>
      </c>
      <c r="D138">
        <v>35</v>
      </c>
      <c r="E138" t="s">
        <v>15</v>
      </c>
      <c r="F138" s="1" t="str">
        <f>IF(Table1[[#This Row],[percentage_laid_off]]=100%,"1","0")</f>
        <v>0</v>
      </c>
      <c r="G138" t="b">
        <v>0</v>
      </c>
      <c r="H138" s="2">
        <v>44907</v>
      </c>
      <c r="I138" s="2" t="str">
        <f>TEXT(Table1[[#This Row],[date]],"dd")</f>
        <v>12</v>
      </c>
      <c r="J138" s="20">
        <f>DATE(2000,MONTH(Table1[[#This Row],[date]]),1)</f>
        <v>36861</v>
      </c>
      <c r="K138" s="18" t="str">
        <f>TEXT(Table1[[#This Row],[date]],"mm")</f>
        <v>12</v>
      </c>
      <c r="L138" s="16" t="s">
        <v>61</v>
      </c>
      <c r="M138">
        <v>2022</v>
      </c>
      <c r="N138" t="s">
        <v>30</v>
      </c>
      <c r="O138" t="s">
        <v>19</v>
      </c>
      <c r="P138">
        <v>51</v>
      </c>
      <c r="Q138">
        <f>AVERAGE(Table1[funds_raised_millions])</f>
        <v>470.28289473684208</v>
      </c>
      <c r="R138">
        <f>AVERAGE(Table1[total_laid_off])</f>
        <v>236.96936274509804</v>
      </c>
    </row>
    <row r="139" spans="1:18" x14ac:dyDescent="0.25">
      <c r="A139" s="3" t="s">
        <v>249</v>
      </c>
      <c r="B139" t="s">
        <v>250</v>
      </c>
      <c r="C139" t="s">
        <v>14</v>
      </c>
      <c r="D139">
        <v>52</v>
      </c>
      <c r="E139" t="s">
        <v>15</v>
      </c>
      <c r="F139" s="1" t="str">
        <f>IF(Table1[[#This Row],[percentage_laid_off]]=100%,"1","0")</f>
        <v>0</v>
      </c>
      <c r="G139" t="b">
        <v>0</v>
      </c>
      <c r="H139" s="2">
        <v>44568</v>
      </c>
      <c r="I139" s="2" t="str">
        <f>TEXT(Table1[[#This Row],[date]],"dd")</f>
        <v>07</v>
      </c>
      <c r="J139" s="20">
        <f>DATE(2000,MONTH(Table1[[#This Row],[date]]),1)</f>
        <v>36526</v>
      </c>
      <c r="K139" s="18" t="str">
        <f>TEXT(Table1[[#This Row],[date]],"mm")</f>
        <v>01</v>
      </c>
      <c r="L139" s="16" t="s">
        <v>29</v>
      </c>
      <c r="M139">
        <v>2022</v>
      </c>
      <c r="N139" t="s">
        <v>47</v>
      </c>
      <c r="O139" t="s">
        <v>19</v>
      </c>
      <c r="P139" t="s">
        <v>15</v>
      </c>
      <c r="Q139">
        <f>AVERAGE(Table1[funds_raised_millions])</f>
        <v>470.28289473684208</v>
      </c>
      <c r="R139">
        <f>AVERAGE(Table1[total_laid_off])</f>
        <v>236.96936274509804</v>
      </c>
    </row>
    <row r="140" spans="1:18" x14ac:dyDescent="0.25">
      <c r="A140" s="3" t="s">
        <v>251</v>
      </c>
      <c r="B140" t="s">
        <v>252</v>
      </c>
      <c r="C140" t="s">
        <v>46</v>
      </c>
      <c r="D140">
        <v>70</v>
      </c>
      <c r="E140" s="1">
        <v>0.3</v>
      </c>
      <c r="F140" s="1" t="str">
        <f>IF(Table1[[#This Row],[percentage_laid_off]]=100%,"1","0")</f>
        <v>0</v>
      </c>
      <c r="G140" t="s">
        <v>28</v>
      </c>
      <c r="H140" s="2">
        <v>44739</v>
      </c>
      <c r="I140" s="2" t="str">
        <f>TEXT(Table1[[#This Row],[date]],"dd")</f>
        <v>27</v>
      </c>
      <c r="J140" s="20">
        <f>DATE(2000,MONTH(Table1[[#This Row],[date]]),1)</f>
        <v>36678</v>
      </c>
      <c r="K140" s="18" t="str">
        <f>TEXT(Table1[[#This Row],[date]],"mm")</f>
        <v>06</v>
      </c>
      <c r="L140" s="16" t="s">
        <v>73</v>
      </c>
      <c r="M140">
        <v>2022</v>
      </c>
      <c r="N140" t="s">
        <v>38</v>
      </c>
      <c r="O140" t="s">
        <v>58</v>
      </c>
      <c r="P140">
        <v>13</v>
      </c>
      <c r="Q140">
        <f>AVERAGE(Table1[funds_raised_millions])</f>
        <v>470.28289473684208</v>
      </c>
      <c r="R140">
        <f>AVERAGE(Table1[total_laid_off])</f>
        <v>236.96936274509804</v>
      </c>
    </row>
    <row r="141" spans="1:18" x14ac:dyDescent="0.25">
      <c r="A141" s="3" t="s">
        <v>253</v>
      </c>
      <c r="B141" t="s">
        <v>55</v>
      </c>
      <c r="C141" t="s">
        <v>69</v>
      </c>
      <c r="D141" t="s">
        <v>15</v>
      </c>
      <c r="E141" s="1">
        <v>0.75</v>
      </c>
      <c r="F141" s="1" t="str">
        <f>IF(Table1[[#This Row],[percentage_laid_off]]=100%,"1","0")</f>
        <v>0</v>
      </c>
      <c r="G141" t="s">
        <v>130</v>
      </c>
      <c r="H141" s="2">
        <v>45140</v>
      </c>
      <c r="I141" s="2" t="str">
        <f>TEXT(Table1[[#This Row],[date]],"dd")</f>
        <v>02</v>
      </c>
      <c r="J141" s="20">
        <f>DATE(2000,MONTH(Table1[[#This Row],[date]]),1)</f>
        <v>36739</v>
      </c>
      <c r="K141" s="18" t="str">
        <f>TEXT(Table1[[#This Row],[date]],"mm")</f>
        <v>08</v>
      </c>
      <c r="L141" s="16" t="s">
        <v>53</v>
      </c>
      <c r="M141">
        <v>2023</v>
      </c>
      <c r="N141" t="s">
        <v>47</v>
      </c>
      <c r="O141" t="s">
        <v>58</v>
      </c>
      <c r="P141">
        <v>63</v>
      </c>
      <c r="Q141">
        <f>AVERAGE(Table1[funds_raised_millions])</f>
        <v>470.28289473684208</v>
      </c>
      <c r="R141">
        <f>AVERAGE(Table1[total_laid_off])</f>
        <v>236.96936274509804</v>
      </c>
    </row>
    <row r="142" spans="1:18" x14ac:dyDescent="0.25">
      <c r="A142" s="3" t="s">
        <v>254</v>
      </c>
      <c r="B142" t="s">
        <v>40</v>
      </c>
      <c r="C142" t="s">
        <v>41</v>
      </c>
      <c r="D142">
        <v>126</v>
      </c>
      <c r="E142" s="1">
        <v>0.12</v>
      </c>
      <c r="F142" s="1" t="str">
        <f>IF(Table1[[#This Row],[percentage_laid_off]]=100%,"1","0")</f>
        <v>0</v>
      </c>
      <c r="G142" t="s">
        <v>28</v>
      </c>
      <c r="H142" s="2">
        <v>45171</v>
      </c>
      <c r="I142" s="2" t="str">
        <f>TEXT(Table1[[#This Row],[date]],"dd")</f>
        <v>02</v>
      </c>
      <c r="J142" s="20">
        <f>DATE(2000,MONTH(Table1[[#This Row],[date]]),1)</f>
        <v>36770</v>
      </c>
      <c r="K142" s="18" t="str">
        <f>TEXT(Table1[[#This Row],[date]],"mm")</f>
        <v>09</v>
      </c>
      <c r="L142" s="16" t="s">
        <v>70</v>
      </c>
      <c r="M142">
        <v>2023</v>
      </c>
      <c r="N142" t="s">
        <v>38</v>
      </c>
      <c r="O142" t="s">
        <v>19</v>
      </c>
      <c r="P142" t="s">
        <v>15</v>
      </c>
      <c r="Q142">
        <f>AVERAGE(Table1[funds_raised_millions])</f>
        <v>470.28289473684208</v>
      </c>
      <c r="R142">
        <f>AVERAGE(Table1[total_laid_off])</f>
        <v>236.96936274509804</v>
      </c>
    </row>
    <row r="143" spans="1:18" x14ac:dyDescent="0.25">
      <c r="A143" s="3" t="s">
        <v>255</v>
      </c>
      <c r="B143" t="s">
        <v>13</v>
      </c>
      <c r="C143" t="s">
        <v>69</v>
      </c>
      <c r="D143">
        <v>16</v>
      </c>
      <c r="E143" s="1">
        <v>0.25</v>
      </c>
      <c r="F143" s="1" t="str">
        <f>IF(Table1[[#This Row],[percentage_laid_off]]=100%,"1","0")</f>
        <v>0</v>
      </c>
      <c r="G143" t="s">
        <v>28</v>
      </c>
      <c r="H143" s="2">
        <v>44741</v>
      </c>
      <c r="I143" s="2" t="str">
        <f>TEXT(Table1[[#This Row],[date]],"dd")</f>
        <v>29</v>
      </c>
      <c r="J143" s="20">
        <f>DATE(2000,MONTH(Table1[[#This Row],[date]]),1)</f>
        <v>36678</v>
      </c>
      <c r="K143" s="18" t="str">
        <f>TEXT(Table1[[#This Row],[date]],"mm")</f>
        <v>06</v>
      </c>
      <c r="L143" s="16" t="s">
        <v>73</v>
      </c>
      <c r="M143">
        <v>2022</v>
      </c>
      <c r="N143" t="s">
        <v>24</v>
      </c>
      <c r="O143" t="s">
        <v>19</v>
      </c>
      <c r="P143">
        <v>13</v>
      </c>
      <c r="Q143">
        <f>AVERAGE(Table1[funds_raised_millions])</f>
        <v>470.28289473684208</v>
      </c>
      <c r="R143">
        <f>AVERAGE(Table1[total_laid_off])</f>
        <v>236.96936274509804</v>
      </c>
    </row>
    <row r="144" spans="1:18" x14ac:dyDescent="0.25">
      <c r="A144" s="3" t="s">
        <v>256</v>
      </c>
      <c r="B144" t="s">
        <v>257</v>
      </c>
      <c r="C144" t="s">
        <v>14</v>
      </c>
      <c r="D144">
        <v>31</v>
      </c>
      <c r="E144" s="1">
        <v>0.08</v>
      </c>
      <c r="F144" s="1" t="str">
        <f>IF(Table1[[#This Row],[percentage_laid_off]]=100%,"1","0")</f>
        <v>0</v>
      </c>
      <c r="G144" t="s">
        <v>16</v>
      </c>
      <c r="H144" s="2">
        <v>45140</v>
      </c>
      <c r="I144" s="2" t="str">
        <f>TEXT(Table1[[#This Row],[date]],"dd")</f>
        <v>02</v>
      </c>
      <c r="J144" s="20">
        <f>DATE(2000,MONTH(Table1[[#This Row],[date]]),1)</f>
        <v>36739</v>
      </c>
      <c r="K144" s="18" t="str">
        <f>TEXT(Table1[[#This Row],[date]],"mm")</f>
        <v>08</v>
      </c>
      <c r="L144" s="16" t="s">
        <v>53</v>
      </c>
      <c r="M144">
        <v>2023</v>
      </c>
      <c r="N144" t="s">
        <v>18</v>
      </c>
      <c r="O144" t="s">
        <v>19</v>
      </c>
      <c r="P144">
        <v>168</v>
      </c>
      <c r="Q144">
        <f>AVERAGE(Table1[funds_raised_millions])</f>
        <v>470.28289473684208</v>
      </c>
      <c r="R144">
        <f>AVERAGE(Table1[total_laid_off])</f>
        <v>236.96936274509804</v>
      </c>
    </row>
    <row r="145" spans="1:18" x14ac:dyDescent="0.25">
      <c r="A145" s="3" t="s">
        <v>258</v>
      </c>
      <c r="B145" t="s">
        <v>199</v>
      </c>
      <c r="C145" t="s">
        <v>190</v>
      </c>
      <c r="D145" t="s">
        <v>15</v>
      </c>
      <c r="E145" s="1">
        <v>0.12</v>
      </c>
      <c r="F145" s="1" t="str">
        <f>IF(Table1[[#This Row],[percentage_laid_off]]=100%,"1","0")</f>
        <v>0</v>
      </c>
      <c r="G145" t="s">
        <v>28</v>
      </c>
      <c r="H145" s="2">
        <v>45200</v>
      </c>
      <c r="I145" s="2" t="str">
        <f>TEXT(Table1[[#This Row],[date]],"dd")</f>
        <v>01</v>
      </c>
      <c r="J145" s="20">
        <f>DATE(2000,MONTH(Table1[[#This Row],[date]]),1)</f>
        <v>36800</v>
      </c>
      <c r="K145" s="18" t="str">
        <f>TEXT(Table1[[#This Row],[date]],"mm")</f>
        <v>10</v>
      </c>
      <c r="L145" s="16" t="s">
        <v>95</v>
      </c>
      <c r="M145">
        <v>2023</v>
      </c>
      <c r="N145" t="s">
        <v>43</v>
      </c>
      <c r="O145" t="s">
        <v>19</v>
      </c>
      <c r="P145">
        <v>223</v>
      </c>
      <c r="Q145">
        <f>AVERAGE(Table1[funds_raised_millions])</f>
        <v>470.28289473684208</v>
      </c>
      <c r="R145">
        <f>AVERAGE(Table1[total_laid_off])</f>
        <v>236.96936274509804</v>
      </c>
    </row>
    <row r="146" spans="1:18" x14ac:dyDescent="0.25">
      <c r="A146" s="3" t="s">
        <v>259</v>
      </c>
      <c r="B146" t="s">
        <v>45</v>
      </c>
      <c r="C146" t="s">
        <v>82</v>
      </c>
      <c r="D146">
        <v>30</v>
      </c>
      <c r="E146" t="s">
        <v>15</v>
      </c>
      <c r="F146" s="1" t="str">
        <f>IF(Table1[[#This Row],[percentage_laid_off]]=100%,"1","0")</f>
        <v>0</v>
      </c>
      <c r="G146" t="b">
        <v>0</v>
      </c>
      <c r="H146" s="2">
        <v>44108</v>
      </c>
      <c r="I146" s="2" t="str">
        <f>TEXT(Table1[[#This Row],[date]],"dd")</f>
        <v>04</v>
      </c>
      <c r="J146" s="20">
        <f>DATE(2000,MONTH(Table1[[#This Row],[date]]),1)</f>
        <v>36800</v>
      </c>
      <c r="K146" s="18" t="str">
        <f>TEXT(Table1[[#This Row],[date]],"mm")</f>
        <v>10</v>
      </c>
      <c r="L146" s="16" t="s">
        <v>95</v>
      </c>
      <c r="M146">
        <v>2020</v>
      </c>
      <c r="N146" t="s">
        <v>30</v>
      </c>
      <c r="O146" t="s">
        <v>48</v>
      </c>
      <c r="P146">
        <v>14</v>
      </c>
      <c r="Q146">
        <f>AVERAGE(Table1[funds_raised_millions])</f>
        <v>470.28289473684208</v>
      </c>
      <c r="R146">
        <f>AVERAGE(Table1[total_laid_off])</f>
        <v>236.96936274509804</v>
      </c>
    </row>
    <row r="147" spans="1:18" x14ac:dyDescent="0.25">
      <c r="A147" s="3" t="s">
        <v>260</v>
      </c>
      <c r="B147" t="s">
        <v>75</v>
      </c>
      <c r="C147" t="s">
        <v>82</v>
      </c>
      <c r="D147">
        <v>47</v>
      </c>
      <c r="E147" s="1">
        <v>0.1</v>
      </c>
      <c r="F147" s="1" t="str">
        <f>IF(Table1[[#This Row],[percentage_laid_off]]=100%,"1","0")</f>
        <v>0</v>
      </c>
      <c r="G147" t="s">
        <v>16</v>
      </c>
      <c r="H147" s="2">
        <v>43917</v>
      </c>
      <c r="I147" s="2" t="str">
        <f>TEXT(Table1[[#This Row],[date]],"dd")</f>
        <v>27</v>
      </c>
      <c r="J147" s="20">
        <f>DATE(2000,MONTH(Table1[[#This Row],[date]]),1)</f>
        <v>36586</v>
      </c>
      <c r="K147" s="18" t="str">
        <f>TEXT(Table1[[#This Row],[date]],"mm")</f>
        <v>03</v>
      </c>
      <c r="L147" s="16" t="s">
        <v>57</v>
      </c>
      <c r="M147">
        <v>2020</v>
      </c>
      <c r="N147" t="s">
        <v>30</v>
      </c>
      <c r="O147" t="s">
        <v>31</v>
      </c>
      <c r="P147">
        <v>49</v>
      </c>
      <c r="Q147">
        <f>AVERAGE(Table1[funds_raised_millions])</f>
        <v>470.28289473684208</v>
      </c>
      <c r="R147">
        <f>AVERAGE(Table1[total_laid_off])</f>
        <v>236.96936274509804</v>
      </c>
    </row>
    <row r="148" spans="1:18" x14ac:dyDescent="0.25">
      <c r="A148" s="3" t="s">
        <v>261</v>
      </c>
      <c r="B148" t="s">
        <v>262</v>
      </c>
      <c r="C148" t="s">
        <v>161</v>
      </c>
      <c r="D148">
        <v>137</v>
      </c>
      <c r="E148" s="1">
        <v>0.14000000000000001</v>
      </c>
      <c r="F148" s="1" t="str">
        <f>IF(Table1[[#This Row],[percentage_laid_off]]=100%,"1","0")</f>
        <v>0</v>
      </c>
      <c r="G148" t="s">
        <v>28</v>
      </c>
      <c r="H148" s="2">
        <v>44944</v>
      </c>
      <c r="I148" s="2" t="str">
        <f>TEXT(Table1[[#This Row],[date]],"dd")</f>
        <v>18</v>
      </c>
      <c r="J148" s="20">
        <f>DATE(2000,MONTH(Table1[[#This Row],[date]]),1)</f>
        <v>36526</v>
      </c>
      <c r="K148" s="18" t="str">
        <f>TEXT(Table1[[#This Row],[date]],"mm")</f>
        <v>01</v>
      </c>
      <c r="L148" s="16" t="s">
        <v>29</v>
      </c>
      <c r="M148">
        <v>2023</v>
      </c>
      <c r="N148" t="s">
        <v>47</v>
      </c>
      <c r="O148" t="s">
        <v>31</v>
      </c>
      <c r="P148">
        <v>69</v>
      </c>
      <c r="Q148">
        <f>AVERAGE(Table1[funds_raised_millions])</f>
        <v>470.28289473684208</v>
      </c>
      <c r="R148">
        <f>AVERAGE(Table1[total_laid_off])</f>
        <v>236.96936274509804</v>
      </c>
    </row>
    <row r="149" spans="1:18" x14ac:dyDescent="0.25">
      <c r="A149" s="3" t="s">
        <v>263</v>
      </c>
      <c r="B149" t="s">
        <v>40</v>
      </c>
      <c r="C149" t="s">
        <v>41</v>
      </c>
      <c r="D149" t="s">
        <v>15</v>
      </c>
      <c r="E149" s="1">
        <v>0.14000000000000001</v>
      </c>
      <c r="F149" s="1" t="str">
        <f>IF(Table1[[#This Row],[percentage_laid_off]]=100%,"1","0")</f>
        <v>0</v>
      </c>
      <c r="G149" t="s">
        <v>28</v>
      </c>
      <c r="H149" s="2">
        <v>44662</v>
      </c>
      <c r="I149" s="2" t="str">
        <f>TEXT(Table1[[#This Row],[date]],"dd")</f>
        <v>11</v>
      </c>
      <c r="J149" s="20">
        <f>DATE(2000,MONTH(Table1[[#This Row],[date]]),1)</f>
        <v>36617</v>
      </c>
      <c r="K149" s="18" t="str">
        <f>TEXT(Table1[[#This Row],[date]],"mm")</f>
        <v>04</v>
      </c>
      <c r="L149" s="16" t="s">
        <v>37</v>
      </c>
      <c r="M149">
        <v>2022</v>
      </c>
      <c r="N149" t="s">
        <v>24</v>
      </c>
      <c r="O149" t="s">
        <v>19</v>
      </c>
      <c r="P149">
        <v>380</v>
      </c>
      <c r="Q149">
        <f>AVERAGE(Table1[funds_raised_millions])</f>
        <v>470.28289473684208</v>
      </c>
      <c r="R149">
        <f>AVERAGE(Table1[total_laid_off])</f>
        <v>236.96936274509804</v>
      </c>
    </row>
    <row r="150" spans="1:18" x14ac:dyDescent="0.25">
      <c r="A150" s="3" t="s">
        <v>264</v>
      </c>
      <c r="B150" t="s">
        <v>13</v>
      </c>
      <c r="C150" t="s">
        <v>14</v>
      </c>
      <c r="D150" t="s">
        <v>15</v>
      </c>
      <c r="E150" s="1">
        <v>0.12</v>
      </c>
      <c r="F150" s="1" t="str">
        <f>IF(Table1[[#This Row],[percentage_laid_off]]=100%,"1","0")</f>
        <v>0</v>
      </c>
      <c r="G150" t="s">
        <v>28</v>
      </c>
      <c r="H150" s="2">
        <v>44812</v>
      </c>
      <c r="I150" s="2" t="str">
        <f>TEXT(Table1[[#This Row],[date]],"dd")</f>
        <v>08</v>
      </c>
      <c r="J150" s="20">
        <f>DATE(2000,MONTH(Table1[[#This Row],[date]]),1)</f>
        <v>36770</v>
      </c>
      <c r="K150" s="18" t="str">
        <f>TEXT(Table1[[#This Row],[date]],"mm")</f>
        <v>09</v>
      </c>
      <c r="L150" s="16" t="s">
        <v>70</v>
      </c>
      <c r="M150">
        <v>2022</v>
      </c>
      <c r="N150" t="s">
        <v>38</v>
      </c>
      <c r="O150" t="s">
        <v>19</v>
      </c>
      <c r="P150">
        <v>272</v>
      </c>
      <c r="Q150">
        <f>AVERAGE(Table1[funds_raised_millions])</f>
        <v>470.28289473684208</v>
      </c>
      <c r="R150">
        <f>AVERAGE(Table1[total_laid_off])</f>
        <v>236.96936274509804</v>
      </c>
    </row>
    <row r="151" spans="1:18" x14ac:dyDescent="0.25">
      <c r="A151" s="3" t="s">
        <v>265</v>
      </c>
      <c r="B151" t="s">
        <v>94</v>
      </c>
      <c r="C151" t="s">
        <v>41</v>
      </c>
      <c r="D151">
        <v>100</v>
      </c>
      <c r="E151" s="1">
        <v>0.1</v>
      </c>
      <c r="F151" s="1" t="str">
        <f>IF(Table1[[#This Row],[percentage_laid_off]]=100%,"1","0")</f>
        <v>0</v>
      </c>
      <c r="G151" t="s">
        <v>16</v>
      </c>
      <c r="H151" s="2">
        <v>44840</v>
      </c>
      <c r="I151" s="2" t="str">
        <f>TEXT(Table1[[#This Row],[date]],"dd")</f>
        <v>06</v>
      </c>
      <c r="J151" s="20">
        <f>DATE(2000,MONTH(Table1[[#This Row],[date]]),1)</f>
        <v>36800</v>
      </c>
      <c r="K151" s="18" t="str">
        <f>TEXT(Table1[[#This Row],[date]],"mm")</f>
        <v>10</v>
      </c>
      <c r="L151" s="16" t="s">
        <v>95</v>
      </c>
      <c r="M151">
        <v>2022</v>
      </c>
      <c r="N151" t="s">
        <v>47</v>
      </c>
      <c r="O151" t="s">
        <v>96</v>
      </c>
      <c r="P151">
        <v>1000</v>
      </c>
      <c r="Q151">
        <f>AVERAGE(Table1[funds_raised_millions])</f>
        <v>470.28289473684208</v>
      </c>
      <c r="R151">
        <f>AVERAGE(Table1[total_laid_off])</f>
        <v>236.96936274509804</v>
      </c>
    </row>
    <row r="152" spans="1:18" x14ac:dyDescent="0.25">
      <c r="A152" s="3" t="s">
        <v>266</v>
      </c>
      <c r="B152" t="s">
        <v>267</v>
      </c>
      <c r="C152" t="s">
        <v>82</v>
      </c>
      <c r="D152">
        <v>41</v>
      </c>
      <c r="E152" s="1">
        <v>0.14000000000000001</v>
      </c>
      <c r="F152" s="1" t="str">
        <f>IF(Table1[[#This Row],[percentage_laid_off]]=100%,"1","0")</f>
        <v>0</v>
      </c>
      <c r="G152" t="s">
        <v>28</v>
      </c>
      <c r="H152" s="2">
        <v>44736</v>
      </c>
      <c r="I152" s="2" t="str">
        <f>TEXT(Table1[[#This Row],[date]],"dd")</f>
        <v>24</v>
      </c>
      <c r="J152" s="20">
        <f>DATE(2000,MONTH(Table1[[#This Row],[date]]),1)</f>
        <v>36678</v>
      </c>
      <c r="K152" s="18" t="str">
        <f>TEXT(Table1[[#This Row],[date]],"mm")</f>
        <v>06</v>
      </c>
      <c r="L152" s="16" t="s">
        <v>73</v>
      </c>
      <c r="M152">
        <v>2022</v>
      </c>
      <c r="N152" t="s">
        <v>35</v>
      </c>
      <c r="O152" t="s">
        <v>19</v>
      </c>
      <c r="P152">
        <v>137</v>
      </c>
      <c r="Q152">
        <f>AVERAGE(Table1[funds_raised_millions])</f>
        <v>470.28289473684208</v>
      </c>
      <c r="R152">
        <f>AVERAGE(Table1[total_laid_off])</f>
        <v>236.96936274509804</v>
      </c>
    </row>
    <row r="153" spans="1:18" x14ac:dyDescent="0.25">
      <c r="A153" s="3" t="s">
        <v>268</v>
      </c>
      <c r="B153" t="s">
        <v>40</v>
      </c>
      <c r="C153" t="s">
        <v>174</v>
      </c>
      <c r="D153">
        <v>900</v>
      </c>
      <c r="E153" s="1">
        <v>0.09</v>
      </c>
      <c r="F153" s="1" t="str">
        <f>IF(Table1[[#This Row],[percentage_laid_off]]=100%,"1","0")</f>
        <v>0</v>
      </c>
      <c r="G153" t="s">
        <v>16</v>
      </c>
      <c r="H153" s="2">
        <v>44208</v>
      </c>
      <c r="I153" s="2" t="str">
        <f>TEXT(Table1[[#This Row],[date]],"dd")</f>
        <v>12</v>
      </c>
      <c r="J153" s="20">
        <f>DATE(2000,MONTH(Table1[[#This Row],[date]]),1)</f>
        <v>36526</v>
      </c>
      <c r="K153" s="18" t="str">
        <f>TEXT(Table1[[#This Row],[date]],"mm")</f>
        <v>01</v>
      </c>
      <c r="L153" s="16" t="s">
        <v>29</v>
      </c>
      <c r="M153">
        <v>2021</v>
      </c>
      <c r="N153" t="s">
        <v>47</v>
      </c>
      <c r="O153" t="s">
        <v>19</v>
      </c>
      <c r="P153">
        <v>905</v>
      </c>
      <c r="Q153">
        <f>AVERAGE(Table1[funds_raised_millions])</f>
        <v>470.28289473684208</v>
      </c>
      <c r="R153">
        <f>AVERAGE(Table1[total_laid_off])</f>
        <v>236.96936274509804</v>
      </c>
    </row>
    <row r="154" spans="1:18" x14ac:dyDescent="0.25">
      <c r="A154" s="3" t="s">
        <v>268</v>
      </c>
      <c r="B154" t="s">
        <v>40</v>
      </c>
      <c r="C154" t="s">
        <v>174</v>
      </c>
      <c r="D154">
        <v>3000</v>
      </c>
      <c r="E154" s="1">
        <v>0.33</v>
      </c>
      <c r="F154" s="1" t="str">
        <f>IF(Table1[[#This Row],[percentage_laid_off]]=100%,"1","0")</f>
        <v>0</v>
      </c>
      <c r="G154" t="s">
        <v>28</v>
      </c>
      <c r="H154" s="2">
        <v>44776</v>
      </c>
      <c r="I154" s="2" t="str">
        <f>TEXT(Table1[[#This Row],[date]],"dd")</f>
        <v>03</v>
      </c>
      <c r="J154" s="20">
        <f>DATE(2000,MONTH(Table1[[#This Row],[date]]),1)</f>
        <v>36739</v>
      </c>
      <c r="K154" s="18" t="str">
        <f>TEXT(Table1[[#This Row],[date]],"mm")</f>
        <v>08</v>
      </c>
      <c r="L154" s="16" t="s">
        <v>53</v>
      </c>
      <c r="M154">
        <v>2022</v>
      </c>
      <c r="N154" t="s">
        <v>47</v>
      </c>
      <c r="O154" t="s">
        <v>19</v>
      </c>
      <c r="P154">
        <v>905</v>
      </c>
      <c r="Q154">
        <f>AVERAGE(Table1[funds_raised_millions])</f>
        <v>470.28289473684208</v>
      </c>
      <c r="R154">
        <f>AVERAGE(Table1[total_laid_off])</f>
        <v>236.96936274509804</v>
      </c>
    </row>
    <row r="155" spans="1:18" x14ac:dyDescent="0.25">
      <c r="A155" s="3" t="s">
        <v>269</v>
      </c>
      <c r="B155" t="s">
        <v>270</v>
      </c>
      <c r="C155" t="s">
        <v>14</v>
      </c>
      <c r="D155" t="s">
        <v>15</v>
      </c>
      <c r="E155" s="1">
        <v>0.3</v>
      </c>
      <c r="F155" s="1" t="str">
        <f>IF(Table1[[#This Row],[percentage_laid_off]]=100%,"1","0")</f>
        <v>0</v>
      </c>
      <c r="G155" t="s">
        <v>28</v>
      </c>
      <c r="H155" s="2">
        <v>44944</v>
      </c>
      <c r="I155" s="2" t="str">
        <f>TEXT(Table1[[#This Row],[date]],"dd")</f>
        <v>18</v>
      </c>
      <c r="J155" s="20">
        <f>DATE(2000,MONTH(Table1[[#This Row],[date]]),1)</f>
        <v>36526</v>
      </c>
      <c r="K155" s="18" t="str">
        <f>TEXT(Table1[[#This Row],[date]],"mm")</f>
        <v>01</v>
      </c>
      <c r="L155" s="16" t="s">
        <v>29</v>
      </c>
      <c r="M155">
        <v>2023</v>
      </c>
      <c r="N155" t="s">
        <v>35</v>
      </c>
      <c r="O155" t="s">
        <v>271</v>
      </c>
      <c r="P155">
        <v>204</v>
      </c>
      <c r="Q155">
        <f>AVERAGE(Table1[funds_raised_millions])</f>
        <v>470.28289473684208</v>
      </c>
      <c r="R155">
        <f>AVERAGE(Table1[total_laid_off])</f>
        <v>236.96936274509804</v>
      </c>
    </row>
    <row r="156" spans="1:18" x14ac:dyDescent="0.25">
      <c r="A156" s="3" t="s">
        <v>269</v>
      </c>
      <c r="B156" t="s">
        <v>270</v>
      </c>
      <c r="C156" t="s">
        <v>14</v>
      </c>
      <c r="D156">
        <v>30</v>
      </c>
      <c r="E156" t="s">
        <v>15</v>
      </c>
      <c r="F156" s="1" t="str">
        <f>IF(Table1[[#This Row],[percentage_laid_off]]=100%,"1","0")</f>
        <v>0</v>
      </c>
      <c r="G156" t="b">
        <v>0</v>
      </c>
      <c r="H156" s="2">
        <v>44873</v>
      </c>
      <c r="I156" s="2" t="str">
        <f>TEXT(Table1[[#This Row],[date]],"dd")</f>
        <v>08</v>
      </c>
      <c r="J156" s="20">
        <f>DATE(2000,MONTH(Table1[[#This Row],[date]]),1)</f>
        <v>36831</v>
      </c>
      <c r="K156" s="18" t="str">
        <f>TEXT(Table1[[#This Row],[date]],"mm")</f>
        <v>11</v>
      </c>
      <c r="L156" s="16" t="s">
        <v>23</v>
      </c>
      <c r="M156">
        <v>2022</v>
      </c>
      <c r="N156" t="s">
        <v>35</v>
      </c>
      <c r="O156" t="s">
        <v>271</v>
      </c>
      <c r="P156">
        <v>204</v>
      </c>
      <c r="Q156">
        <f>AVERAGE(Table1[funds_raised_millions])</f>
        <v>470.28289473684208</v>
      </c>
      <c r="R156">
        <f>AVERAGE(Table1[total_laid_off])</f>
        <v>236.96936274509804</v>
      </c>
    </row>
    <row r="157" spans="1:18" x14ac:dyDescent="0.25">
      <c r="A157" s="3" t="s">
        <v>272</v>
      </c>
      <c r="B157" t="s">
        <v>40</v>
      </c>
      <c r="C157" t="s">
        <v>82</v>
      </c>
      <c r="D157">
        <v>28</v>
      </c>
      <c r="E157" t="s">
        <v>15</v>
      </c>
      <c r="F157" s="1" t="str">
        <f>IF(Table1[[#This Row],[percentage_laid_off]]=100%,"1","0")</f>
        <v>0</v>
      </c>
      <c r="G157" t="b">
        <v>0</v>
      </c>
      <c r="H157" s="2">
        <v>44972</v>
      </c>
      <c r="I157" s="2" t="str">
        <f>TEXT(Table1[[#This Row],[date]],"dd")</f>
        <v>15</v>
      </c>
      <c r="J157" s="20">
        <f>DATE(2000,MONTH(Table1[[#This Row],[date]]),1)</f>
        <v>36557</v>
      </c>
      <c r="K157" s="18" t="str">
        <f>TEXT(Table1[[#This Row],[date]],"mm")</f>
        <v>02</v>
      </c>
      <c r="L157" s="16" t="s">
        <v>42</v>
      </c>
      <c r="M157">
        <v>2023</v>
      </c>
      <c r="N157" t="s">
        <v>100</v>
      </c>
      <c r="O157" t="s">
        <v>19</v>
      </c>
      <c r="P157">
        <v>435</v>
      </c>
      <c r="Q157">
        <f>AVERAGE(Table1[funds_raised_millions])</f>
        <v>470.28289473684208</v>
      </c>
      <c r="R157">
        <f>AVERAGE(Table1[total_laid_off])</f>
        <v>236.96936274509804</v>
      </c>
    </row>
    <row r="158" spans="1:18" x14ac:dyDescent="0.25">
      <c r="A158" s="3" t="s">
        <v>273</v>
      </c>
      <c r="B158" t="s">
        <v>88</v>
      </c>
      <c r="C158" t="s">
        <v>64</v>
      </c>
      <c r="D158">
        <v>30</v>
      </c>
      <c r="E158" s="1">
        <v>0.2</v>
      </c>
      <c r="F158" s="1" t="str">
        <f>IF(Table1[[#This Row],[percentage_laid_off]]=100%,"1","0")</f>
        <v>0</v>
      </c>
      <c r="G158" t="s">
        <v>28</v>
      </c>
      <c r="H158" s="2">
        <v>43917</v>
      </c>
      <c r="I158" s="2" t="str">
        <f>TEXT(Table1[[#This Row],[date]],"dd")</f>
        <v>27</v>
      </c>
      <c r="J158" s="20">
        <f>DATE(2000,MONTH(Table1[[#This Row],[date]]),1)</f>
        <v>36586</v>
      </c>
      <c r="K158" s="18" t="str">
        <f>TEXT(Table1[[#This Row],[date]],"mm")</f>
        <v>03</v>
      </c>
      <c r="L158" s="16" t="s">
        <v>57</v>
      </c>
      <c r="M158">
        <v>2020</v>
      </c>
      <c r="N158" t="s">
        <v>35</v>
      </c>
      <c r="O158" t="s">
        <v>19</v>
      </c>
      <c r="P158">
        <v>60</v>
      </c>
      <c r="Q158">
        <f>AVERAGE(Table1[funds_raised_millions])</f>
        <v>470.28289473684208</v>
      </c>
      <c r="R158">
        <f>AVERAGE(Table1[total_laid_off])</f>
        <v>236.96936274509804</v>
      </c>
    </row>
    <row r="159" spans="1:18" x14ac:dyDescent="0.25">
      <c r="A159" s="3" t="s">
        <v>274</v>
      </c>
      <c r="B159" t="s">
        <v>33</v>
      </c>
      <c r="C159" t="s">
        <v>64</v>
      </c>
      <c r="D159">
        <v>40</v>
      </c>
      <c r="E159" t="s">
        <v>15</v>
      </c>
      <c r="F159" s="1" t="str">
        <f>IF(Table1[[#This Row],[percentage_laid_off]]=100%,"1","0")</f>
        <v>0</v>
      </c>
      <c r="G159" t="b">
        <v>0</v>
      </c>
      <c r="H159" s="2">
        <v>44628</v>
      </c>
      <c r="I159" s="2" t="str">
        <f>TEXT(Table1[[#This Row],[date]],"dd")</f>
        <v>08</v>
      </c>
      <c r="J159" s="20">
        <f>DATE(2000,MONTH(Table1[[#This Row],[date]]),1)</f>
        <v>36586</v>
      </c>
      <c r="K159" s="18" t="str">
        <f>TEXT(Table1[[#This Row],[date]],"mm")</f>
        <v>03</v>
      </c>
      <c r="L159" s="16" t="s">
        <v>57</v>
      </c>
      <c r="M159">
        <v>2022</v>
      </c>
      <c r="N159" t="s">
        <v>38</v>
      </c>
      <c r="O159" t="s">
        <v>19</v>
      </c>
      <c r="P159">
        <v>122</v>
      </c>
      <c r="Q159">
        <f>AVERAGE(Table1[funds_raised_millions])</f>
        <v>470.28289473684208</v>
      </c>
      <c r="R159">
        <f>AVERAGE(Table1[total_laid_off])</f>
        <v>236.96936274509804</v>
      </c>
    </row>
    <row r="160" spans="1:18" x14ac:dyDescent="0.25">
      <c r="A160" s="3" t="s">
        <v>274</v>
      </c>
      <c r="B160" t="s">
        <v>33</v>
      </c>
      <c r="C160" t="s">
        <v>64</v>
      </c>
      <c r="D160">
        <v>200</v>
      </c>
      <c r="E160" s="1">
        <v>0.19</v>
      </c>
      <c r="F160" s="1" t="str">
        <f>IF(Table1[[#This Row],[percentage_laid_off]]=100%,"1","0")</f>
        <v>0</v>
      </c>
      <c r="G160" t="s">
        <v>28</v>
      </c>
      <c r="H160" s="2">
        <v>44848</v>
      </c>
      <c r="I160" s="2" t="str">
        <f>TEXT(Table1[[#This Row],[date]],"dd")</f>
        <v>14</v>
      </c>
      <c r="J160" s="20">
        <f>DATE(2000,MONTH(Table1[[#This Row],[date]]),1)</f>
        <v>36800</v>
      </c>
      <c r="K160" s="18" t="str">
        <f>TEXT(Table1[[#This Row],[date]],"mm")</f>
        <v>10</v>
      </c>
      <c r="L160" s="16" t="s">
        <v>95</v>
      </c>
      <c r="M160">
        <v>2022</v>
      </c>
      <c r="N160" t="s">
        <v>38</v>
      </c>
      <c r="O160" t="s">
        <v>19</v>
      </c>
      <c r="P160">
        <v>122</v>
      </c>
      <c r="Q160">
        <f>AVERAGE(Table1[funds_raised_millions])</f>
        <v>470.28289473684208</v>
      </c>
      <c r="R160">
        <f>AVERAGE(Table1[total_laid_off])</f>
        <v>236.96936274509804</v>
      </c>
    </row>
    <row r="161" spans="1:18" x14ac:dyDescent="0.25">
      <c r="A161" s="3" t="s">
        <v>275</v>
      </c>
      <c r="B161" t="s">
        <v>170</v>
      </c>
      <c r="C161" t="s">
        <v>89</v>
      </c>
      <c r="D161">
        <v>65</v>
      </c>
      <c r="E161" s="1">
        <v>1</v>
      </c>
      <c r="F161" s="1" t="str">
        <f>IF(Table1[[#This Row],[percentage_laid_off]]=100%,"1","0")</f>
        <v>1</v>
      </c>
      <c r="G161" t="s">
        <v>114</v>
      </c>
      <c r="H161" s="2">
        <v>44704</v>
      </c>
      <c r="I161" s="2" t="str">
        <f>TEXT(Table1[[#This Row],[date]],"dd")</f>
        <v>23</v>
      </c>
      <c r="J161" s="20">
        <f>DATE(2000,MONTH(Table1[[#This Row],[date]]),1)</f>
        <v>36647</v>
      </c>
      <c r="K161" s="18" t="str">
        <f>TEXT(Table1[[#This Row],[date]],"mm")</f>
        <v>05</v>
      </c>
      <c r="L161" s="16" t="s">
        <v>86</v>
      </c>
      <c r="M161">
        <v>2022</v>
      </c>
      <c r="N161" t="s">
        <v>24</v>
      </c>
      <c r="O161" t="s">
        <v>172</v>
      </c>
      <c r="P161">
        <v>16</v>
      </c>
      <c r="Q161">
        <f>AVERAGE(Table1[funds_raised_millions])</f>
        <v>470.28289473684208</v>
      </c>
      <c r="R161">
        <f>AVERAGE(Table1[total_laid_off])</f>
        <v>236.96936274509804</v>
      </c>
    </row>
    <row r="162" spans="1:18" x14ac:dyDescent="0.25">
      <c r="A162" s="3" t="s">
        <v>276</v>
      </c>
      <c r="B162" t="s">
        <v>81</v>
      </c>
      <c r="C162" t="s">
        <v>64</v>
      </c>
      <c r="D162">
        <v>40</v>
      </c>
      <c r="E162" s="1">
        <v>0.43</v>
      </c>
      <c r="F162" s="1" t="str">
        <f>IF(Table1[[#This Row],[percentage_laid_off]]=100%,"1","0")</f>
        <v>0</v>
      </c>
      <c r="G162" t="s">
        <v>28</v>
      </c>
      <c r="H162" s="2">
        <v>44941</v>
      </c>
      <c r="I162" s="2" t="str">
        <f>TEXT(Table1[[#This Row],[date]],"dd")</f>
        <v>15</v>
      </c>
      <c r="J162" s="20">
        <f>DATE(2000,MONTH(Table1[[#This Row],[date]]),1)</f>
        <v>36526</v>
      </c>
      <c r="K162" s="18" t="str">
        <f>TEXT(Table1[[#This Row],[date]],"mm")</f>
        <v>01</v>
      </c>
      <c r="L162" s="16" t="s">
        <v>29</v>
      </c>
      <c r="M162">
        <v>2023</v>
      </c>
      <c r="N162" t="s">
        <v>24</v>
      </c>
      <c r="O162" t="s">
        <v>83</v>
      </c>
      <c r="P162">
        <v>21</v>
      </c>
      <c r="Q162">
        <f>AVERAGE(Table1[funds_raised_millions])</f>
        <v>470.28289473684208</v>
      </c>
      <c r="R162">
        <f>AVERAGE(Table1[total_laid_off])</f>
        <v>236.96936274509804</v>
      </c>
    </row>
    <row r="163" spans="1:18" x14ac:dyDescent="0.25">
      <c r="A163" s="3" t="s">
        <v>277</v>
      </c>
      <c r="B163" t="s">
        <v>68</v>
      </c>
      <c r="C163" t="s">
        <v>78</v>
      </c>
      <c r="D163">
        <v>250</v>
      </c>
      <c r="E163" t="s">
        <v>15</v>
      </c>
      <c r="F163" s="1" t="str">
        <f>IF(Table1[[#This Row],[percentage_laid_off]]=100%,"1","0")</f>
        <v>0</v>
      </c>
      <c r="G163" t="b">
        <v>0</v>
      </c>
      <c r="H163" s="2">
        <v>43839</v>
      </c>
      <c r="I163" s="2" t="str">
        <f>TEXT(Table1[[#This Row],[date]],"dd")</f>
        <v>09</v>
      </c>
      <c r="J163" s="20">
        <f>DATE(2000,MONTH(Table1[[#This Row],[date]]),1)</f>
        <v>36526</v>
      </c>
      <c r="K163" s="18" t="str">
        <f>TEXT(Table1[[#This Row],[date]],"mm")</f>
        <v>01</v>
      </c>
      <c r="L163" s="16" t="s">
        <v>29</v>
      </c>
      <c r="M163">
        <v>2020</v>
      </c>
      <c r="N163" t="s">
        <v>71</v>
      </c>
      <c r="O163" t="s">
        <v>19</v>
      </c>
      <c r="P163">
        <v>95</v>
      </c>
      <c r="Q163">
        <f>AVERAGE(Table1[funds_raised_millions])</f>
        <v>470.28289473684208</v>
      </c>
      <c r="R163">
        <f>AVERAGE(Table1[total_laid_off])</f>
        <v>236.96936274509804</v>
      </c>
    </row>
    <row r="164" spans="1:18" x14ac:dyDescent="0.25">
      <c r="A164" s="3" t="s">
        <v>278</v>
      </c>
      <c r="B164" t="s">
        <v>138</v>
      </c>
      <c r="C164" t="s">
        <v>89</v>
      </c>
      <c r="D164" t="s">
        <v>15</v>
      </c>
      <c r="E164" s="1">
        <v>7.0000000000000007E-2</v>
      </c>
      <c r="F164" s="1" t="str">
        <f>IF(Table1[[#This Row],[percentage_laid_off]]=100%,"1","0")</f>
        <v>0</v>
      </c>
      <c r="G164" t="s">
        <v>16</v>
      </c>
      <c r="H164" s="2">
        <v>44782</v>
      </c>
      <c r="I164" s="2" t="str">
        <f>TEXT(Table1[[#This Row],[date]],"dd")</f>
        <v>09</v>
      </c>
      <c r="J164" s="20">
        <f>DATE(2000,MONTH(Table1[[#This Row],[date]]),1)</f>
        <v>36739</v>
      </c>
      <c r="K164" s="18" t="str">
        <f>TEXT(Table1[[#This Row],[date]],"mm")</f>
        <v>08</v>
      </c>
      <c r="L164" s="16" t="s">
        <v>53</v>
      </c>
      <c r="M164">
        <v>2022</v>
      </c>
      <c r="N164" t="s">
        <v>38</v>
      </c>
      <c r="O164" t="s">
        <v>19</v>
      </c>
      <c r="P164">
        <v>200</v>
      </c>
      <c r="Q164">
        <f>AVERAGE(Table1[funds_raised_millions])</f>
        <v>470.28289473684208</v>
      </c>
      <c r="R164">
        <f>AVERAGE(Table1[total_laid_off])</f>
        <v>236.96936274509804</v>
      </c>
    </row>
    <row r="165" spans="1:18" x14ac:dyDescent="0.25">
      <c r="A165" s="3" t="s">
        <v>279</v>
      </c>
      <c r="B165" t="s">
        <v>202</v>
      </c>
      <c r="C165" t="s">
        <v>41</v>
      </c>
      <c r="D165">
        <v>180</v>
      </c>
      <c r="E165" s="1">
        <v>0.13</v>
      </c>
      <c r="F165" s="1" t="str">
        <f>IF(Table1[[#This Row],[percentage_laid_off]]=100%,"1","0")</f>
        <v>0</v>
      </c>
      <c r="G165" t="s">
        <v>28</v>
      </c>
      <c r="H165" s="2">
        <v>44910</v>
      </c>
      <c r="I165" s="2" t="str">
        <f>TEXT(Table1[[#This Row],[date]],"dd")</f>
        <v>15</v>
      </c>
      <c r="J165" s="20">
        <f>DATE(2000,MONTH(Table1[[#This Row],[date]]),1)</f>
        <v>36861</v>
      </c>
      <c r="K165" s="18" t="str">
        <f>TEXT(Table1[[#This Row],[date]],"mm")</f>
        <v>12</v>
      </c>
      <c r="L165" s="16" t="s">
        <v>61</v>
      </c>
      <c r="M165">
        <v>2022</v>
      </c>
      <c r="N165" t="s">
        <v>38</v>
      </c>
      <c r="O165" t="s">
        <v>19</v>
      </c>
      <c r="P165">
        <v>224</v>
      </c>
      <c r="Q165">
        <f>AVERAGE(Table1[funds_raised_millions])</f>
        <v>470.28289473684208</v>
      </c>
      <c r="R165">
        <f>AVERAGE(Table1[total_laid_off])</f>
        <v>236.96936274509804</v>
      </c>
    </row>
    <row r="166" spans="1:18" x14ac:dyDescent="0.25">
      <c r="A166" s="3" t="s">
        <v>280</v>
      </c>
      <c r="B166" t="s">
        <v>281</v>
      </c>
      <c r="C166" t="s">
        <v>78</v>
      </c>
      <c r="D166" t="s">
        <v>15</v>
      </c>
      <c r="E166" s="1">
        <v>0.3</v>
      </c>
      <c r="F166" s="1" t="str">
        <f>IF(Table1[[#This Row],[percentage_laid_off]]=100%,"1","0")</f>
        <v>0</v>
      </c>
      <c r="G166" t="s">
        <v>28</v>
      </c>
      <c r="H166" s="2">
        <v>44922</v>
      </c>
      <c r="I166" s="2" t="str">
        <f>TEXT(Table1[[#This Row],[date]],"dd")</f>
        <v>27</v>
      </c>
      <c r="J166" s="20">
        <f>DATE(2000,MONTH(Table1[[#This Row],[date]]),1)</f>
        <v>36861</v>
      </c>
      <c r="K166" s="18" t="str">
        <f>TEXT(Table1[[#This Row],[date]],"mm")</f>
        <v>12</v>
      </c>
      <c r="L166" s="16" t="s">
        <v>61</v>
      </c>
      <c r="M166">
        <v>2022</v>
      </c>
      <c r="N166" t="s">
        <v>38</v>
      </c>
      <c r="O166" t="s">
        <v>282</v>
      </c>
      <c r="P166">
        <v>3700</v>
      </c>
      <c r="Q166">
        <f>AVERAGE(Table1[funds_raised_millions])</f>
        <v>470.28289473684208</v>
      </c>
      <c r="R166">
        <f>AVERAGE(Table1[total_laid_off])</f>
        <v>236.96936274509804</v>
      </c>
    </row>
    <row r="167" spans="1:18" x14ac:dyDescent="0.25">
      <c r="A167" s="3" t="s">
        <v>283</v>
      </c>
      <c r="B167" t="s">
        <v>13</v>
      </c>
      <c r="C167" t="s">
        <v>14</v>
      </c>
      <c r="D167">
        <v>120</v>
      </c>
      <c r="E167" s="1">
        <v>0.04</v>
      </c>
      <c r="F167" s="1" t="str">
        <f>IF(Table1[[#This Row],[percentage_laid_off]]=100%,"1","0")</f>
        <v>0</v>
      </c>
      <c r="G167" t="s">
        <v>16</v>
      </c>
      <c r="H167" s="2">
        <v>44752</v>
      </c>
      <c r="I167" s="2" t="str">
        <f>TEXT(Table1[[#This Row],[date]],"dd")</f>
        <v>10</v>
      </c>
      <c r="J167" s="20">
        <f>DATE(2000,MONTH(Table1[[#This Row],[date]]),1)</f>
        <v>36708</v>
      </c>
      <c r="K167" s="18" t="str">
        <f>TEXT(Table1[[#This Row],[date]],"mm")</f>
        <v>07</v>
      </c>
      <c r="L167" s="16" t="s">
        <v>17</v>
      </c>
      <c r="M167">
        <v>2022</v>
      </c>
      <c r="N167" t="s">
        <v>38</v>
      </c>
      <c r="O167" t="s">
        <v>19</v>
      </c>
      <c r="P167">
        <v>585</v>
      </c>
      <c r="Q167">
        <f>AVERAGE(Table1[funds_raised_millions])</f>
        <v>470.28289473684208</v>
      </c>
      <c r="R167">
        <f>AVERAGE(Table1[total_laid_off])</f>
        <v>236.96936274509804</v>
      </c>
    </row>
    <row r="168" spans="1:18" x14ac:dyDescent="0.25">
      <c r="A168" s="3" t="s">
        <v>284</v>
      </c>
      <c r="B168" t="s">
        <v>33</v>
      </c>
      <c r="C168" t="s">
        <v>69</v>
      </c>
      <c r="D168">
        <v>138</v>
      </c>
      <c r="E168" s="1">
        <v>0.23</v>
      </c>
      <c r="F168" s="1" t="str">
        <f>IF(Table1[[#This Row],[percentage_laid_off]]=100%,"1","0")</f>
        <v>0</v>
      </c>
      <c r="G168" t="s">
        <v>28</v>
      </c>
      <c r="H168" s="2">
        <v>44748</v>
      </c>
      <c r="I168" s="2" t="str">
        <f>TEXT(Table1[[#This Row],[date]],"dd")</f>
        <v>06</v>
      </c>
      <c r="J168" s="20">
        <f>DATE(2000,MONTH(Table1[[#This Row],[date]]),1)</f>
        <v>36708</v>
      </c>
      <c r="K168" s="18" t="str">
        <f>TEXT(Table1[[#This Row],[date]],"mm")</f>
        <v>07</v>
      </c>
      <c r="L168" s="16" t="s">
        <v>17</v>
      </c>
      <c r="M168">
        <v>2022</v>
      </c>
      <c r="N168" t="s">
        <v>38</v>
      </c>
      <c r="O168" t="s">
        <v>19</v>
      </c>
      <c r="P168">
        <v>783</v>
      </c>
      <c r="Q168">
        <f>AVERAGE(Table1[funds_raised_millions])</f>
        <v>470.28289473684208</v>
      </c>
      <c r="R168">
        <f>AVERAGE(Table1[total_laid_off])</f>
        <v>236.96936274509804</v>
      </c>
    </row>
    <row r="169" spans="1:18" x14ac:dyDescent="0.25">
      <c r="A169" s="3" t="s">
        <v>284</v>
      </c>
      <c r="B169" t="s">
        <v>33</v>
      </c>
      <c r="C169" t="s">
        <v>69</v>
      </c>
      <c r="D169">
        <v>406</v>
      </c>
      <c r="E169" s="1">
        <v>0.3</v>
      </c>
      <c r="F169" s="1" t="str">
        <f>IF(Table1[[#This Row],[percentage_laid_off]]=100%,"1","0")</f>
        <v>0</v>
      </c>
      <c r="G169" t="s">
        <v>28</v>
      </c>
      <c r="H169" s="2">
        <v>43917</v>
      </c>
      <c r="I169" s="2" t="str">
        <f>TEXT(Table1[[#This Row],[date]],"dd")</f>
        <v>27</v>
      </c>
      <c r="J169" s="20">
        <f>DATE(2000,MONTH(Table1[[#This Row],[date]]),1)</f>
        <v>36586</v>
      </c>
      <c r="K169" s="18" t="str">
        <f>TEXT(Table1[[#This Row],[date]],"mm")</f>
        <v>03</v>
      </c>
      <c r="L169" s="16" t="s">
        <v>57</v>
      </c>
      <c r="M169">
        <v>2020</v>
      </c>
      <c r="N169" t="s">
        <v>43</v>
      </c>
      <c r="O169" t="s">
        <v>19</v>
      </c>
      <c r="P169">
        <v>623</v>
      </c>
      <c r="Q169">
        <f>AVERAGE(Table1[funds_raised_millions])</f>
        <v>470.28289473684208</v>
      </c>
      <c r="R169">
        <f>AVERAGE(Table1[total_laid_off])</f>
        <v>236.96936274509804</v>
      </c>
    </row>
    <row r="170" spans="1:18" x14ac:dyDescent="0.25">
      <c r="A170" s="3" t="s">
        <v>285</v>
      </c>
      <c r="B170" t="s">
        <v>13</v>
      </c>
      <c r="C170" t="s">
        <v>46</v>
      </c>
      <c r="D170" t="s">
        <v>15</v>
      </c>
      <c r="E170" s="1">
        <v>1</v>
      </c>
      <c r="F170" s="1" t="str">
        <f>IF(Table1[[#This Row],[percentage_laid_off]]=100%,"1","0")</f>
        <v>1</v>
      </c>
      <c r="G170" t="s">
        <v>114</v>
      </c>
      <c r="H170" s="2">
        <v>44894</v>
      </c>
      <c r="I170" s="2" t="str">
        <f>TEXT(Table1[[#This Row],[date]],"dd")</f>
        <v>29</v>
      </c>
      <c r="J170" s="20">
        <f>DATE(2000,MONTH(Table1[[#This Row],[date]]),1)</f>
        <v>36831</v>
      </c>
      <c r="K170" s="18" t="str">
        <f>TEXT(Table1[[#This Row],[date]],"mm")</f>
        <v>11</v>
      </c>
      <c r="L170" s="16" t="s">
        <v>23</v>
      </c>
      <c r="M170">
        <v>2022</v>
      </c>
      <c r="N170" t="s">
        <v>47</v>
      </c>
      <c r="O170" t="s">
        <v>19</v>
      </c>
      <c r="P170" t="s">
        <v>15</v>
      </c>
      <c r="Q170">
        <f>AVERAGE(Table1[funds_raised_millions])</f>
        <v>470.28289473684208</v>
      </c>
      <c r="R170">
        <f>AVERAGE(Table1[total_laid_off])</f>
        <v>236.96936274509804</v>
      </c>
    </row>
    <row r="171" spans="1:18" x14ac:dyDescent="0.25">
      <c r="A171" s="3" t="s">
        <v>286</v>
      </c>
      <c r="B171" t="s">
        <v>13</v>
      </c>
      <c r="C171" t="s">
        <v>46</v>
      </c>
      <c r="D171" t="s">
        <v>15</v>
      </c>
      <c r="E171" s="1">
        <v>0.12</v>
      </c>
      <c r="F171" s="1" t="str">
        <f>IF(Table1[[#This Row],[percentage_laid_off]]=100%,"1","0")</f>
        <v>0</v>
      </c>
      <c r="G171" t="s">
        <v>28</v>
      </c>
      <c r="H171" s="2">
        <v>43938</v>
      </c>
      <c r="I171" s="2" t="str">
        <f>TEXT(Table1[[#This Row],[date]],"dd")</f>
        <v>17</v>
      </c>
      <c r="J171" s="20">
        <f>DATE(2000,MONTH(Table1[[#This Row],[date]]),1)</f>
        <v>36617</v>
      </c>
      <c r="K171" s="18" t="str">
        <f>TEXT(Table1[[#This Row],[date]],"mm")</f>
        <v>04</v>
      </c>
      <c r="L171" s="16" t="s">
        <v>37</v>
      </c>
      <c r="M171">
        <v>2020</v>
      </c>
      <c r="N171" t="s">
        <v>30</v>
      </c>
      <c r="O171" t="s">
        <v>19</v>
      </c>
      <c r="P171">
        <v>69</v>
      </c>
      <c r="Q171">
        <f>AVERAGE(Table1[funds_raised_millions])</f>
        <v>470.28289473684208</v>
      </c>
      <c r="R171">
        <f>AVERAGE(Table1[total_laid_off])</f>
        <v>236.96936274509804</v>
      </c>
    </row>
    <row r="172" spans="1:18" x14ac:dyDescent="0.25">
      <c r="A172" s="3" t="s">
        <v>287</v>
      </c>
      <c r="B172" t="s">
        <v>288</v>
      </c>
      <c r="C172" t="s">
        <v>46</v>
      </c>
      <c r="D172" t="s">
        <v>15</v>
      </c>
      <c r="E172" s="1">
        <v>0.3</v>
      </c>
      <c r="F172" s="1" t="str">
        <f>IF(Table1[[#This Row],[percentage_laid_off]]=100%,"1","0")</f>
        <v>0</v>
      </c>
      <c r="G172" t="s">
        <v>28</v>
      </c>
      <c r="H172" s="2">
        <v>44603</v>
      </c>
      <c r="I172" s="2" t="str">
        <f>TEXT(Table1[[#This Row],[date]],"dd")</f>
        <v>11</v>
      </c>
      <c r="J172" s="20">
        <f>DATE(2000,MONTH(Table1[[#This Row],[date]]),1)</f>
        <v>36557</v>
      </c>
      <c r="K172" s="18" t="str">
        <f>TEXT(Table1[[#This Row],[date]],"mm")</f>
        <v>02</v>
      </c>
      <c r="L172" s="16" t="s">
        <v>42</v>
      </c>
      <c r="M172">
        <v>2022</v>
      </c>
      <c r="N172" t="s">
        <v>139</v>
      </c>
      <c r="O172" t="s">
        <v>289</v>
      </c>
      <c r="P172">
        <v>0</v>
      </c>
      <c r="Q172">
        <f>AVERAGE(Table1[funds_raised_millions])</f>
        <v>470.28289473684208</v>
      </c>
      <c r="R172">
        <f>AVERAGE(Table1[total_laid_off])</f>
        <v>236.96936274509804</v>
      </c>
    </row>
    <row r="173" spans="1:18" x14ac:dyDescent="0.25">
      <c r="A173" s="3" t="s">
        <v>287</v>
      </c>
      <c r="B173" t="s">
        <v>288</v>
      </c>
      <c r="C173" t="s">
        <v>46</v>
      </c>
      <c r="D173">
        <v>75</v>
      </c>
      <c r="E173" s="1">
        <v>0.25</v>
      </c>
      <c r="F173" s="1" t="str">
        <f>IF(Table1[[#This Row],[percentage_laid_off]]=100%,"1","0")</f>
        <v>0</v>
      </c>
      <c r="G173" t="s">
        <v>28</v>
      </c>
      <c r="H173" s="2">
        <v>44655</v>
      </c>
      <c r="I173" s="2" t="str">
        <f>TEXT(Table1[[#This Row],[date]],"dd")</f>
        <v>04</v>
      </c>
      <c r="J173" s="20">
        <f>DATE(2000,MONTH(Table1[[#This Row],[date]]),1)</f>
        <v>36617</v>
      </c>
      <c r="K173" s="18" t="str">
        <f>TEXT(Table1[[#This Row],[date]],"mm")</f>
        <v>04</v>
      </c>
      <c r="L173" s="16" t="s">
        <v>37</v>
      </c>
      <c r="M173">
        <v>2022</v>
      </c>
      <c r="N173" t="s">
        <v>139</v>
      </c>
      <c r="O173" t="s">
        <v>289</v>
      </c>
      <c r="P173">
        <v>0</v>
      </c>
      <c r="Q173">
        <f>AVERAGE(Table1[funds_raised_millions])</f>
        <v>470.28289473684208</v>
      </c>
      <c r="R173">
        <f>AVERAGE(Table1[total_laid_off])</f>
        <v>236.96936274509804</v>
      </c>
    </row>
    <row r="174" spans="1:18" x14ac:dyDescent="0.25">
      <c r="A174" s="3" t="s">
        <v>290</v>
      </c>
      <c r="B174" t="s">
        <v>237</v>
      </c>
      <c r="C174" t="s">
        <v>46</v>
      </c>
      <c r="D174">
        <v>9</v>
      </c>
      <c r="E174" s="1">
        <v>0.05</v>
      </c>
      <c r="F174" s="1" t="str">
        <f>IF(Table1[[#This Row],[percentage_laid_off]]=100%,"1","0")</f>
        <v>0</v>
      </c>
      <c r="G174" t="s">
        <v>16</v>
      </c>
      <c r="H174" s="2">
        <v>44731</v>
      </c>
      <c r="I174" s="2" t="str">
        <f>TEXT(Table1[[#This Row],[date]],"dd")</f>
        <v>19</v>
      </c>
      <c r="J174" s="20">
        <f>DATE(2000,MONTH(Table1[[#This Row],[date]]),1)</f>
        <v>36678</v>
      </c>
      <c r="K174" s="18" t="str">
        <f>TEXT(Table1[[#This Row],[date]],"mm")</f>
        <v>06</v>
      </c>
      <c r="L174" s="16" t="s">
        <v>73</v>
      </c>
      <c r="M174">
        <v>2022</v>
      </c>
      <c r="N174" t="s">
        <v>30</v>
      </c>
      <c r="O174" t="s">
        <v>238</v>
      </c>
      <c r="P174">
        <v>30</v>
      </c>
      <c r="Q174">
        <f>AVERAGE(Table1[funds_raised_millions])</f>
        <v>470.28289473684208</v>
      </c>
      <c r="R174">
        <f>AVERAGE(Table1[total_laid_off])</f>
        <v>236.96936274509804</v>
      </c>
    </row>
    <row r="175" spans="1:18" x14ac:dyDescent="0.25">
      <c r="A175" s="3" t="s">
        <v>291</v>
      </c>
      <c r="B175" t="s">
        <v>292</v>
      </c>
      <c r="C175" t="s">
        <v>46</v>
      </c>
      <c r="D175">
        <v>270</v>
      </c>
      <c r="E175" s="1">
        <v>0.27</v>
      </c>
      <c r="F175" s="1" t="str">
        <f>IF(Table1[[#This Row],[percentage_laid_off]]=100%,"1","0")</f>
        <v>0</v>
      </c>
      <c r="G175" t="s">
        <v>28</v>
      </c>
      <c r="H175" s="2">
        <v>44736</v>
      </c>
      <c r="I175" s="2" t="str">
        <f>TEXT(Table1[[#This Row],[date]],"dd")</f>
        <v>24</v>
      </c>
      <c r="J175" s="20">
        <f>DATE(2000,MONTH(Table1[[#This Row],[date]]),1)</f>
        <v>36678</v>
      </c>
      <c r="K175" s="18" t="str">
        <f>TEXT(Table1[[#This Row],[date]],"mm")</f>
        <v>06</v>
      </c>
      <c r="L175" s="16" t="s">
        <v>73</v>
      </c>
      <c r="M175">
        <v>2022</v>
      </c>
      <c r="N175" t="s">
        <v>35</v>
      </c>
      <c r="O175" t="s">
        <v>293</v>
      </c>
      <c r="P175">
        <v>546</v>
      </c>
      <c r="Q175">
        <f>AVERAGE(Table1[funds_raised_millions])</f>
        <v>470.28289473684208</v>
      </c>
      <c r="R175">
        <f>AVERAGE(Table1[total_laid_off])</f>
        <v>236.96936274509804</v>
      </c>
    </row>
    <row r="176" spans="1:18" x14ac:dyDescent="0.25">
      <c r="A176" s="3" t="s">
        <v>294</v>
      </c>
      <c r="B176" t="s">
        <v>295</v>
      </c>
      <c r="C176" t="s">
        <v>134</v>
      </c>
      <c r="D176" t="s">
        <v>15</v>
      </c>
      <c r="E176" s="1">
        <v>0.14000000000000001</v>
      </c>
      <c r="F176" s="1" t="str">
        <f>IF(Table1[[#This Row],[percentage_laid_off]]=100%,"1","0")</f>
        <v>0</v>
      </c>
      <c r="G176" t="s">
        <v>28</v>
      </c>
      <c r="H176" s="2">
        <v>44818</v>
      </c>
      <c r="I176" s="2" t="str">
        <f>TEXT(Table1[[#This Row],[date]],"dd")</f>
        <v>14</v>
      </c>
      <c r="J176" s="20">
        <f>DATE(2000,MONTH(Table1[[#This Row],[date]]),1)</f>
        <v>36770</v>
      </c>
      <c r="K176" s="18" t="str">
        <f>TEXT(Table1[[#This Row],[date]],"mm")</f>
        <v>09</v>
      </c>
      <c r="L176" s="16" t="s">
        <v>70</v>
      </c>
      <c r="M176">
        <v>2022</v>
      </c>
      <c r="N176" t="s">
        <v>35</v>
      </c>
      <c r="O176" t="s">
        <v>296</v>
      </c>
      <c r="P176">
        <v>83</v>
      </c>
      <c r="Q176">
        <f>AVERAGE(Table1[funds_raised_millions])</f>
        <v>470.28289473684208</v>
      </c>
      <c r="R176">
        <f>AVERAGE(Table1[total_laid_off])</f>
        <v>236.96936274509804</v>
      </c>
    </row>
    <row r="177" spans="1:18" x14ac:dyDescent="0.25">
      <c r="A177" s="3" t="s">
        <v>297</v>
      </c>
      <c r="B177" t="s">
        <v>170</v>
      </c>
      <c r="C177" t="s">
        <v>181</v>
      </c>
      <c r="D177">
        <v>40</v>
      </c>
      <c r="E177" t="s">
        <v>15</v>
      </c>
      <c r="F177" s="1" t="str">
        <f>IF(Table1[[#This Row],[percentage_laid_off]]=100%,"1","0")</f>
        <v>0</v>
      </c>
      <c r="G177" t="b">
        <v>0</v>
      </c>
      <c r="H177" s="2">
        <v>44983</v>
      </c>
      <c r="I177" s="2" t="str">
        <f>TEXT(Table1[[#This Row],[date]],"dd")</f>
        <v>26</v>
      </c>
      <c r="J177" s="20">
        <f>DATE(2000,MONTH(Table1[[#This Row],[date]]),1)</f>
        <v>36557</v>
      </c>
      <c r="K177" s="18" t="str">
        <f>TEXT(Table1[[#This Row],[date]],"mm")</f>
        <v>02</v>
      </c>
      <c r="L177" s="16" t="s">
        <v>42</v>
      </c>
      <c r="M177">
        <v>2023</v>
      </c>
      <c r="N177" t="s">
        <v>47</v>
      </c>
      <c r="O177" t="s">
        <v>172</v>
      </c>
      <c r="P177">
        <v>401</v>
      </c>
      <c r="Q177">
        <f>AVERAGE(Table1[funds_raised_millions])</f>
        <v>470.28289473684208</v>
      </c>
      <c r="R177">
        <f>AVERAGE(Table1[total_laid_off])</f>
        <v>236.96936274509804</v>
      </c>
    </row>
    <row r="178" spans="1:18" x14ac:dyDescent="0.25">
      <c r="A178" s="3" t="s">
        <v>298</v>
      </c>
      <c r="B178" t="s">
        <v>299</v>
      </c>
      <c r="C178" t="s">
        <v>46</v>
      </c>
      <c r="D178">
        <v>80</v>
      </c>
      <c r="E178" s="1">
        <v>0.11</v>
      </c>
      <c r="F178" s="1" t="str">
        <f>IF(Table1[[#This Row],[percentage_laid_off]]=100%,"1","0")</f>
        <v>0</v>
      </c>
      <c r="G178" t="s">
        <v>28</v>
      </c>
      <c r="H178" s="2">
        <v>44707</v>
      </c>
      <c r="I178" s="2" t="str">
        <f>TEXT(Table1[[#This Row],[date]],"dd")</f>
        <v>26</v>
      </c>
      <c r="J178" s="20">
        <f>DATE(2000,MONTH(Table1[[#This Row],[date]]),1)</f>
        <v>36647</v>
      </c>
      <c r="K178" s="18" t="str">
        <f>TEXT(Table1[[#This Row],[date]],"mm")</f>
        <v>05</v>
      </c>
      <c r="L178" s="16" t="s">
        <v>86</v>
      </c>
      <c r="M178">
        <v>2022</v>
      </c>
      <c r="N178" t="s">
        <v>35</v>
      </c>
      <c r="O178" t="s">
        <v>300</v>
      </c>
      <c r="P178">
        <v>378</v>
      </c>
      <c r="Q178">
        <f>AVERAGE(Table1[funds_raised_millions])</f>
        <v>470.28289473684208</v>
      </c>
      <c r="R178">
        <f>AVERAGE(Table1[total_laid_off])</f>
        <v>236.96936274509804</v>
      </c>
    </row>
    <row r="179" spans="1:18" x14ac:dyDescent="0.25">
      <c r="A179" s="3" t="s">
        <v>298</v>
      </c>
      <c r="B179" t="s">
        <v>299</v>
      </c>
      <c r="C179" t="s">
        <v>46</v>
      </c>
      <c r="D179">
        <v>100</v>
      </c>
      <c r="E179" t="s">
        <v>15</v>
      </c>
      <c r="F179" s="1" t="str">
        <f>IF(Table1[[#This Row],[percentage_laid_off]]=100%,"1","0")</f>
        <v>0</v>
      </c>
      <c r="G179" t="b">
        <v>0</v>
      </c>
      <c r="H179" s="2">
        <v>44894</v>
      </c>
      <c r="I179" s="2" t="str">
        <f>TEXT(Table1[[#This Row],[date]],"dd")</f>
        <v>29</v>
      </c>
      <c r="J179" s="20">
        <f>DATE(2000,MONTH(Table1[[#This Row],[date]]),1)</f>
        <v>36831</v>
      </c>
      <c r="K179" s="18" t="str">
        <f>TEXT(Table1[[#This Row],[date]],"mm")</f>
        <v>11</v>
      </c>
      <c r="L179" s="16" t="s">
        <v>23</v>
      </c>
      <c r="M179">
        <v>2022</v>
      </c>
      <c r="N179" t="s">
        <v>35</v>
      </c>
      <c r="O179" t="s">
        <v>300</v>
      </c>
      <c r="P179">
        <v>378</v>
      </c>
      <c r="Q179">
        <f>AVERAGE(Table1[funds_raised_millions])</f>
        <v>470.28289473684208</v>
      </c>
      <c r="R179">
        <f>AVERAGE(Table1[total_laid_off])</f>
        <v>236.96936274509804</v>
      </c>
    </row>
    <row r="180" spans="1:18" x14ac:dyDescent="0.25">
      <c r="A180" s="3" t="s">
        <v>301</v>
      </c>
      <c r="B180" t="s">
        <v>68</v>
      </c>
      <c r="C180" t="s">
        <v>89</v>
      </c>
      <c r="D180">
        <v>70</v>
      </c>
      <c r="E180" s="1">
        <v>0.27</v>
      </c>
      <c r="F180" s="1" t="str">
        <f>IF(Table1[[#This Row],[percentage_laid_off]]=100%,"1","0")</f>
        <v>0</v>
      </c>
      <c r="G180" t="s">
        <v>28</v>
      </c>
      <c r="H180" s="2">
        <v>44518</v>
      </c>
      <c r="I180" s="2" t="str">
        <f>TEXT(Table1[[#This Row],[date]],"dd")</f>
        <v>18</v>
      </c>
      <c r="J180" s="20">
        <f>DATE(2000,MONTH(Table1[[#This Row],[date]]),1)</f>
        <v>36831</v>
      </c>
      <c r="K180" s="18" t="str">
        <f>TEXT(Table1[[#This Row],[date]],"mm")</f>
        <v>11</v>
      </c>
      <c r="L180" s="16" t="s">
        <v>23</v>
      </c>
      <c r="M180">
        <v>2021</v>
      </c>
      <c r="N180" t="s">
        <v>71</v>
      </c>
      <c r="O180" t="s">
        <v>19</v>
      </c>
      <c r="P180">
        <v>46</v>
      </c>
      <c r="Q180">
        <f>AVERAGE(Table1[funds_raised_millions])</f>
        <v>470.28289473684208</v>
      </c>
      <c r="R180">
        <f>AVERAGE(Table1[total_laid_off])</f>
        <v>236.96936274509804</v>
      </c>
    </row>
    <row r="181" spans="1:18" x14ac:dyDescent="0.25">
      <c r="A181" s="3" t="s">
        <v>302</v>
      </c>
      <c r="B181" t="s">
        <v>13</v>
      </c>
      <c r="C181" t="s">
        <v>134</v>
      </c>
      <c r="D181">
        <v>92</v>
      </c>
      <c r="E181" t="s">
        <v>15</v>
      </c>
      <c r="F181" s="1" t="str">
        <f>IF(Table1[[#This Row],[percentage_laid_off]]=100%,"1","0")</f>
        <v>0</v>
      </c>
      <c r="G181" t="b">
        <v>0</v>
      </c>
      <c r="H181" s="2">
        <v>44946</v>
      </c>
      <c r="I181" s="2" t="str">
        <f>TEXT(Table1[[#This Row],[date]],"dd")</f>
        <v>20</v>
      </c>
      <c r="J181" s="20">
        <f>DATE(2000,MONTH(Table1[[#This Row],[date]]),1)</f>
        <v>36526</v>
      </c>
      <c r="K181" s="18" t="str">
        <f>TEXT(Table1[[#This Row],[date]],"mm")</f>
        <v>01</v>
      </c>
      <c r="L181" s="16" t="s">
        <v>29</v>
      </c>
      <c r="M181">
        <v>2023</v>
      </c>
      <c r="N181" t="s">
        <v>71</v>
      </c>
      <c r="O181" t="s">
        <v>19</v>
      </c>
      <c r="P181" t="s">
        <v>15</v>
      </c>
      <c r="Q181">
        <f>AVERAGE(Table1[funds_raised_millions])</f>
        <v>470.28289473684208</v>
      </c>
      <c r="R181">
        <f>AVERAGE(Table1[total_laid_off])</f>
        <v>236.96936274509804</v>
      </c>
    </row>
    <row r="182" spans="1:18" x14ac:dyDescent="0.25">
      <c r="A182" s="3" t="s">
        <v>303</v>
      </c>
      <c r="B182" t="s">
        <v>68</v>
      </c>
      <c r="C182" t="s">
        <v>46</v>
      </c>
      <c r="D182">
        <v>80</v>
      </c>
      <c r="E182" t="s">
        <v>15</v>
      </c>
      <c r="F182" s="1" t="str">
        <f>IF(Table1[[#This Row],[percentage_laid_off]]=100%,"1","0")</f>
        <v>0</v>
      </c>
      <c r="G182" t="b">
        <v>0</v>
      </c>
      <c r="H182" s="2">
        <v>44959</v>
      </c>
      <c r="I182" s="2" t="str">
        <f>TEXT(Table1[[#This Row],[date]],"dd")</f>
        <v>02</v>
      </c>
      <c r="J182" s="20">
        <f>DATE(2000,MONTH(Table1[[#This Row],[date]]),1)</f>
        <v>36557</v>
      </c>
      <c r="K182" s="18" t="str">
        <f>TEXT(Table1[[#This Row],[date]],"mm")</f>
        <v>02</v>
      </c>
      <c r="L182" s="16" t="s">
        <v>42</v>
      </c>
      <c r="M182">
        <v>2023</v>
      </c>
      <c r="N182" t="s">
        <v>47</v>
      </c>
      <c r="O182" t="s">
        <v>19</v>
      </c>
      <c r="P182" t="s">
        <v>15</v>
      </c>
      <c r="Q182">
        <f>AVERAGE(Table1[funds_raised_millions])</f>
        <v>470.28289473684208</v>
      </c>
      <c r="R182">
        <f>AVERAGE(Table1[total_laid_off])</f>
        <v>236.96936274509804</v>
      </c>
    </row>
    <row r="183" spans="1:18" x14ac:dyDescent="0.25">
      <c r="A183" s="3" t="s">
        <v>304</v>
      </c>
      <c r="B183" t="s">
        <v>81</v>
      </c>
      <c r="C183" t="s">
        <v>120</v>
      </c>
      <c r="D183">
        <v>140</v>
      </c>
      <c r="E183" t="s">
        <v>15</v>
      </c>
      <c r="F183" s="1" t="str">
        <f>IF(Table1[[#This Row],[percentage_laid_off]]=100%,"1","0")</f>
        <v>0</v>
      </c>
      <c r="G183" t="b">
        <v>0</v>
      </c>
      <c r="H183" s="2">
        <v>44111</v>
      </c>
      <c r="I183" s="2" t="str">
        <f>TEXT(Table1[[#This Row],[date]],"dd")</f>
        <v>07</v>
      </c>
      <c r="J183" s="20">
        <f>DATE(2000,MONTH(Table1[[#This Row],[date]]),1)</f>
        <v>36800</v>
      </c>
      <c r="K183" s="18" t="str">
        <f>TEXT(Table1[[#This Row],[date]],"mm")</f>
        <v>10</v>
      </c>
      <c r="L183" s="16" t="s">
        <v>95</v>
      </c>
      <c r="M183">
        <v>2020</v>
      </c>
      <c r="N183" t="s">
        <v>35</v>
      </c>
      <c r="O183" t="s">
        <v>83</v>
      </c>
      <c r="P183">
        <v>70</v>
      </c>
      <c r="Q183">
        <f>AVERAGE(Table1[funds_raised_millions])</f>
        <v>470.28289473684208</v>
      </c>
      <c r="R183">
        <f>AVERAGE(Table1[total_laid_off])</f>
        <v>236.96936274509804</v>
      </c>
    </row>
    <row r="184" spans="1:18" x14ac:dyDescent="0.25">
      <c r="A184" s="3" t="s">
        <v>305</v>
      </c>
      <c r="B184" t="s">
        <v>55</v>
      </c>
      <c r="C184" t="s">
        <v>82</v>
      </c>
      <c r="D184" t="s">
        <v>15</v>
      </c>
      <c r="E184" s="1">
        <v>0.3</v>
      </c>
      <c r="F184" s="1" t="str">
        <f>IF(Table1[[#This Row],[percentage_laid_off]]=100%,"1","0")</f>
        <v>0</v>
      </c>
      <c r="G184" t="s">
        <v>28</v>
      </c>
      <c r="H184" s="2">
        <v>44656</v>
      </c>
      <c r="I184" s="2" t="str">
        <f>TEXT(Table1[[#This Row],[date]],"dd")</f>
        <v>05</v>
      </c>
      <c r="J184" s="20">
        <f>DATE(2000,MONTH(Table1[[#This Row],[date]]),1)</f>
        <v>36617</v>
      </c>
      <c r="K184" s="18" t="str">
        <f>TEXT(Table1[[#This Row],[date]],"mm")</f>
        <v>04</v>
      </c>
      <c r="L184" s="16" t="s">
        <v>37</v>
      </c>
      <c r="M184">
        <v>2022</v>
      </c>
      <c r="N184" t="s">
        <v>47</v>
      </c>
      <c r="O184" t="s">
        <v>58</v>
      </c>
      <c r="P184">
        <v>45</v>
      </c>
      <c r="Q184">
        <f>AVERAGE(Table1[funds_raised_millions])</f>
        <v>470.28289473684208</v>
      </c>
      <c r="R184">
        <f>AVERAGE(Table1[total_laid_off])</f>
        <v>236.96936274509804</v>
      </c>
    </row>
    <row r="185" spans="1:18" x14ac:dyDescent="0.25">
      <c r="A185" s="3" t="s">
        <v>306</v>
      </c>
      <c r="B185" t="s">
        <v>40</v>
      </c>
      <c r="C185" t="s">
        <v>22</v>
      </c>
      <c r="D185">
        <v>100</v>
      </c>
      <c r="E185" s="1">
        <v>0.37</v>
      </c>
      <c r="F185" s="1" t="str">
        <f>IF(Table1[[#This Row],[percentage_laid_off]]=100%,"1","0")</f>
        <v>0</v>
      </c>
      <c r="G185" t="s">
        <v>28</v>
      </c>
      <c r="H185" s="2">
        <v>44573</v>
      </c>
      <c r="I185" s="2" t="str">
        <f>TEXT(Table1[[#This Row],[date]],"dd")</f>
        <v>12</v>
      </c>
      <c r="J185" s="20">
        <f>DATE(2000,MONTH(Table1[[#This Row],[date]]),1)</f>
        <v>36526</v>
      </c>
      <c r="K185" s="18" t="str">
        <f>TEXT(Table1[[#This Row],[date]],"mm")</f>
        <v>01</v>
      </c>
      <c r="L185" s="16" t="s">
        <v>29</v>
      </c>
      <c r="M185">
        <v>2022</v>
      </c>
      <c r="N185" t="s">
        <v>18</v>
      </c>
      <c r="O185" t="s">
        <v>19</v>
      </c>
      <c r="P185">
        <v>194</v>
      </c>
      <c r="Q185">
        <f>AVERAGE(Table1[funds_raised_millions])</f>
        <v>470.28289473684208</v>
      </c>
      <c r="R185">
        <f>AVERAGE(Table1[total_laid_off])</f>
        <v>236.96936274509804</v>
      </c>
    </row>
    <row r="186" spans="1:18" x14ac:dyDescent="0.25">
      <c r="A186" s="3" t="s">
        <v>306</v>
      </c>
      <c r="B186" t="s">
        <v>40</v>
      </c>
      <c r="C186" t="s">
        <v>22</v>
      </c>
      <c r="D186">
        <v>120</v>
      </c>
      <c r="E186" s="1">
        <v>0.3</v>
      </c>
      <c r="F186" s="1" t="str">
        <f>IF(Table1[[#This Row],[percentage_laid_off]]=100%,"1","0")</f>
        <v>0</v>
      </c>
      <c r="G186" t="s">
        <v>28</v>
      </c>
      <c r="H186" s="2">
        <v>44688</v>
      </c>
      <c r="I186" s="2" t="str">
        <f>TEXT(Table1[[#This Row],[date]],"dd")</f>
        <v>07</v>
      </c>
      <c r="J186" s="20">
        <f>DATE(2000,MONTH(Table1[[#This Row],[date]]),1)</f>
        <v>36647</v>
      </c>
      <c r="K186" s="18" t="str">
        <f>TEXT(Table1[[#This Row],[date]],"mm")</f>
        <v>05</v>
      </c>
      <c r="L186" s="16" t="s">
        <v>86</v>
      </c>
      <c r="M186">
        <v>2022</v>
      </c>
      <c r="N186" t="s">
        <v>18</v>
      </c>
      <c r="O186" t="s">
        <v>19</v>
      </c>
      <c r="P186">
        <v>194</v>
      </c>
      <c r="Q186">
        <f>AVERAGE(Table1[funds_raised_millions])</f>
        <v>470.28289473684208</v>
      </c>
      <c r="R186">
        <f>AVERAGE(Table1[total_laid_off])</f>
        <v>236.96936274509804</v>
      </c>
    </row>
    <row r="187" spans="1:18" x14ac:dyDescent="0.25">
      <c r="A187" s="3" t="s">
        <v>307</v>
      </c>
      <c r="B187" t="s">
        <v>308</v>
      </c>
      <c r="C187" t="s">
        <v>309</v>
      </c>
      <c r="D187">
        <v>900</v>
      </c>
      <c r="E187" t="s">
        <v>15</v>
      </c>
      <c r="F187" s="1" t="str">
        <f>IF(Table1[[#This Row],[percentage_laid_off]]=100%,"1","0")</f>
        <v>0</v>
      </c>
      <c r="G187" t="b">
        <v>0</v>
      </c>
      <c r="H187" s="2">
        <v>44939</v>
      </c>
      <c r="I187" s="2" t="str">
        <f>TEXT(Table1[[#This Row],[date]],"dd")</f>
        <v>13</v>
      </c>
      <c r="J187" s="20">
        <f>DATE(2000,MONTH(Table1[[#This Row],[date]]),1)</f>
        <v>36526</v>
      </c>
      <c r="K187" s="18" t="str">
        <f>TEXT(Table1[[#This Row],[date]],"mm")</f>
        <v>01</v>
      </c>
      <c r="L187" s="16" t="s">
        <v>29</v>
      </c>
      <c r="M187">
        <v>2023</v>
      </c>
      <c r="N187" t="s">
        <v>47</v>
      </c>
      <c r="O187" t="s">
        <v>282</v>
      </c>
      <c r="P187" t="s">
        <v>15</v>
      </c>
      <c r="Q187">
        <f>AVERAGE(Table1[funds_raised_millions])</f>
        <v>470.28289473684208</v>
      </c>
      <c r="R187">
        <f>AVERAGE(Table1[total_laid_off])</f>
        <v>236.96936274509804</v>
      </c>
    </row>
    <row r="188" spans="1:18" x14ac:dyDescent="0.25">
      <c r="A188" s="3" t="s">
        <v>310</v>
      </c>
      <c r="B188" t="s">
        <v>311</v>
      </c>
      <c r="C188" t="s">
        <v>161</v>
      </c>
      <c r="D188">
        <v>500</v>
      </c>
      <c r="E188" s="1">
        <v>0.14000000000000001</v>
      </c>
      <c r="F188" s="1" t="str">
        <f>IF(Table1[[#This Row],[percentage_laid_off]]=100%,"1","0")</f>
        <v>0</v>
      </c>
      <c r="G188" t="s">
        <v>28</v>
      </c>
      <c r="I188" s="2" t="str">
        <f>TEXT(Table1[[#This Row],[date]],"dd")</f>
        <v>00</v>
      </c>
      <c r="J188" s="20">
        <f>DATE(2000,MONTH(Table1[[#This Row],[date]]),1)</f>
        <v>36526</v>
      </c>
      <c r="K188" s="18" t="str">
        <f>TEXT(Table1[[#This Row],[date]],"mm")</f>
        <v>01</v>
      </c>
      <c r="M188" t="s">
        <v>1096</v>
      </c>
      <c r="N188" t="s">
        <v>38</v>
      </c>
      <c r="O188" t="s">
        <v>19</v>
      </c>
      <c r="P188">
        <v>272</v>
      </c>
      <c r="Q188">
        <f>AVERAGE(Table1[funds_raised_millions])</f>
        <v>470.28289473684208</v>
      </c>
      <c r="R188">
        <f>AVERAGE(Table1[total_laid_off])</f>
        <v>236.96936274509804</v>
      </c>
    </row>
    <row r="189" spans="1:18" x14ac:dyDescent="0.25">
      <c r="A189" s="3" t="s">
        <v>312</v>
      </c>
      <c r="B189" t="s">
        <v>313</v>
      </c>
      <c r="C189" t="s">
        <v>120</v>
      </c>
      <c r="D189">
        <v>200</v>
      </c>
      <c r="E189" t="s">
        <v>15</v>
      </c>
      <c r="F189" s="1" t="str">
        <f>IF(Table1[[#This Row],[percentage_laid_off]]=100%,"1","0")</f>
        <v>0</v>
      </c>
      <c r="G189" t="b">
        <v>0</v>
      </c>
      <c r="H189" s="2">
        <v>43938</v>
      </c>
      <c r="I189" s="2" t="str">
        <f>TEXT(Table1[[#This Row],[date]],"dd")</f>
        <v>17</v>
      </c>
      <c r="J189" s="20">
        <f>DATE(2000,MONTH(Table1[[#This Row],[date]]),1)</f>
        <v>36617</v>
      </c>
      <c r="K189" s="18" t="str">
        <f>TEXT(Table1[[#This Row],[date]],"mm")</f>
        <v>04</v>
      </c>
      <c r="L189" s="16" t="s">
        <v>37</v>
      </c>
      <c r="M189">
        <v>2020</v>
      </c>
      <c r="N189" t="s">
        <v>43</v>
      </c>
      <c r="O189" t="s">
        <v>83</v>
      </c>
      <c r="P189">
        <v>293</v>
      </c>
      <c r="Q189">
        <f>AVERAGE(Table1[funds_raised_millions])</f>
        <v>470.28289473684208</v>
      </c>
      <c r="R189">
        <f>AVERAGE(Table1[total_laid_off])</f>
        <v>236.96936274509804</v>
      </c>
    </row>
    <row r="190" spans="1:18" x14ac:dyDescent="0.25">
      <c r="A190" s="3" t="s">
        <v>314</v>
      </c>
      <c r="B190" t="s">
        <v>33</v>
      </c>
      <c r="C190" t="s">
        <v>82</v>
      </c>
      <c r="D190">
        <v>95</v>
      </c>
      <c r="E190" s="1">
        <v>0.05</v>
      </c>
      <c r="F190" s="1" t="str">
        <f>IF(Table1[[#This Row],[percentage_laid_off]]=100%,"1","0")</f>
        <v>0</v>
      </c>
      <c r="G190" t="s">
        <v>16</v>
      </c>
      <c r="H190" s="2">
        <v>44785</v>
      </c>
      <c r="I190" s="2" t="str">
        <f>TEXT(Table1[[#This Row],[date]],"dd")</f>
        <v>12</v>
      </c>
      <c r="J190" s="20">
        <f>DATE(2000,MONTH(Table1[[#This Row],[date]]),1)</f>
        <v>36739</v>
      </c>
      <c r="K190" s="18" t="str">
        <f>TEXT(Table1[[#This Row],[date]],"mm")</f>
        <v>08</v>
      </c>
      <c r="L190" s="16" t="s">
        <v>53</v>
      </c>
      <c r="M190">
        <v>2022</v>
      </c>
      <c r="N190" t="s">
        <v>117</v>
      </c>
      <c r="O190" t="s">
        <v>19</v>
      </c>
      <c r="P190">
        <v>220</v>
      </c>
      <c r="Q190">
        <f>AVERAGE(Table1[funds_raised_millions])</f>
        <v>470.28289473684208</v>
      </c>
      <c r="R190">
        <f>AVERAGE(Table1[total_laid_off])</f>
        <v>236.96936274509804</v>
      </c>
    </row>
    <row r="191" spans="1:18" x14ac:dyDescent="0.25">
      <c r="A191" s="3" t="s">
        <v>315</v>
      </c>
      <c r="B191" t="s">
        <v>199</v>
      </c>
      <c r="C191" t="s">
        <v>78</v>
      </c>
      <c r="D191">
        <v>20</v>
      </c>
      <c r="E191" t="s">
        <v>15</v>
      </c>
      <c r="F191" s="1" t="str">
        <f>IF(Table1[[#This Row],[percentage_laid_off]]=100%,"1","0")</f>
        <v>0</v>
      </c>
      <c r="G191" t="b">
        <v>0</v>
      </c>
      <c r="H191" s="2">
        <v>44144</v>
      </c>
      <c r="I191" s="2" t="str">
        <f>TEXT(Table1[[#This Row],[date]],"dd")</f>
        <v>09</v>
      </c>
      <c r="J191" s="20">
        <f>DATE(2000,MONTH(Table1[[#This Row],[date]]),1)</f>
        <v>36831</v>
      </c>
      <c r="K191" s="18" t="str">
        <f>TEXT(Table1[[#This Row],[date]],"mm")</f>
        <v>11</v>
      </c>
      <c r="L191" s="16" t="s">
        <v>23</v>
      </c>
      <c r="M191">
        <v>2020</v>
      </c>
      <c r="N191" t="s">
        <v>71</v>
      </c>
      <c r="O191" t="s">
        <v>200</v>
      </c>
      <c r="P191">
        <v>41</v>
      </c>
      <c r="Q191">
        <f>AVERAGE(Table1[funds_raised_millions])</f>
        <v>470.28289473684208</v>
      </c>
      <c r="R191">
        <f>AVERAGE(Table1[total_laid_off])</f>
        <v>236.96936274509804</v>
      </c>
    </row>
    <row r="192" spans="1:18" x14ac:dyDescent="0.25">
      <c r="A192" s="3" t="s">
        <v>316</v>
      </c>
      <c r="B192" t="s">
        <v>13</v>
      </c>
      <c r="C192" t="s">
        <v>82</v>
      </c>
      <c r="D192">
        <v>100</v>
      </c>
      <c r="E192" s="1">
        <v>0.06</v>
      </c>
      <c r="F192" s="1" t="str">
        <f>IF(Table1[[#This Row],[percentage_laid_off]]=100%,"1","0")</f>
        <v>0</v>
      </c>
      <c r="G192" t="s">
        <v>16</v>
      </c>
      <c r="H192" s="2">
        <v>44845</v>
      </c>
      <c r="I192" s="2" t="str">
        <f>TEXT(Table1[[#This Row],[date]],"dd")</f>
        <v>11</v>
      </c>
      <c r="J192" s="20">
        <f>DATE(2000,MONTH(Table1[[#This Row],[date]]),1)</f>
        <v>36800</v>
      </c>
      <c r="K192" s="18" t="str">
        <f>TEXT(Table1[[#This Row],[date]],"mm")</f>
        <v>10</v>
      </c>
      <c r="L192" s="16" t="s">
        <v>95</v>
      </c>
      <c r="M192">
        <v>2022</v>
      </c>
      <c r="N192" t="s">
        <v>38</v>
      </c>
      <c r="O192" t="s">
        <v>19</v>
      </c>
      <c r="P192">
        <v>665</v>
      </c>
      <c r="Q192">
        <f>AVERAGE(Table1[funds_raised_millions])</f>
        <v>470.28289473684208</v>
      </c>
      <c r="R192">
        <f>AVERAGE(Table1[total_laid_off])</f>
        <v>236.96936274509804</v>
      </c>
    </row>
    <row r="193" spans="1:18" x14ac:dyDescent="0.25">
      <c r="A193" s="3" t="s">
        <v>316</v>
      </c>
      <c r="B193" t="s">
        <v>13</v>
      </c>
      <c r="C193" t="s">
        <v>82</v>
      </c>
      <c r="D193">
        <v>200</v>
      </c>
      <c r="E193" s="1">
        <v>0.1</v>
      </c>
      <c r="F193" s="1" t="str">
        <f>IF(Table1[[#This Row],[percentage_laid_off]]=100%,"1","0")</f>
        <v>0</v>
      </c>
      <c r="G193" t="s">
        <v>16</v>
      </c>
      <c r="H193" s="2">
        <v>44670</v>
      </c>
      <c r="I193" s="2" t="str">
        <f>TEXT(Table1[[#This Row],[date]],"dd")</f>
        <v>19</v>
      </c>
      <c r="J193" s="20">
        <f>DATE(2000,MONTH(Table1[[#This Row],[date]]),1)</f>
        <v>36617</v>
      </c>
      <c r="K193" s="18" t="str">
        <f>TEXT(Table1[[#This Row],[date]],"mm")</f>
        <v>04</v>
      </c>
      <c r="L193" s="16" t="s">
        <v>37</v>
      </c>
      <c r="M193">
        <v>2022</v>
      </c>
      <c r="N193" t="s">
        <v>38</v>
      </c>
      <c r="O193" t="s">
        <v>19</v>
      </c>
      <c r="P193">
        <v>665</v>
      </c>
      <c r="Q193">
        <f>AVERAGE(Table1[funds_raised_millions])</f>
        <v>470.28289473684208</v>
      </c>
      <c r="R193">
        <f>AVERAGE(Table1[total_laid_off])</f>
        <v>236.96936274509804</v>
      </c>
    </row>
    <row r="194" spans="1:18" x14ac:dyDescent="0.25">
      <c r="A194" s="3" t="s">
        <v>316</v>
      </c>
      <c r="B194" t="s">
        <v>13</v>
      </c>
      <c r="C194" t="s">
        <v>82</v>
      </c>
      <c r="D194">
        <v>220</v>
      </c>
      <c r="E194" s="1">
        <v>0.12</v>
      </c>
      <c r="F194" s="1" t="str">
        <f>IF(Table1[[#This Row],[percentage_laid_off]]=100%,"1","0")</f>
        <v>0</v>
      </c>
      <c r="G194" t="s">
        <v>28</v>
      </c>
      <c r="H194" s="2">
        <v>44788</v>
      </c>
      <c r="I194" s="2" t="str">
        <f>TEXT(Table1[[#This Row],[date]],"dd")</f>
        <v>15</v>
      </c>
      <c r="J194" s="20">
        <f>DATE(2000,MONTH(Table1[[#This Row],[date]]),1)</f>
        <v>36739</v>
      </c>
      <c r="K194" s="18" t="str">
        <f>TEXT(Table1[[#This Row],[date]],"mm")</f>
        <v>08</v>
      </c>
      <c r="L194" s="16" t="s">
        <v>53</v>
      </c>
      <c r="M194">
        <v>2022</v>
      </c>
      <c r="N194" t="s">
        <v>38</v>
      </c>
      <c r="O194" t="s">
        <v>19</v>
      </c>
      <c r="P194">
        <v>665</v>
      </c>
      <c r="Q194">
        <f>AVERAGE(Table1[funds_raised_millions])</f>
        <v>470.28289473684208</v>
      </c>
      <c r="R194">
        <f>AVERAGE(Table1[total_laid_off])</f>
        <v>236.96936274509804</v>
      </c>
    </row>
    <row r="195" spans="1:18" x14ac:dyDescent="0.25">
      <c r="A195" s="3" t="s">
        <v>316</v>
      </c>
      <c r="B195" t="s">
        <v>13</v>
      </c>
      <c r="C195" t="s">
        <v>82</v>
      </c>
      <c r="D195">
        <v>340</v>
      </c>
      <c r="E195" s="1">
        <v>0.28000000000000003</v>
      </c>
      <c r="F195" s="1" t="str">
        <f>IF(Table1[[#This Row],[percentage_laid_off]]=100%,"1","0")</f>
        <v>0</v>
      </c>
      <c r="G195" t="s">
        <v>28</v>
      </c>
      <c r="H195" s="2">
        <v>45200</v>
      </c>
      <c r="I195" s="2" t="str">
        <f>TEXT(Table1[[#This Row],[date]],"dd")</f>
        <v>01</v>
      </c>
      <c r="J195" s="20">
        <f>DATE(2000,MONTH(Table1[[#This Row],[date]]),1)</f>
        <v>36800</v>
      </c>
      <c r="K195" s="18" t="str">
        <f>TEXT(Table1[[#This Row],[date]],"mm")</f>
        <v>10</v>
      </c>
      <c r="L195" s="16" t="s">
        <v>95</v>
      </c>
      <c r="M195">
        <v>2023</v>
      </c>
      <c r="N195" t="s">
        <v>38</v>
      </c>
      <c r="O195" t="s">
        <v>19</v>
      </c>
      <c r="P195">
        <v>665</v>
      </c>
      <c r="Q195">
        <f>AVERAGE(Table1[funds_raised_millions])</f>
        <v>470.28289473684208</v>
      </c>
      <c r="R195">
        <f>AVERAGE(Table1[total_laid_off])</f>
        <v>236.96936274509804</v>
      </c>
    </row>
    <row r="196" spans="1:18" x14ac:dyDescent="0.25">
      <c r="A196" s="3" t="s">
        <v>317</v>
      </c>
      <c r="B196" t="s">
        <v>199</v>
      </c>
      <c r="C196" t="s">
        <v>46</v>
      </c>
      <c r="D196">
        <v>110</v>
      </c>
      <c r="E196" s="1">
        <v>0.28000000000000003</v>
      </c>
      <c r="F196" s="1" t="str">
        <f>IF(Table1[[#This Row],[percentage_laid_off]]=100%,"1","0")</f>
        <v>0</v>
      </c>
      <c r="G196" t="s">
        <v>28</v>
      </c>
      <c r="H196" s="2">
        <v>45261</v>
      </c>
      <c r="I196" s="2" t="str">
        <f>TEXT(Table1[[#This Row],[date]],"dd")</f>
        <v>01</v>
      </c>
      <c r="J196" s="20">
        <f>DATE(2000,MONTH(Table1[[#This Row],[date]]),1)</f>
        <v>36861</v>
      </c>
      <c r="K196" s="18" t="str">
        <f>TEXT(Table1[[#This Row],[date]],"mm")</f>
        <v>12</v>
      </c>
      <c r="L196" s="16" t="s">
        <v>61</v>
      </c>
      <c r="M196">
        <v>2023</v>
      </c>
      <c r="N196" t="s">
        <v>43</v>
      </c>
      <c r="O196" t="s">
        <v>200</v>
      </c>
      <c r="P196">
        <v>490</v>
      </c>
      <c r="Q196">
        <f>AVERAGE(Table1[funds_raised_millions])</f>
        <v>470.28289473684208</v>
      </c>
      <c r="R196">
        <f>AVERAGE(Table1[total_laid_off])</f>
        <v>236.96936274509804</v>
      </c>
    </row>
    <row r="197" spans="1:18" x14ac:dyDescent="0.25">
      <c r="A197" s="3" t="s">
        <v>317</v>
      </c>
      <c r="B197" t="s">
        <v>199</v>
      </c>
      <c r="C197" t="s">
        <v>46</v>
      </c>
      <c r="D197">
        <v>150</v>
      </c>
      <c r="E197" s="1">
        <v>0.25</v>
      </c>
      <c r="F197" s="1" t="str">
        <f>IF(Table1[[#This Row],[percentage_laid_off]]=100%,"1","0")</f>
        <v>0</v>
      </c>
      <c r="G197" t="s">
        <v>28</v>
      </c>
      <c r="H197" s="2">
        <v>44763</v>
      </c>
      <c r="I197" s="2" t="str">
        <f>TEXT(Table1[[#This Row],[date]],"dd")</f>
        <v>21</v>
      </c>
      <c r="J197" s="20">
        <f>DATE(2000,MONTH(Table1[[#This Row],[date]]),1)</f>
        <v>36708</v>
      </c>
      <c r="K197" s="18" t="str">
        <f>TEXT(Table1[[#This Row],[date]],"mm")</f>
        <v>07</v>
      </c>
      <c r="L197" s="16" t="s">
        <v>17</v>
      </c>
      <c r="M197">
        <v>2022</v>
      </c>
      <c r="N197" t="s">
        <v>43</v>
      </c>
      <c r="O197" t="s">
        <v>200</v>
      </c>
      <c r="P197">
        <v>490</v>
      </c>
      <c r="Q197">
        <f>AVERAGE(Table1[funds_raised_millions])</f>
        <v>470.28289473684208</v>
      </c>
      <c r="R197">
        <f>AVERAGE(Table1[total_laid_off])</f>
        <v>236.96936274509804</v>
      </c>
    </row>
    <row r="198" spans="1:18" x14ac:dyDescent="0.25">
      <c r="A198" s="3" t="s">
        <v>318</v>
      </c>
      <c r="B198" t="s">
        <v>40</v>
      </c>
      <c r="C198" t="s">
        <v>46</v>
      </c>
      <c r="D198" t="s">
        <v>15</v>
      </c>
      <c r="E198" s="1">
        <v>1</v>
      </c>
      <c r="F198" s="1" t="str">
        <f>IF(Table1[[#This Row],[percentage_laid_off]]=100%,"1","0")</f>
        <v>1</v>
      </c>
      <c r="G198" t="s">
        <v>114</v>
      </c>
      <c r="H198" s="2">
        <v>44893</v>
      </c>
      <c r="I198" s="2" t="str">
        <f>TEXT(Table1[[#This Row],[date]],"dd")</f>
        <v>28</v>
      </c>
      <c r="J198" s="20">
        <f>DATE(2000,MONTH(Table1[[#This Row],[date]]),1)</f>
        <v>36831</v>
      </c>
      <c r="K198" s="18" t="str">
        <f>TEXT(Table1[[#This Row],[date]],"mm")</f>
        <v>11</v>
      </c>
      <c r="L198" s="16" t="s">
        <v>23</v>
      </c>
      <c r="M198">
        <v>2022</v>
      </c>
      <c r="N198" t="s">
        <v>18</v>
      </c>
      <c r="O198" t="s">
        <v>19</v>
      </c>
      <c r="P198">
        <v>1000</v>
      </c>
      <c r="Q198">
        <f>AVERAGE(Table1[funds_raised_millions])</f>
        <v>470.28289473684208</v>
      </c>
      <c r="R198">
        <f>AVERAGE(Table1[total_laid_off])</f>
        <v>236.96936274509804</v>
      </c>
    </row>
    <row r="199" spans="1:18" x14ac:dyDescent="0.25">
      <c r="A199" s="3" t="s">
        <v>318</v>
      </c>
      <c r="B199" t="s">
        <v>40</v>
      </c>
      <c r="C199" t="s">
        <v>46</v>
      </c>
      <c r="D199">
        <v>250</v>
      </c>
      <c r="E199" s="1">
        <v>0.2</v>
      </c>
      <c r="F199" s="1" t="str">
        <f>IF(Table1[[#This Row],[percentage_laid_off]]=100%,"1","0")</f>
        <v>0</v>
      </c>
      <c r="G199" t="s">
        <v>28</v>
      </c>
      <c r="H199" s="2">
        <v>44725</v>
      </c>
      <c r="I199" s="2" t="str">
        <f>TEXT(Table1[[#This Row],[date]],"dd")</f>
        <v>13</v>
      </c>
      <c r="J199" s="20">
        <f>DATE(2000,MONTH(Table1[[#This Row],[date]]),1)</f>
        <v>36678</v>
      </c>
      <c r="K199" s="18" t="str">
        <f>TEXT(Table1[[#This Row],[date]],"mm")</f>
        <v>06</v>
      </c>
      <c r="L199" s="16" t="s">
        <v>73</v>
      </c>
      <c r="M199">
        <v>2022</v>
      </c>
      <c r="N199" t="s">
        <v>18</v>
      </c>
      <c r="O199" t="s">
        <v>19</v>
      </c>
      <c r="P199">
        <v>1000</v>
      </c>
      <c r="Q199">
        <f>AVERAGE(Table1[funds_raised_millions])</f>
        <v>470.28289473684208</v>
      </c>
      <c r="R199">
        <f>AVERAGE(Table1[total_laid_off])</f>
        <v>236.96936274509804</v>
      </c>
    </row>
    <row r="200" spans="1:18" x14ac:dyDescent="0.25">
      <c r="A200" s="3" t="s">
        <v>319</v>
      </c>
      <c r="B200" t="s">
        <v>13</v>
      </c>
      <c r="C200" t="s">
        <v>51</v>
      </c>
      <c r="D200">
        <v>88</v>
      </c>
      <c r="E200" s="1">
        <v>0.5</v>
      </c>
      <c r="F200" s="1" t="str">
        <f>IF(Table1[[#This Row],[percentage_laid_off]]=100%,"1","0")</f>
        <v>0</v>
      </c>
      <c r="G200" t="s">
        <v>28</v>
      </c>
      <c r="H200" s="2">
        <v>44573</v>
      </c>
      <c r="I200" s="2" t="str">
        <f>TEXT(Table1[[#This Row],[date]],"dd")</f>
        <v>12</v>
      </c>
      <c r="J200" s="20">
        <f>DATE(2000,MONTH(Table1[[#This Row],[date]]),1)</f>
        <v>36526</v>
      </c>
      <c r="K200" s="18" t="str">
        <f>TEXT(Table1[[#This Row],[date]],"mm")</f>
        <v>01</v>
      </c>
      <c r="L200" s="16" t="s">
        <v>29</v>
      </c>
      <c r="M200">
        <v>2022</v>
      </c>
      <c r="N200" t="s">
        <v>47</v>
      </c>
      <c r="O200" t="s">
        <v>19</v>
      </c>
      <c r="P200" t="s">
        <v>15</v>
      </c>
      <c r="Q200">
        <f>AVERAGE(Table1[funds_raised_millions])</f>
        <v>470.28289473684208</v>
      </c>
      <c r="R200">
        <f>AVERAGE(Table1[total_laid_off])</f>
        <v>236.96936274509804</v>
      </c>
    </row>
    <row r="201" spans="1:18" x14ac:dyDescent="0.25">
      <c r="A201" s="3" t="s">
        <v>320</v>
      </c>
      <c r="B201" t="s">
        <v>40</v>
      </c>
      <c r="C201" t="s">
        <v>64</v>
      </c>
      <c r="D201" t="s">
        <v>15</v>
      </c>
      <c r="E201" s="1">
        <v>0.1</v>
      </c>
      <c r="F201" s="1" t="str">
        <f>IF(Table1[[#This Row],[percentage_laid_off]]=100%,"1","0")</f>
        <v>0</v>
      </c>
      <c r="G201" t="s">
        <v>16</v>
      </c>
      <c r="H201" s="2">
        <v>44785</v>
      </c>
      <c r="I201" s="2" t="str">
        <f>TEXT(Table1[[#This Row],[date]],"dd")</f>
        <v>12</v>
      </c>
      <c r="J201" s="20">
        <f>DATE(2000,MONTH(Table1[[#This Row],[date]]),1)</f>
        <v>36739</v>
      </c>
      <c r="K201" s="18" t="str">
        <f>TEXT(Table1[[#This Row],[date]],"mm")</f>
        <v>08</v>
      </c>
      <c r="L201" s="16" t="s">
        <v>53</v>
      </c>
      <c r="M201">
        <v>2022</v>
      </c>
      <c r="N201" t="s">
        <v>38</v>
      </c>
      <c r="O201" t="s">
        <v>19</v>
      </c>
      <c r="P201">
        <v>352</v>
      </c>
      <c r="Q201">
        <f>AVERAGE(Table1[funds_raised_millions])</f>
        <v>470.28289473684208</v>
      </c>
      <c r="R201">
        <f>AVERAGE(Table1[total_laid_off])</f>
        <v>236.96936274509804</v>
      </c>
    </row>
    <row r="202" spans="1:18" x14ac:dyDescent="0.25">
      <c r="A202" s="3" t="s">
        <v>321</v>
      </c>
      <c r="B202" t="s">
        <v>40</v>
      </c>
      <c r="C202" t="s">
        <v>174</v>
      </c>
      <c r="D202">
        <v>130</v>
      </c>
      <c r="E202" s="1">
        <v>0.25</v>
      </c>
      <c r="F202" s="1" t="str">
        <f>IF(Table1[[#This Row],[percentage_laid_off]]=100%,"1","0")</f>
        <v>0</v>
      </c>
      <c r="G202" t="s">
        <v>28</v>
      </c>
      <c r="H202" s="2">
        <v>43917</v>
      </c>
      <c r="I202" s="2" t="str">
        <f>TEXT(Table1[[#This Row],[date]],"dd")</f>
        <v>27</v>
      </c>
      <c r="J202" s="20">
        <f>DATE(2000,MONTH(Table1[[#This Row],[date]]),1)</f>
        <v>36586</v>
      </c>
      <c r="K202" s="18" t="str">
        <f>TEXT(Table1[[#This Row],[date]],"mm")</f>
        <v>03</v>
      </c>
      <c r="L202" s="16" t="s">
        <v>57</v>
      </c>
      <c r="M202">
        <v>2020</v>
      </c>
      <c r="N202" t="s">
        <v>30</v>
      </c>
      <c r="O202" t="s">
        <v>19</v>
      </c>
      <c r="P202">
        <v>77</v>
      </c>
      <c r="Q202">
        <f>AVERAGE(Table1[funds_raised_millions])</f>
        <v>470.28289473684208</v>
      </c>
      <c r="R202">
        <f>AVERAGE(Table1[total_laid_off])</f>
        <v>236.96936274509804</v>
      </c>
    </row>
    <row r="203" spans="1:18" x14ac:dyDescent="0.25">
      <c r="A203" s="3" t="s">
        <v>322</v>
      </c>
      <c r="B203" t="s">
        <v>13</v>
      </c>
      <c r="C203" t="s">
        <v>161</v>
      </c>
      <c r="D203">
        <v>60</v>
      </c>
      <c r="E203" t="s">
        <v>15</v>
      </c>
      <c r="F203" s="1" t="str">
        <f>IF(Table1[[#This Row],[percentage_laid_off]]=100%,"1","0")</f>
        <v>0</v>
      </c>
      <c r="G203" t="b">
        <v>0</v>
      </c>
      <c r="H203" s="2">
        <v>44762</v>
      </c>
      <c r="I203" s="2" t="str">
        <f>TEXT(Table1[[#This Row],[date]],"dd")</f>
        <v>20</v>
      </c>
      <c r="J203" s="20">
        <f>DATE(2000,MONTH(Table1[[#This Row],[date]]),1)</f>
        <v>36708</v>
      </c>
      <c r="K203" s="18" t="str">
        <f>TEXT(Table1[[#This Row],[date]],"mm")</f>
        <v>07</v>
      </c>
      <c r="L203" s="16" t="s">
        <v>17</v>
      </c>
      <c r="M203">
        <v>2022</v>
      </c>
      <c r="N203" t="s">
        <v>35</v>
      </c>
      <c r="O203" t="s">
        <v>19</v>
      </c>
      <c r="P203">
        <v>48</v>
      </c>
      <c r="Q203">
        <f>AVERAGE(Table1[funds_raised_millions])</f>
        <v>470.28289473684208</v>
      </c>
      <c r="R203">
        <f>AVERAGE(Table1[total_laid_off])</f>
        <v>236.96936274509804</v>
      </c>
    </row>
    <row r="204" spans="1:18" x14ac:dyDescent="0.25">
      <c r="A204" s="3" t="s">
        <v>323</v>
      </c>
      <c r="B204" t="s">
        <v>13</v>
      </c>
      <c r="C204" t="s">
        <v>120</v>
      </c>
      <c r="D204">
        <v>30</v>
      </c>
      <c r="E204" s="1">
        <v>0.1</v>
      </c>
      <c r="F204" s="1" t="str">
        <f>IF(Table1[[#This Row],[percentage_laid_off]]=100%,"1","0")</f>
        <v>0</v>
      </c>
      <c r="G204" t="s">
        <v>16</v>
      </c>
      <c r="H204" s="2">
        <v>43920</v>
      </c>
      <c r="I204" s="2" t="str">
        <f>TEXT(Table1[[#This Row],[date]],"dd")</f>
        <v>30</v>
      </c>
      <c r="J204" s="20">
        <f>DATE(2000,MONTH(Table1[[#This Row],[date]]),1)</f>
        <v>36586</v>
      </c>
      <c r="K204" s="18" t="str">
        <f>TEXT(Table1[[#This Row],[date]],"mm")</f>
        <v>03</v>
      </c>
      <c r="L204" s="16" t="s">
        <v>57</v>
      </c>
      <c r="M204">
        <v>2020</v>
      </c>
      <c r="N204" t="s">
        <v>47</v>
      </c>
      <c r="O204" t="s">
        <v>19</v>
      </c>
      <c r="P204" t="s">
        <v>15</v>
      </c>
      <c r="Q204">
        <f>AVERAGE(Table1[funds_raised_millions])</f>
        <v>470.28289473684208</v>
      </c>
      <c r="R204">
        <f>AVERAGE(Table1[total_laid_off])</f>
        <v>236.96936274509804</v>
      </c>
    </row>
    <row r="205" spans="1:18" x14ac:dyDescent="0.25">
      <c r="A205" s="3" t="s">
        <v>324</v>
      </c>
      <c r="B205" t="s">
        <v>325</v>
      </c>
      <c r="C205" t="s">
        <v>51</v>
      </c>
      <c r="D205">
        <v>137</v>
      </c>
      <c r="E205" s="1">
        <v>1</v>
      </c>
      <c r="F205" s="1" t="str">
        <f>IF(Table1[[#This Row],[percentage_laid_off]]=100%,"1","0")</f>
        <v>1</v>
      </c>
      <c r="G205" t="s">
        <v>114</v>
      </c>
      <c r="H205" s="2">
        <v>43977</v>
      </c>
      <c r="I205" s="2" t="str">
        <f>TEXT(Table1[[#This Row],[date]],"dd")</f>
        <v>26</v>
      </c>
      <c r="J205" s="20">
        <f>DATE(2000,MONTH(Table1[[#This Row],[date]]),1)</f>
        <v>36647</v>
      </c>
      <c r="K205" s="18" t="str">
        <f>TEXT(Table1[[#This Row],[date]],"mm")</f>
        <v>05</v>
      </c>
      <c r="L205" s="16" t="s">
        <v>86</v>
      </c>
      <c r="M205">
        <v>2020</v>
      </c>
      <c r="N205" t="s">
        <v>71</v>
      </c>
      <c r="O205" t="s">
        <v>19</v>
      </c>
      <c r="P205">
        <v>108</v>
      </c>
      <c r="Q205">
        <f>AVERAGE(Table1[funds_raised_millions])</f>
        <v>470.28289473684208</v>
      </c>
      <c r="R205">
        <f>AVERAGE(Table1[total_laid_off])</f>
        <v>236.96936274509804</v>
      </c>
    </row>
    <row r="206" spans="1:18" x14ac:dyDescent="0.25">
      <c r="A206" s="3" t="s">
        <v>326</v>
      </c>
      <c r="B206" t="s">
        <v>327</v>
      </c>
      <c r="C206" t="s">
        <v>82</v>
      </c>
      <c r="D206" t="s">
        <v>15</v>
      </c>
      <c r="E206" s="1">
        <v>0.25</v>
      </c>
      <c r="F206" s="1" t="str">
        <f>IF(Table1[[#This Row],[percentage_laid_off]]=100%,"1","0")</f>
        <v>0</v>
      </c>
      <c r="G206" t="s">
        <v>28</v>
      </c>
      <c r="H206" s="2">
        <v>44956</v>
      </c>
      <c r="I206" s="2" t="str">
        <f>TEXT(Table1[[#This Row],[date]],"dd")</f>
        <v>30</v>
      </c>
      <c r="J206" s="20">
        <f>DATE(2000,MONTH(Table1[[#This Row],[date]]),1)</f>
        <v>36526</v>
      </c>
      <c r="K206" s="18" t="str">
        <f>TEXT(Table1[[#This Row],[date]],"mm")</f>
        <v>01</v>
      </c>
      <c r="L206" s="16" t="s">
        <v>29</v>
      </c>
      <c r="M206">
        <v>2023</v>
      </c>
      <c r="N206" t="s">
        <v>38</v>
      </c>
      <c r="O206" t="s">
        <v>19</v>
      </c>
      <c r="P206" t="s">
        <v>15</v>
      </c>
      <c r="Q206">
        <f>AVERAGE(Table1[funds_raised_millions])</f>
        <v>470.28289473684208</v>
      </c>
      <c r="R206">
        <f>AVERAGE(Table1[total_laid_off])</f>
        <v>236.96936274509804</v>
      </c>
    </row>
    <row r="207" spans="1:18" x14ac:dyDescent="0.25">
      <c r="A207" s="3" t="s">
        <v>328</v>
      </c>
      <c r="B207" t="s">
        <v>329</v>
      </c>
      <c r="C207" t="s">
        <v>69</v>
      </c>
      <c r="D207">
        <v>17</v>
      </c>
      <c r="E207" t="s">
        <v>15</v>
      </c>
      <c r="F207" s="1" t="str">
        <f>IF(Table1[[#This Row],[percentage_laid_off]]=100%,"1","0")</f>
        <v>0</v>
      </c>
      <c r="G207" t="b">
        <v>0</v>
      </c>
      <c r="H207" s="2">
        <v>44978</v>
      </c>
      <c r="I207" s="2" t="str">
        <f>TEXT(Table1[[#This Row],[date]],"dd")</f>
        <v>21</v>
      </c>
      <c r="J207" s="20">
        <f>DATE(2000,MONTH(Table1[[#This Row],[date]]),1)</f>
        <v>36557</v>
      </c>
      <c r="K207" s="18" t="str">
        <f>TEXT(Table1[[#This Row],[date]],"mm")</f>
        <v>02</v>
      </c>
      <c r="L207" s="16" t="s">
        <v>42</v>
      </c>
      <c r="M207">
        <v>2023</v>
      </c>
      <c r="N207" t="s">
        <v>100</v>
      </c>
      <c r="O207" t="s">
        <v>146</v>
      </c>
      <c r="P207" t="s">
        <v>15</v>
      </c>
      <c r="Q207">
        <f>AVERAGE(Table1[funds_raised_millions])</f>
        <v>470.28289473684208</v>
      </c>
      <c r="R207">
        <f>AVERAGE(Table1[total_laid_off])</f>
        <v>236.96936274509804</v>
      </c>
    </row>
    <row r="208" spans="1:18" x14ac:dyDescent="0.25">
      <c r="A208" s="3" t="s">
        <v>328</v>
      </c>
      <c r="B208" t="s">
        <v>13</v>
      </c>
      <c r="C208" t="s">
        <v>82</v>
      </c>
      <c r="D208">
        <v>50</v>
      </c>
      <c r="E208" s="1">
        <v>0.1</v>
      </c>
      <c r="F208" s="1" t="str">
        <f>IF(Table1[[#This Row],[percentage_laid_off]]=100%,"1","0")</f>
        <v>0</v>
      </c>
      <c r="G208" t="s">
        <v>16</v>
      </c>
      <c r="H208" s="2">
        <v>44950</v>
      </c>
      <c r="I208" s="2" t="str">
        <f>TEXT(Table1[[#This Row],[date]],"dd")</f>
        <v>24</v>
      </c>
      <c r="J208" s="20">
        <f>DATE(2000,MONTH(Table1[[#This Row],[date]]),1)</f>
        <v>36526</v>
      </c>
      <c r="K208" s="18" t="str">
        <f>TEXT(Table1[[#This Row],[date]],"mm")</f>
        <v>01</v>
      </c>
      <c r="L208" s="16" t="s">
        <v>29</v>
      </c>
      <c r="M208">
        <v>2023</v>
      </c>
      <c r="N208" t="s">
        <v>18</v>
      </c>
      <c r="O208" t="s">
        <v>19</v>
      </c>
      <c r="P208">
        <v>1300</v>
      </c>
      <c r="Q208">
        <f>AVERAGE(Table1[funds_raised_millions])</f>
        <v>470.28289473684208</v>
      </c>
      <c r="R208">
        <f>AVERAGE(Table1[total_laid_off])</f>
        <v>236.96936274509804</v>
      </c>
    </row>
    <row r="209" spans="1:18" x14ac:dyDescent="0.25">
      <c r="A209" s="3" t="s">
        <v>328</v>
      </c>
      <c r="B209" t="s">
        <v>13</v>
      </c>
      <c r="C209" t="s">
        <v>82</v>
      </c>
      <c r="D209">
        <v>240</v>
      </c>
      <c r="E209" s="1">
        <v>0.27</v>
      </c>
      <c r="F209" s="1" t="str">
        <f>IF(Table1[[#This Row],[percentage_laid_off]]=100%,"1","0")</f>
        <v>0</v>
      </c>
      <c r="G209" t="s">
        <v>28</v>
      </c>
      <c r="H209" s="2">
        <v>44706</v>
      </c>
      <c r="I209" s="2" t="str">
        <f>TEXT(Table1[[#This Row],[date]],"dd")</f>
        <v>25</v>
      </c>
      <c r="J209" s="20">
        <f>DATE(2000,MONTH(Table1[[#This Row],[date]]),1)</f>
        <v>36647</v>
      </c>
      <c r="K209" s="18" t="str">
        <f>TEXT(Table1[[#This Row],[date]],"mm")</f>
        <v>05</v>
      </c>
      <c r="L209" s="16" t="s">
        <v>86</v>
      </c>
      <c r="M209">
        <v>2022</v>
      </c>
      <c r="N209" t="s">
        <v>18</v>
      </c>
      <c r="O209" t="s">
        <v>19</v>
      </c>
      <c r="P209">
        <v>1300</v>
      </c>
      <c r="Q209">
        <f>AVERAGE(Table1[funds_raised_millions])</f>
        <v>470.28289473684208</v>
      </c>
      <c r="R209">
        <f>AVERAGE(Table1[total_laid_off])</f>
        <v>236.96936274509804</v>
      </c>
    </row>
    <row r="210" spans="1:18" x14ac:dyDescent="0.25">
      <c r="A210" s="3" t="s">
        <v>330</v>
      </c>
      <c r="B210" t="s">
        <v>27</v>
      </c>
      <c r="C210" t="s">
        <v>41</v>
      </c>
      <c r="D210">
        <v>29</v>
      </c>
      <c r="E210" s="1">
        <v>0.34</v>
      </c>
      <c r="F210" s="1" t="str">
        <f>IF(Table1[[#This Row],[percentage_laid_off]]=100%,"1","0")</f>
        <v>0</v>
      </c>
      <c r="G210" t="s">
        <v>28</v>
      </c>
      <c r="H210" s="2">
        <v>44677</v>
      </c>
      <c r="I210" s="2" t="str">
        <f>TEXT(Table1[[#This Row],[date]],"dd")</f>
        <v>26</v>
      </c>
      <c r="J210" s="20">
        <f>DATE(2000,MONTH(Table1[[#This Row],[date]]),1)</f>
        <v>36617</v>
      </c>
      <c r="K210" s="18" t="str">
        <f>TEXT(Table1[[#This Row],[date]],"mm")</f>
        <v>04</v>
      </c>
      <c r="L210" s="16" t="s">
        <v>37</v>
      </c>
      <c r="M210">
        <v>2022</v>
      </c>
      <c r="N210" t="s">
        <v>24</v>
      </c>
      <c r="O210" t="s">
        <v>31</v>
      </c>
      <c r="P210">
        <v>27</v>
      </c>
      <c r="Q210">
        <f>AVERAGE(Table1[funds_raised_millions])</f>
        <v>470.28289473684208</v>
      </c>
      <c r="R210">
        <f>AVERAGE(Table1[total_laid_off])</f>
        <v>236.96936274509804</v>
      </c>
    </row>
    <row r="211" spans="1:18" x14ac:dyDescent="0.25">
      <c r="A211" s="3" t="s">
        <v>330</v>
      </c>
      <c r="B211" t="s">
        <v>27</v>
      </c>
      <c r="C211" t="s">
        <v>41</v>
      </c>
      <c r="D211">
        <v>30</v>
      </c>
      <c r="E211" s="1">
        <v>0.55000000000000004</v>
      </c>
      <c r="F211" s="1" t="str">
        <f>IF(Table1[[#This Row],[percentage_laid_off]]=100%,"1","0")</f>
        <v>0</v>
      </c>
      <c r="G211" t="s">
        <v>130</v>
      </c>
      <c r="H211" s="2">
        <v>44732</v>
      </c>
      <c r="I211" s="2" t="str">
        <f>TEXT(Table1[[#This Row],[date]],"dd")</f>
        <v>20</v>
      </c>
      <c r="J211" s="20">
        <f>DATE(2000,MONTH(Table1[[#This Row],[date]]),1)</f>
        <v>36678</v>
      </c>
      <c r="K211" s="18" t="str">
        <f>TEXT(Table1[[#This Row],[date]],"mm")</f>
        <v>06</v>
      </c>
      <c r="L211" s="16" t="s">
        <v>73</v>
      </c>
      <c r="M211">
        <v>2022</v>
      </c>
      <c r="N211" t="s">
        <v>24</v>
      </c>
      <c r="O211" t="s">
        <v>31</v>
      </c>
      <c r="P211">
        <v>27</v>
      </c>
      <c r="Q211">
        <f>AVERAGE(Table1[funds_raised_millions])</f>
        <v>470.28289473684208</v>
      </c>
      <c r="R211">
        <f>AVERAGE(Table1[total_laid_off])</f>
        <v>236.96936274509804</v>
      </c>
    </row>
    <row r="212" spans="1:18" x14ac:dyDescent="0.25">
      <c r="A212" s="3" t="s">
        <v>331</v>
      </c>
      <c r="B212" t="s">
        <v>202</v>
      </c>
      <c r="C212" t="s">
        <v>161</v>
      </c>
      <c r="D212">
        <v>140</v>
      </c>
      <c r="E212" s="1">
        <v>0.1</v>
      </c>
      <c r="F212" s="1" t="str">
        <f>IF(Table1[[#This Row],[percentage_laid_off]]=100%,"1","0")</f>
        <v>0</v>
      </c>
      <c r="G212" t="s">
        <v>16</v>
      </c>
      <c r="H212" s="2">
        <v>44939</v>
      </c>
      <c r="I212" s="2" t="str">
        <f>TEXT(Table1[[#This Row],[date]],"dd")</f>
        <v>13</v>
      </c>
      <c r="J212" s="20">
        <f>DATE(2000,MONTH(Table1[[#This Row],[date]]),1)</f>
        <v>36526</v>
      </c>
      <c r="K212" s="18" t="str">
        <f>TEXT(Table1[[#This Row],[date]],"mm")</f>
        <v>01</v>
      </c>
      <c r="L212" s="16" t="s">
        <v>29</v>
      </c>
      <c r="M212">
        <v>2023</v>
      </c>
      <c r="N212" t="s">
        <v>47</v>
      </c>
      <c r="O212" t="s">
        <v>19</v>
      </c>
      <c r="P212" t="s">
        <v>15</v>
      </c>
      <c r="Q212">
        <f>AVERAGE(Table1[funds_raised_millions])</f>
        <v>470.28289473684208</v>
      </c>
      <c r="R212">
        <f>AVERAGE(Table1[total_laid_off])</f>
        <v>236.96936274509804</v>
      </c>
    </row>
    <row r="213" spans="1:18" x14ac:dyDescent="0.25">
      <c r="A213" s="3" t="s">
        <v>332</v>
      </c>
      <c r="B213" t="s">
        <v>103</v>
      </c>
      <c r="C213" t="s">
        <v>51</v>
      </c>
      <c r="D213">
        <v>12</v>
      </c>
      <c r="E213" s="1">
        <v>0.25</v>
      </c>
      <c r="F213" s="1" t="str">
        <f>IF(Table1[[#This Row],[percentage_laid_off]]=100%,"1","0")</f>
        <v>0</v>
      </c>
      <c r="G213" t="s">
        <v>28</v>
      </c>
      <c r="H213" s="2">
        <v>44712</v>
      </c>
      <c r="I213" s="2" t="str">
        <f>TEXT(Table1[[#This Row],[date]],"dd")</f>
        <v>31</v>
      </c>
      <c r="J213" s="20">
        <f>DATE(2000,MONTH(Table1[[#This Row],[date]]),1)</f>
        <v>36647</v>
      </c>
      <c r="K213" s="18" t="str">
        <f>TEXT(Table1[[#This Row],[date]],"mm")</f>
        <v>05</v>
      </c>
      <c r="L213" s="16" t="s">
        <v>86</v>
      </c>
      <c r="M213">
        <v>2022</v>
      </c>
      <c r="N213" t="s">
        <v>24</v>
      </c>
      <c r="O213" t="s">
        <v>19</v>
      </c>
      <c r="P213">
        <v>26</v>
      </c>
      <c r="Q213">
        <f>AVERAGE(Table1[funds_raised_millions])</f>
        <v>470.28289473684208</v>
      </c>
      <c r="R213">
        <f>AVERAGE(Table1[total_laid_off])</f>
        <v>236.96936274509804</v>
      </c>
    </row>
    <row r="214" spans="1:18" x14ac:dyDescent="0.25">
      <c r="A214" s="3" t="s">
        <v>333</v>
      </c>
      <c r="B214" t="s">
        <v>334</v>
      </c>
      <c r="C214" t="s">
        <v>112</v>
      </c>
      <c r="D214">
        <v>4375</v>
      </c>
      <c r="E214" s="1">
        <v>0.25</v>
      </c>
      <c r="F214" s="1" t="str">
        <f>IF(Table1[[#This Row],[percentage_laid_off]]=100%,"1","0")</f>
        <v>0</v>
      </c>
      <c r="G214" t="s">
        <v>28</v>
      </c>
      <c r="H214" s="2">
        <v>44042</v>
      </c>
      <c r="I214" s="2" t="str">
        <f>TEXT(Table1[[#This Row],[date]],"dd")</f>
        <v>30</v>
      </c>
      <c r="J214" s="20">
        <f>DATE(2000,MONTH(Table1[[#This Row],[date]]),1)</f>
        <v>36708</v>
      </c>
      <c r="K214" s="18" t="str">
        <f>TEXT(Table1[[#This Row],[date]],"mm")</f>
        <v>07</v>
      </c>
      <c r="L214" s="16" t="s">
        <v>17</v>
      </c>
      <c r="M214">
        <v>2020</v>
      </c>
      <c r="N214" t="s">
        <v>71</v>
      </c>
      <c r="O214" t="s">
        <v>335</v>
      </c>
      <c r="P214" t="s">
        <v>15</v>
      </c>
      <c r="Q214">
        <f>AVERAGE(Table1[funds_raised_millions])</f>
        <v>470.28289473684208</v>
      </c>
      <c r="R214">
        <f>AVERAGE(Table1[total_laid_off])</f>
        <v>236.96936274509804</v>
      </c>
    </row>
    <row r="215" spans="1:18" x14ac:dyDescent="0.25">
      <c r="A215" s="3" t="s">
        <v>333</v>
      </c>
      <c r="B215" t="s">
        <v>336</v>
      </c>
      <c r="C215" t="s">
        <v>112</v>
      </c>
      <c r="D215">
        <v>226</v>
      </c>
      <c r="E215" t="s">
        <v>15</v>
      </c>
      <c r="F215" s="1" t="str">
        <f>IF(Table1[[#This Row],[percentage_laid_off]]=100%,"1","0")</f>
        <v>0</v>
      </c>
      <c r="G215" t="b">
        <v>0</v>
      </c>
      <c r="H215" s="2">
        <v>44572</v>
      </c>
      <c r="I215" s="2" t="str">
        <f>TEXT(Table1[[#This Row],[date]],"dd")</f>
        <v>11</v>
      </c>
      <c r="J215" s="20">
        <f>DATE(2000,MONTH(Table1[[#This Row],[date]]),1)</f>
        <v>36526</v>
      </c>
      <c r="K215" s="18" t="str">
        <f>TEXT(Table1[[#This Row],[date]],"mm")</f>
        <v>01</v>
      </c>
      <c r="L215" s="16" t="s">
        <v>29</v>
      </c>
      <c r="M215">
        <v>2022</v>
      </c>
      <c r="N215" t="s">
        <v>71</v>
      </c>
      <c r="O215" t="s">
        <v>19</v>
      </c>
      <c r="P215" t="s">
        <v>15</v>
      </c>
      <c r="Q215">
        <f>AVERAGE(Table1[funds_raised_millions])</f>
        <v>470.28289473684208</v>
      </c>
      <c r="R215">
        <f>AVERAGE(Table1[total_laid_off])</f>
        <v>236.96936274509804</v>
      </c>
    </row>
    <row r="216" spans="1:18" x14ac:dyDescent="0.25">
      <c r="A216" s="3" t="s">
        <v>337</v>
      </c>
      <c r="B216" t="s">
        <v>81</v>
      </c>
      <c r="C216" t="s">
        <v>34</v>
      </c>
      <c r="D216">
        <v>270</v>
      </c>
      <c r="E216" s="1">
        <v>0.18</v>
      </c>
      <c r="F216" s="1" t="str">
        <f>IF(Table1[[#This Row],[percentage_laid_off]]=100%,"1","0")</f>
        <v>0</v>
      </c>
      <c r="G216" t="s">
        <v>28</v>
      </c>
      <c r="H216" s="2">
        <v>43979</v>
      </c>
      <c r="I216" s="2" t="str">
        <f>TEXT(Table1[[#This Row],[date]],"dd")</f>
        <v>28</v>
      </c>
      <c r="J216" s="20">
        <f>DATE(2000,MONTH(Table1[[#This Row],[date]]),1)</f>
        <v>36647</v>
      </c>
      <c r="K216" s="18" t="str">
        <f>TEXT(Table1[[#This Row],[date]],"mm")</f>
        <v>05</v>
      </c>
      <c r="L216" s="16" t="s">
        <v>86</v>
      </c>
      <c r="M216">
        <v>2020</v>
      </c>
      <c r="N216" t="s">
        <v>47</v>
      </c>
      <c r="O216" t="s">
        <v>83</v>
      </c>
      <c r="P216">
        <v>224</v>
      </c>
      <c r="Q216">
        <f>AVERAGE(Table1[funds_raised_millions])</f>
        <v>470.28289473684208</v>
      </c>
      <c r="R216">
        <f>AVERAGE(Table1[total_laid_off])</f>
        <v>236.96936274509804</v>
      </c>
    </row>
    <row r="217" spans="1:18" x14ac:dyDescent="0.25">
      <c r="A217" s="3" t="s">
        <v>338</v>
      </c>
      <c r="B217" t="s">
        <v>13</v>
      </c>
      <c r="C217" t="s">
        <v>34</v>
      </c>
      <c r="D217">
        <v>200</v>
      </c>
      <c r="E217" t="s">
        <v>15</v>
      </c>
      <c r="F217" s="1" t="str">
        <f>IF(Table1[[#This Row],[percentage_laid_off]]=100%,"1","0")</f>
        <v>0</v>
      </c>
      <c r="G217" t="b">
        <v>0</v>
      </c>
      <c r="H217" s="2">
        <v>43834</v>
      </c>
      <c r="I217" s="2" t="str">
        <f>TEXT(Table1[[#This Row],[date]],"dd")</f>
        <v>04</v>
      </c>
      <c r="J217" s="20">
        <f>DATE(2000,MONTH(Table1[[#This Row],[date]]),1)</f>
        <v>36526</v>
      </c>
      <c r="K217" s="18" t="str">
        <f>TEXT(Table1[[#This Row],[date]],"mm")</f>
        <v>01</v>
      </c>
      <c r="L217" s="16" t="s">
        <v>29</v>
      </c>
      <c r="M217">
        <v>2020</v>
      </c>
      <c r="N217" t="s">
        <v>30</v>
      </c>
      <c r="O217" t="s">
        <v>19</v>
      </c>
      <c r="P217">
        <v>48</v>
      </c>
      <c r="Q217">
        <f>AVERAGE(Table1[funds_raised_millions])</f>
        <v>470.28289473684208</v>
      </c>
      <c r="R217">
        <f>AVERAGE(Table1[total_laid_off])</f>
        <v>236.96936274509804</v>
      </c>
    </row>
    <row r="218" spans="1:18" x14ac:dyDescent="0.25">
      <c r="A218" s="3" t="s">
        <v>339</v>
      </c>
      <c r="B218" t="s">
        <v>55</v>
      </c>
      <c r="C218" t="s">
        <v>41</v>
      </c>
      <c r="D218">
        <v>30</v>
      </c>
      <c r="E218" t="s">
        <v>15</v>
      </c>
      <c r="F218" s="1" t="str">
        <f>IF(Table1[[#This Row],[percentage_laid_off]]=100%,"1","0")</f>
        <v>0</v>
      </c>
      <c r="G218" t="b">
        <v>0</v>
      </c>
      <c r="H218" s="2">
        <v>44949</v>
      </c>
      <c r="I218" s="2" t="str">
        <f>TEXT(Table1[[#This Row],[date]],"dd")</f>
        <v>23</v>
      </c>
      <c r="J218" s="20">
        <f>DATE(2000,MONTH(Table1[[#This Row],[date]]),1)</f>
        <v>36526</v>
      </c>
      <c r="K218" s="18" t="str">
        <f>TEXT(Table1[[#This Row],[date]],"mm")</f>
        <v>01</v>
      </c>
      <c r="L218" s="16" t="s">
        <v>29</v>
      </c>
      <c r="M218">
        <v>2023</v>
      </c>
      <c r="N218" t="s">
        <v>24</v>
      </c>
      <c r="O218" t="s">
        <v>58</v>
      </c>
      <c r="P218">
        <v>23</v>
      </c>
      <c r="Q218">
        <f>AVERAGE(Table1[funds_raised_millions])</f>
        <v>470.28289473684208</v>
      </c>
      <c r="R218">
        <f>AVERAGE(Table1[total_laid_off])</f>
        <v>236.96936274509804</v>
      </c>
    </row>
    <row r="219" spans="1:18" x14ac:dyDescent="0.25">
      <c r="A219" s="3" t="s">
        <v>340</v>
      </c>
      <c r="B219" t="s">
        <v>33</v>
      </c>
      <c r="C219" t="s">
        <v>41</v>
      </c>
      <c r="D219" t="s">
        <v>15</v>
      </c>
      <c r="E219" s="1">
        <v>0.05</v>
      </c>
      <c r="F219" s="1" t="str">
        <f>IF(Table1[[#This Row],[percentage_laid_off]]=100%,"1","0")</f>
        <v>0</v>
      </c>
      <c r="G219" t="s">
        <v>16</v>
      </c>
      <c r="H219" s="2">
        <v>44764</v>
      </c>
      <c r="I219" s="2" t="str">
        <f>TEXT(Table1[[#This Row],[date]],"dd")</f>
        <v>22</v>
      </c>
      <c r="J219" s="20">
        <f>DATE(2000,MONTH(Table1[[#This Row],[date]]),1)</f>
        <v>36708</v>
      </c>
      <c r="K219" s="18" t="str">
        <f>TEXT(Table1[[#This Row],[date]],"mm")</f>
        <v>07</v>
      </c>
      <c r="L219" s="16" t="s">
        <v>17</v>
      </c>
      <c r="M219">
        <v>2022</v>
      </c>
      <c r="N219" t="s">
        <v>30</v>
      </c>
      <c r="O219" t="s">
        <v>19</v>
      </c>
      <c r="P219">
        <v>137</v>
      </c>
      <c r="Q219">
        <f>AVERAGE(Table1[funds_raised_millions])</f>
        <v>470.28289473684208</v>
      </c>
      <c r="R219">
        <f>AVERAGE(Table1[total_laid_off])</f>
        <v>236.96936274509804</v>
      </c>
    </row>
    <row r="220" spans="1:18" x14ac:dyDescent="0.25">
      <c r="A220" s="3" t="s">
        <v>341</v>
      </c>
      <c r="B220" t="s">
        <v>342</v>
      </c>
      <c r="C220" t="s">
        <v>41</v>
      </c>
      <c r="D220">
        <v>70</v>
      </c>
      <c r="E220" s="1">
        <v>0.05</v>
      </c>
      <c r="F220" s="1" t="str">
        <f>IF(Table1[[#This Row],[percentage_laid_off]]=100%,"1","0")</f>
        <v>0</v>
      </c>
      <c r="G220" t="s">
        <v>16</v>
      </c>
      <c r="H220" s="2">
        <v>44810</v>
      </c>
      <c r="I220" s="2" t="str">
        <f>TEXT(Table1[[#This Row],[date]],"dd")</f>
        <v>06</v>
      </c>
      <c r="J220" s="20">
        <f>DATE(2000,MONTH(Table1[[#This Row],[date]]),1)</f>
        <v>36770</v>
      </c>
      <c r="K220" s="18" t="str">
        <f>TEXT(Table1[[#This Row],[date]],"mm")</f>
        <v>09</v>
      </c>
      <c r="L220" s="16" t="s">
        <v>70</v>
      </c>
      <c r="M220">
        <v>2022</v>
      </c>
      <c r="N220" t="s">
        <v>38</v>
      </c>
      <c r="O220" t="s">
        <v>79</v>
      </c>
      <c r="P220">
        <v>56</v>
      </c>
      <c r="Q220">
        <f>AVERAGE(Table1[funds_raised_millions])</f>
        <v>470.28289473684208</v>
      </c>
      <c r="R220">
        <f>AVERAGE(Table1[total_laid_off])</f>
        <v>236.96936274509804</v>
      </c>
    </row>
    <row r="221" spans="1:18" x14ac:dyDescent="0.25">
      <c r="A221" s="3" t="s">
        <v>343</v>
      </c>
      <c r="B221" t="s">
        <v>27</v>
      </c>
      <c r="C221" t="s">
        <v>82</v>
      </c>
      <c r="D221">
        <v>15</v>
      </c>
      <c r="E221" s="1">
        <v>0.2</v>
      </c>
      <c r="F221" s="1" t="str">
        <f>IF(Table1[[#This Row],[percentage_laid_off]]=100%,"1","0")</f>
        <v>0</v>
      </c>
      <c r="G221" t="s">
        <v>28</v>
      </c>
      <c r="H221" s="2">
        <v>43986</v>
      </c>
      <c r="I221" s="2" t="str">
        <f>TEXT(Table1[[#This Row],[date]],"dd")</f>
        <v>04</v>
      </c>
      <c r="J221" s="20">
        <f>DATE(2000,MONTH(Table1[[#This Row],[date]]),1)</f>
        <v>36678</v>
      </c>
      <c r="K221" s="18" t="str">
        <f>TEXT(Table1[[#This Row],[date]],"mm")</f>
        <v>06</v>
      </c>
      <c r="L221" s="16" t="s">
        <v>73</v>
      </c>
      <c r="M221">
        <v>2020</v>
      </c>
      <c r="N221" t="s">
        <v>30</v>
      </c>
      <c r="O221" t="s">
        <v>31</v>
      </c>
      <c r="P221">
        <v>72</v>
      </c>
      <c r="Q221">
        <f>AVERAGE(Table1[funds_raised_millions])</f>
        <v>470.28289473684208</v>
      </c>
      <c r="R221">
        <f>AVERAGE(Table1[total_laid_off])</f>
        <v>236.96936274509804</v>
      </c>
    </row>
    <row r="222" spans="1:18" x14ac:dyDescent="0.25">
      <c r="A222" s="3" t="s">
        <v>344</v>
      </c>
      <c r="B222" t="s">
        <v>13</v>
      </c>
      <c r="C222" t="s">
        <v>41</v>
      </c>
      <c r="D222" t="s">
        <v>15</v>
      </c>
      <c r="E222" s="1">
        <v>0.5</v>
      </c>
      <c r="F222" s="1" t="str">
        <f>IF(Table1[[#This Row],[percentage_laid_off]]=100%,"1","0")</f>
        <v>0</v>
      </c>
      <c r="G222" t="s">
        <v>28</v>
      </c>
      <c r="H222" s="2">
        <v>43872</v>
      </c>
      <c r="I222" s="2" t="str">
        <f>TEXT(Table1[[#This Row],[date]],"dd")</f>
        <v>11</v>
      </c>
      <c r="J222" s="20">
        <f>DATE(2000,MONTH(Table1[[#This Row],[date]]),1)</f>
        <v>36557</v>
      </c>
      <c r="K222" s="18" t="str">
        <f>TEXT(Table1[[#This Row],[date]],"mm")</f>
        <v>02</v>
      </c>
      <c r="L222" s="16" t="s">
        <v>42</v>
      </c>
      <c r="M222">
        <v>2020</v>
      </c>
      <c r="N222" t="s">
        <v>47</v>
      </c>
      <c r="O222" t="s">
        <v>19</v>
      </c>
      <c r="P222">
        <v>102</v>
      </c>
      <c r="Q222">
        <f>AVERAGE(Table1[funds_raised_millions])</f>
        <v>470.28289473684208</v>
      </c>
      <c r="R222">
        <f>AVERAGE(Table1[total_laid_off])</f>
        <v>236.96936274509804</v>
      </c>
    </row>
    <row r="223" spans="1:18" x14ac:dyDescent="0.25">
      <c r="A223" s="3" t="s">
        <v>344</v>
      </c>
      <c r="B223" t="s">
        <v>13</v>
      </c>
      <c r="C223" t="s">
        <v>41</v>
      </c>
      <c r="D223">
        <v>61</v>
      </c>
      <c r="E223" t="s">
        <v>15</v>
      </c>
      <c r="F223" s="1" t="str">
        <f>IF(Table1[[#This Row],[percentage_laid_off]]=100%,"1","0")</f>
        <v>0</v>
      </c>
      <c r="G223" t="b">
        <v>0</v>
      </c>
      <c r="H223" s="2">
        <v>44011</v>
      </c>
      <c r="I223" s="2" t="str">
        <f>TEXT(Table1[[#This Row],[date]],"dd")</f>
        <v>29</v>
      </c>
      <c r="J223" s="20">
        <f>DATE(2000,MONTH(Table1[[#This Row],[date]]),1)</f>
        <v>36678</v>
      </c>
      <c r="K223" s="18" t="str">
        <f>TEXT(Table1[[#This Row],[date]],"mm")</f>
        <v>06</v>
      </c>
      <c r="L223" s="16" t="s">
        <v>73</v>
      </c>
      <c r="M223">
        <v>2020</v>
      </c>
      <c r="N223" t="s">
        <v>47</v>
      </c>
      <c r="O223" t="s">
        <v>19</v>
      </c>
      <c r="P223">
        <v>102</v>
      </c>
      <c r="Q223">
        <f>AVERAGE(Table1[funds_raised_millions])</f>
        <v>470.28289473684208</v>
      </c>
      <c r="R223">
        <f>AVERAGE(Table1[total_laid_off])</f>
        <v>236.96936274509804</v>
      </c>
    </row>
    <row r="224" spans="1:18" x14ac:dyDescent="0.25">
      <c r="A224" s="3" t="s">
        <v>345</v>
      </c>
      <c r="B224" t="s">
        <v>313</v>
      </c>
      <c r="C224" t="s">
        <v>69</v>
      </c>
      <c r="D224">
        <v>40</v>
      </c>
      <c r="E224" s="1">
        <v>0.05</v>
      </c>
      <c r="F224" s="1" t="str">
        <f>IF(Table1[[#This Row],[percentage_laid_off]]=100%,"1","0")</f>
        <v>0</v>
      </c>
      <c r="G224" t="s">
        <v>16</v>
      </c>
      <c r="H224" s="2">
        <v>45078</v>
      </c>
      <c r="I224" s="2" t="str">
        <f>TEXT(Table1[[#This Row],[date]],"dd")</f>
        <v>01</v>
      </c>
      <c r="J224" s="20">
        <f>DATE(2000,MONTH(Table1[[#This Row],[date]]),1)</f>
        <v>36678</v>
      </c>
      <c r="K224" s="18" t="str">
        <f>TEXT(Table1[[#This Row],[date]],"mm")</f>
        <v>06</v>
      </c>
      <c r="L224" s="16" t="s">
        <v>73</v>
      </c>
      <c r="M224">
        <v>2023</v>
      </c>
      <c r="N224" t="s">
        <v>43</v>
      </c>
      <c r="O224" t="s">
        <v>83</v>
      </c>
      <c r="P224">
        <v>214</v>
      </c>
      <c r="Q224">
        <f>AVERAGE(Table1[funds_raised_millions])</f>
        <v>470.28289473684208</v>
      </c>
      <c r="R224">
        <f>AVERAGE(Table1[total_laid_off])</f>
        <v>236.96936274509804</v>
      </c>
    </row>
    <row r="225" spans="1:18" x14ac:dyDescent="0.25">
      <c r="A225" s="3" t="s">
        <v>345</v>
      </c>
      <c r="B225" t="s">
        <v>313</v>
      </c>
      <c r="C225" t="s">
        <v>69</v>
      </c>
      <c r="D225">
        <v>120</v>
      </c>
      <c r="E225" t="s">
        <v>15</v>
      </c>
      <c r="F225" s="1" t="str">
        <f>IF(Table1[[#This Row],[percentage_laid_off]]=100%,"1","0")</f>
        <v>0</v>
      </c>
      <c r="G225" t="b">
        <v>0</v>
      </c>
      <c r="H225" s="2">
        <v>43909</v>
      </c>
      <c r="I225" s="2" t="str">
        <f>TEXT(Table1[[#This Row],[date]],"dd")</f>
        <v>19</v>
      </c>
      <c r="J225" s="20">
        <f>DATE(2000,MONTH(Table1[[#This Row],[date]]),1)</f>
        <v>36586</v>
      </c>
      <c r="K225" s="18" t="str">
        <f>TEXT(Table1[[#This Row],[date]],"mm")</f>
        <v>03</v>
      </c>
      <c r="L225" s="16" t="s">
        <v>57</v>
      </c>
      <c r="M225">
        <v>2020</v>
      </c>
      <c r="N225" t="s">
        <v>43</v>
      </c>
      <c r="O225" t="s">
        <v>83</v>
      </c>
      <c r="P225">
        <v>214</v>
      </c>
      <c r="Q225">
        <f>AVERAGE(Table1[funds_raised_millions])</f>
        <v>470.28289473684208</v>
      </c>
      <c r="R225">
        <f>AVERAGE(Table1[total_laid_off])</f>
        <v>236.96936274509804</v>
      </c>
    </row>
    <row r="226" spans="1:18" x14ac:dyDescent="0.25">
      <c r="A226" s="3" t="s">
        <v>345</v>
      </c>
      <c r="B226" t="s">
        <v>313</v>
      </c>
      <c r="C226" t="s">
        <v>69</v>
      </c>
      <c r="D226">
        <v>130</v>
      </c>
      <c r="E226" s="1">
        <v>0.22</v>
      </c>
      <c r="F226" s="1" t="str">
        <f>IF(Table1[[#This Row],[percentage_laid_off]]=100%,"1","0")</f>
        <v>0</v>
      </c>
      <c r="G226" t="s">
        <v>28</v>
      </c>
      <c r="H226" s="2">
        <v>44011</v>
      </c>
      <c r="I226" s="2" t="str">
        <f>TEXT(Table1[[#This Row],[date]],"dd")</f>
        <v>29</v>
      </c>
      <c r="J226" s="20">
        <f>DATE(2000,MONTH(Table1[[#This Row],[date]]),1)</f>
        <v>36678</v>
      </c>
      <c r="K226" s="18" t="str">
        <f>TEXT(Table1[[#This Row],[date]],"mm")</f>
        <v>06</v>
      </c>
      <c r="L226" s="16" t="s">
        <v>73</v>
      </c>
      <c r="M226">
        <v>2020</v>
      </c>
      <c r="N226" t="s">
        <v>43</v>
      </c>
      <c r="O226" t="s">
        <v>83</v>
      </c>
      <c r="P226">
        <v>214</v>
      </c>
      <c r="Q226">
        <f>AVERAGE(Table1[funds_raised_millions])</f>
        <v>470.28289473684208</v>
      </c>
      <c r="R226">
        <f>AVERAGE(Table1[total_laid_off])</f>
        <v>236.96936274509804</v>
      </c>
    </row>
    <row r="227" spans="1:18" x14ac:dyDescent="0.25">
      <c r="A227" s="3" t="s">
        <v>345</v>
      </c>
      <c r="B227" t="s">
        <v>313</v>
      </c>
      <c r="C227" t="s">
        <v>69</v>
      </c>
      <c r="D227">
        <v>200</v>
      </c>
      <c r="E227" s="1">
        <v>0.4</v>
      </c>
      <c r="F227" s="1" t="str">
        <f>IF(Table1[[#This Row],[percentage_laid_off]]=100%,"1","0")</f>
        <v>0</v>
      </c>
      <c r="G227" t="s">
        <v>28</v>
      </c>
      <c r="H227" s="2">
        <v>44249</v>
      </c>
      <c r="I227" s="2" t="str">
        <f>TEXT(Table1[[#This Row],[date]],"dd")</f>
        <v>22</v>
      </c>
      <c r="J227" s="20">
        <f>DATE(2000,MONTH(Table1[[#This Row],[date]]),1)</f>
        <v>36557</v>
      </c>
      <c r="K227" s="18" t="str">
        <f>TEXT(Table1[[#This Row],[date]],"mm")</f>
        <v>02</v>
      </c>
      <c r="L227" s="16" t="s">
        <v>42</v>
      </c>
      <c r="M227">
        <v>2021</v>
      </c>
      <c r="N227" t="s">
        <v>43</v>
      </c>
      <c r="O227" t="s">
        <v>83</v>
      </c>
      <c r="P227">
        <v>214</v>
      </c>
      <c r="Q227">
        <f>AVERAGE(Table1[funds_raised_millions])</f>
        <v>470.28289473684208</v>
      </c>
      <c r="R227">
        <f>AVERAGE(Table1[total_laid_off])</f>
        <v>236.96936274509804</v>
      </c>
    </row>
    <row r="228" spans="1:18" x14ac:dyDescent="0.25">
      <c r="A228" s="3" t="s">
        <v>346</v>
      </c>
      <c r="B228" t="s">
        <v>40</v>
      </c>
      <c r="C228" t="s">
        <v>22</v>
      </c>
      <c r="D228">
        <v>77</v>
      </c>
      <c r="E228" s="1">
        <v>0.2</v>
      </c>
      <c r="F228" s="1" t="str">
        <f>IF(Table1[[#This Row],[percentage_laid_off]]=100%,"1","0")</f>
        <v>0</v>
      </c>
      <c r="G228" t="s">
        <v>28</v>
      </c>
      <c r="H228" s="2">
        <v>43986</v>
      </c>
      <c r="I228" s="2" t="str">
        <f>TEXT(Table1[[#This Row],[date]],"dd")</f>
        <v>04</v>
      </c>
      <c r="J228" s="20">
        <f>DATE(2000,MONTH(Table1[[#This Row],[date]]),1)</f>
        <v>36678</v>
      </c>
      <c r="K228" s="18" t="str">
        <f>TEXT(Table1[[#This Row],[date]],"mm")</f>
        <v>06</v>
      </c>
      <c r="L228" s="16" t="s">
        <v>73</v>
      </c>
      <c r="M228">
        <v>2020</v>
      </c>
      <c r="N228" t="s">
        <v>30</v>
      </c>
      <c r="O228" t="s">
        <v>19</v>
      </c>
      <c r="P228">
        <v>75</v>
      </c>
      <c r="Q228">
        <f>AVERAGE(Table1[funds_raised_millions])</f>
        <v>470.28289473684208</v>
      </c>
      <c r="R228">
        <f>AVERAGE(Table1[total_laid_off])</f>
        <v>236.96936274509804</v>
      </c>
    </row>
    <row r="229" spans="1:18" x14ac:dyDescent="0.25">
      <c r="A229" s="3" t="s">
        <v>347</v>
      </c>
      <c r="B229" t="s">
        <v>348</v>
      </c>
      <c r="C229" t="s">
        <v>51</v>
      </c>
      <c r="D229">
        <v>25</v>
      </c>
      <c r="E229" t="s">
        <v>15</v>
      </c>
      <c r="F229" s="1" t="str">
        <f>IF(Table1[[#This Row],[percentage_laid_off]]=100%,"1","0")</f>
        <v>0</v>
      </c>
      <c r="G229" t="b">
        <v>0</v>
      </c>
      <c r="H229" s="2">
        <v>44723</v>
      </c>
      <c r="I229" s="2" t="str">
        <f>TEXT(Table1[[#This Row],[date]],"dd")</f>
        <v>11</v>
      </c>
      <c r="J229" s="20">
        <f>DATE(2000,MONTH(Table1[[#This Row],[date]]),1)</f>
        <v>36678</v>
      </c>
      <c r="K229" s="18" t="str">
        <f>TEXT(Table1[[#This Row],[date]],"mm")</f>
        <v>06</v>
      </c>
      <c r="L229" s="16" t="s">
        <v>73</v>
      </c>
      <c r="M229">
        <v>2022</v>
      </c>
      <c r="N229" t="s">
        <v>43</v>
      </c>
      <c r="O229" t="s">
        <v>349</v>
      </c>
      <c r="P229">
        <v>148</v>
      </c>
      <c r="Q229">
        <f>AVERAGE(Table1[funds_raised_millions])</f>
        <v>470.28289473684208</v>
      </c>
      <c r="R229">
        <f>AVERAGE(Table1[total_laid_off])</f>
        <v>236.96936274509804</v>
      </c>
    </row>
    <row r="230" spans="1:18" x14ac:dyDescent="0.25">
      <c r="A230" s="3" t="s">
        <v>350</v>
      </c>
      <c r="B230" t="s">
        <v>40</v>
      </c>
      <c r="C230" t="s">
        <v>41</v>
      </c>
      <c r="D230">
        <v>3</v>
      </c>
      <c r="E230" s="1">
        <v>0.27</v>
      </c>
      <c r="F230" s="1" t="str">
        <f>IF(Table1[[#This Row],[percentage_laid_off]]=100%,"1","0")</f>
        <v>0</v>
      </c>
      <c r="G230" t="s">
        <v>28</v>
      </c>
      <c r="H230" s="2">
        <v>44141</v>
      </c>
      <c r="I230" s="2" t="str">
        <f>TEXT(Table1[[#This Row],[date]],"dd")</f>
        <v>06</v>
      </c>
      <c r="J230" s="20">
        <f>DATE(2000,MONTH(Table1[[#This Row],[date]]),1)</f>
        <v>36831</v>
      </c>
      <c r="K230" s="18" t="str">
        <f>TEXT(Table1[[#This Row],[date]],"mm")</f>
        <v>11</v>
      </c>
      <c r="L230" s="16" t="s">
        <v>23</v>
      </c>
      <c r="M230">
        <v>2020</v>
      </c>
      <c r="N230" t="s">
        <v>139</v>
      </c>
      <c r="O230" t="s">
        <v>19</v>
      </c>
      <c r="P230">
        <v>2</v>
      </c>
      <c r="Q230">
        <f>AVERAGE(Table1[funds_raised_millions])</f>
        <v>470.28289473684208</v>
      </c>
      <c r="R230">
        <f>AVERAGE(Table1[total_laid_off])</f>
        <v>236.96936274509804</v>
      </c>
    </row>
    <row r="231" spans="1:18" x14ac:dyDescent="0.25">
      <c r="A231" s="3" t="s">
        <v>351</v>
      </c>
      <c r="B231" t="s">
        <v>13</v>
      </c>
      <c r="C231" t="s">
        <v>22</v>
      </c>
      <c r="D231">
        <v>100</v>
      </c>
      <c r="E231" s="1">
        <v>0.2</v>
      </c>
      <c r="F231" s="1" t="str">
        <f>IF(Table1[[#This Row],[percentage_laid_off]]=100%,"1","0")</f>
        <v>0</v>
      </c>
      <c r="G231" t="s">
        <v>28</v>
      </c>
      <c r="H231" s="2">
        <v>44016</v>
      </c>
      <c r="I231" s="2" t="str">
        <f>TEXT(Table1[[#This Row],[date]],"dd")</f>
        <v>04</v>
      </c>
      <c r="J231" s="20">
        <f>DATE(2000,MONTH(Table1[[#This Row],[date]]),1)</f>
        <v>36708</v>
      </c>
      <c r="K231" s="18" t="str">
        <f>TEXT(Table1[[#This Row],[date]],"mm")</f>
        <v>07</v>
      </c>
      <c r="L231" s="16" t="s">
        <v>17</v>
      </c>
      <c r="M231">
        <v>2020</v>
      </c>
      <c r="N231" t="s">
        <v>18</v>
      </c>
      <c r="O231" t="s">
        <v>19</v>
      </c>
      <c r="P231">
        <v>367</v>
      </c>
      <c r="Q231">
        <f>AVERAGE(Table1[funds_raised_millions])</f>
        <v>470.28289473684208</v>
      </c>
      <c r="R231">
        <f>AVERAGE(Table1[total_laid_off])</f>
        <v>236.96936274509804</v>
      </c>
    </row>
    <row r="232" spans="1:18" x14ac:dyDescent="0.25">
      <c r="A232" s="3" t="s">
        <v>352</v>
      </c>
      <c r="B232" t="s">
        <v>85</v>
      </c>
      <c r="C232" t="s">
        <v>14</v>
      </c>
      <c r="D232">
        <v>40</v>
      </c>
      <c r="E232" s="1">
        <v>0.33</v>
      </c>
      <c r="F232" s="1" t="str">
        <f>IF(Table1[[#This Row],[percentage_laid_off]]=100%,"1","0")</f>
        <v>0</v>
      </c>
      <c r="G232" t="s">
        <v>28</v>
      </c>
      <c r="H232" s="2">
        <v>44721</v>
      </c>
      <c r="I232" s="2" t="str">
        <f>TEXT(Table1[[#This Row],[date]],"dd")</f>
        <v>09</v>
      </c>
      <c r="J232" s="20">
        <f>DATE(2000,MONTH(Table1[[#This Row],[date]]),1)</f>
        <v>36678</v>
      </c>
      <c r="K232" s="18" t="str">
        <f>TEXT(Table1[[#This Row],[date]],"mm")</f>
        <v>06</v>
      </c>
      <c r="L232" s="16" t="s">
        <v>73</v>
      </c>
      <c r="M232">
        <v>2022</v>
      </c>
      <c r="N232" t="s">
        <v>30</v>
      </c>
      <c r="O232" t="s">
        <v>19</v>
      </c>
      <c r="P232">
        <v>42</v>
      </c>
      <c r="Q232">
        <f>AVERAGE(Table1[funds_raised_millions])</f>
        <v>470.28289473684208</v>
      </c>
      <c r="R232">
        <f>AVERAGE(Table1[total_laid_off])</f>
        <v>236.96936274509804</v>
      </c>
    </row>
    <row r="233" spans="1:18" x14ac:dyDescent="0.25">
      <c r="A233" s="3" t="s">
        <v>353</v>
      </c>
      <c r="B233" t="s">
        <v>354</v>
      </c>
      <c r="C233" t="s">
        <v>14</v>
      </c>
      <c r="D233">
        <v>50</v>
      </c>
      <c r="E233" s="1">
        <v>0.33</v>
      </c>
      <c r="F233" s="1" t="str">
        <f>IF(Table1[[#This Row],[percentage_laid_off]]=100%,"1","0")</f>
        <v>0</v>
      </c>
      <c r="G233" t="s">
        <v>28</v>
      </c>
      <c r="H233" s="2">
        <v>44726</v>
      </c>
      <c r="I233" s="2" t="str">
        <f>TEXT(Table1[[#This Row],[date]],"dd")</f>
        <v>14</v>
      </c>
      <c r="J233" s="20">
        <f>DATE(2000,MONTH(Table1[[#This Row],[date]]),1)</f>
        <v>36678</v>
      </c>
      <c r="K233" s="18" t="str">
        <f>TEXT(Table1[[#This Row],[date]],"mm")</f>
        <v>06</v>
      </c>
      <c r="L233" s="16" t="s">
        <v>73</v>
      </c>
      <c r="M233">
        <v>2022</v>
      </c>
      <c r="N233" t="s">
        <v>24</v>
      </c>
      <c r="O233" t="s">
        <v>83</v>
      </c>
      <c r="P233">
        <v>6</v>
      </c>
      <c r="Q233">
        <f>AVERAGE(Table1[funds_raised_millions])</f>
        <v>470.28289473684208</v>
      </c>
      <c r="R233">
        <f>AVERAGE(Table1[total_laid_off])</f>
        <v>236.96936274509804</v>
      </c>
    </row>
    <row r="234" spans="1:18" x14ac:dyDescent="0.25">
      <c r="A234" s="3" t="s">
        <v>355</v>
      </c>
      <c r="B234" t="s">
        <v>142</v>
      </c>
      <c r="C234" t="s">
        <v>174</v>
      </c>
      <c r="D234">
        <v>120</v>
      </c>
      <c r="E234" s="1">
        <v>0.8</v>
      </c>
      <c r="F234" s="1" t="str">
        <f>IF(Table1[[#This Row],[percentage_laid_off]]=100%,"1","0")</f>
        <v>0</v>
      </c>
      <c r="G234" t="s">
        <v>114</v>
      </c>
      <c r="H234" s="2">
        <v>44181</v>
      </c>
      <c r="I234" s="2" t="str">
        <f>TEXT(Table1[[#This Row],[date]],"dd")</f>
        <v>16</v>
      </c>
      <c r="J234" s="20">
        <f>DATE(2000,MONTH(Table1[[#This Row],[date]]),1)</f>
        <v>36861</v>
      </c>
      <c r="K234" s="18" t="str">
        <f>TEXT(Table1[[#This Row],[date]],"mm")</f>
        <v>12</v>
      </c>
      <c r="L234" s="16" t="s">
        <v>61</v>
      </c>
      <c r="M234">
        <v>2020</v>
      </c>
      <c r="N234" t="s">
        <v>43</v>
      </c>
      <c r="O234" t="s">
        <v>31</v>
      </c>
      <c r="P234">
        <v>131</v>
      </c>
      <c r="Q234">
        <f>AVERAGE(Table1[funds_raised_millions])</f>
        <v>470.28289473684208</v>
      </c>
      <c r="R234">
        <f>AVERAGE(Table1[total_laid_off])</f>
        <v>236.96936274509804</v>
      </c>
    </row>
    <row r="235" spans="1:18" x14ac:dyDescent="0.25">
      <c r="A235" s="3" t="s">
        <v>356</v>
      </c>
      <c r="B235" t="s">
        <v>13</v>
      </c>
      <c r="C235" t="s">
        <v>82</v>
      </c>
      <c r="D235">
        <v>62</v>
      </c>
      <c r="E235" s="1">
        <v>0.15</v>
      </c>
      <c r="F235" s="1" t="str">
        <f>IF(Table1[[#This Row],[percentage_laid_off]]=100%,"1","0")</f>
        <v>0</v>
      </c>
      <c r="G235" t="s">
        <v>28</v>
      </c>
      <c r="H235" s="2">
        <v>43980</v>
      </c>
      <c r="I235" s="2" t="str">
        <f>TEXT(Table1[[#This Row],[date]],"dd")</f>
        <v>29</v>
      </c>
      <c r="J235" s="20">
        <f>DATE(2000,MONTH(Table1[[#This Row],[date]]),1)</f>
        <v>36647</v>
      </c>
      <c r="K235" s="18" t="str">
        <f>TEXT(Table1[[#This Row],[date]],"mm")</f>
        <v>05</v>
      </c>
      <c r="L235" s="16" t="s">
        <v>86</v>
      </c>
      <c r="M235">
        <v>2020</v>
      </c>
      <c r="N235" t="s">
        <v>35</v>
      </c>
      <c r="O235" t="s">
        <v>19</v>
      </c>
      <c r="P235">
        <v>732</v>
      </c>
      <c r="Q235">
        <f>AVERAGE(Table1[funds_raised_millions])</f>
        <v>470.28289473684208</v>
      </c>
      <c r="R235">
        <f>AVERAGE(Table1[total_laid_off])</f>
        <v>236.96936274509804</v>
      </c>
    </row>
    <row r="236" spans="1:18" x14ac:dyDescent="0.25">
      <c r="A236" s="3" t="s">
        <v>356</v>
      </c>
      <c r="B236" t="s">
        <v>13</v>
      </c>
      <c r="C236" t="s">
        <v>82</v>
      </c>
      <c r="D236">
        <v>136</v>
      </c>
      <c r="E236" s="1">
        <v>0.11</v>
      </c>
      <c r="F236" s="1" t="str">
        <f>IF(Table1[[#This Row],[percentage_laid_off]]=100%,"1","0")</f>
        <v>0</v>
      </c>
      <c r="G236" t="s">
        <v>28</v>
      </c>
      <c r="H236" s="2">
        <v>44875</v>
      </c>
      <c r="I236" s="2" t="str">
        <f>TEXT(Table1[[#This Row],[date]],"dd")</f>
        <v>10</v>
      </c>
      <c r="J236" s="20">
        <f>DATE(2000,MONTH(Table1[[#This Row],[date]]),1)</f>
        <v>36831</v>
      </c>
      <c r="K236" s="18" t="str">
        <f>TEXT(Table1[[#This Row],[date]],"mm")</f>
        <v>11</v>
      </c>
      <c r="L236" s="16" t="s">
        <v>23</v>
      </c>
      <c r="M236">
        <v>2022</v>
      </c>
      <c r="N236" t="s">
        <v>43</v>
      </c>
      <c r="O236" t="s">
        <v>19</v>
      </c>
      <c r="P236">
        <v>1500</v>
      </c>
      <c r="Q236">
        <f>AVERAGE(Table1[funds_raised_millions])</f>
        <v>470.28289473684208</v>
      </c>
      <c r="R236">
        <f>AVERAGE(Table1[total_laid_off])</f>
        <v>236.96936274509804</v>
      </c>
    </row>
    <row r="237" spans="1:18" x14ac:dyDescent="0.25">
      <c r="A237" s="3" t="s">
        <v>357</v>
      </c>
      <c r="B237" t="s">
        <v>358</v>
      </c>
      <c r="C237" t="s">
        <v>14</v>
      </c>
      <c r="D237">
        <v>154</v>
      </c>
      <c r="E237" s="1">
        <v>1</v>
      </c>
      <c r="F237" s="1" t="str">
        <f>IF(Table1[[#This Row],[percentage_laid_off]]=100%,"1","0")</f>
        <v>1</v>
      </c>
      <c r="G237" t="s">
        <v>114</v>
      </c>
      <c r="H237" s="2">
        <v>44152</v>
      </c>
      <c r="I237" s="2" t="str">
        <f>TEXT(Table1[[#This Row],[date]],"dd")</f>
        <v>17</v>
      </c>
      <c r="J237" s="20">
        <f>DATE(2000,MONTH(Table1[[#This Row],[date]]),1)</f>
        <v>36831</v>
      </c>
      <c r="K237" s="18" t="str">
        <f>TEXT(Table1[[#This Row],[date]],"mm")</f>
        <v>11</v>
      </c>
      <c r="L237" s="16" t="s">
        <v>23</v>
      </c>
      <c r="M237">
        <v>2020</v>
      </c>
      <c r="N237" t="s">
        <v>30</v>
      </c>
      <c r="O237" t="s">
        <v>19</v>
      </c>
      <c r="P237">
        <v>45</v>
      </c>
      <c r="Q237">
        <f>AVERAGE(Table1[funds_raised_millions])</f>
        <v>470.28289473684208</v>
      </c>
      <c r="R237">
        <f>AVERAGE(Table1[total_laid_off])</f>
        <v>236.96936274509804</v>
      </c>
    </row>
    <row r="238" spans="1:18" x14ac:dyDescent="0.25">
      <c r="A238" s="3" t="s">
        <v>359</v>
      </c>
      <c r="B238" t="s">
        <v>185</v>
      </c>
      <c r="C238" t="s">
        <v>360</v>
      </c>
      <c r="D238">
        <v>13</v>
      </c>
      <c r="E238" s="1">
        <v>0.13</v>
      </c>
      <c r="F238" s="1" t="str">
        <f>IF(Table1[[#This Row],[percentage_laid_off]]=100%,"1","0")</f>
        <v>0</v>
      </c>
      <c r="G238" t="s">
        <v>28</v>
      </c>
      <c r="H238" s="2">
        <v>44724</v>
      </c>
      <c r="I238" s="2" t="str">
        <f>TEXT(Table1[[#This Row],[date]],"dd")</f>
        <v>12</v>
      </c>
      <c r="J238" s="20">
        <f>DATE(2000,MONTH(Table1[[#This Row],[date]]),1)</f>
        <v>36678</v>
      </c>
      <c r="K238" s="18" t="str">
        <f>TEXT(Table1[[#This Row],[date]],"mm")</f>
        <v>06</v>
      </c>
      <c r="L238" s="16" t="s">
        <v>73</v>
      </c>
      <c r="M238">
        <v>2022</v>
      </c>
      <c r="N238" t="s">
        <v>30</v>
      </c>
      <c r="O238" t="s">
        <v>31</v>
      </c>
      <c r="P238">
        <v>36</v>
      </c>
      <c r="Q238">
        <f>AVERAGE(Table1[funds_raised_millions])</f>
        <v>470.28289473684208</v>
      </c>
      <c r="R238">
        <f>AVERAGE(Table1[total_laid_off])</f>
        <v>236.96936274509804</v>
      </c>
    </row>
    <row r="239" spans="1:18" x14ac:dyDescent="0.25">
      <c r="A239" s="3" t="s">
        <v>361</v>
      </c>
      <c r="B239" t="s">
        <v>13</v>
      </c>
      <c r="C239" t="s">
        <v>89</v>
      </c>
      <c r="D239">
        <v>30</v>
      </c>
      <c r="E239" s="1">
        <v>0.08</v>
      </c>
      <c r="F239" s="1" t="str">
        <f>IF(Table1[[#This Row],[percentage_laid_off]]=100%,"1","0")</f>
        <v>0</v>
      </c>
      <c r="G239" t="s">
        <v>16</v>
      </c>
      <c r="H239" s="2">
        <v>44740</v>
      </c>
      <c r="I239" s="2" t="str">
        <f>TEXT(Table1[[#This Row],[date]],"dd")</f>
        <v>28</v>
      </c>
      <c r="J239" s="20">
        <f>DATE(2000,MONTH(Table1[[#This Row],[date]]),1)</f>
        <v>36678</v>
      </c>
      <c r="K239" s="18" t="str">
        <f>TEXT(Table1[[#This Row],[date]],"mm")</f>
        <v>06</v>
      </c>
      <c r="L239" s="16" t="s">
        <v>73</v>
      </c>
      <c r="M239">
        <v>2022</v>
      </c>
      <c r="N239" t="s">
        <v>47</v>
      </c>
      <c r="O239" t="s">
        <v>172</v>
      </c>
      <c r="P239">
        <v>250</v>
      </c>
      <c r="Q239">
        <f>AVERAGE(Table1[funds_raised_millions])</f>
        <v>470.28289473684208</v>
      </c>
      <c r="R239">
        <f>AVERAGE(Table1[total_laid_off])</f>
        <v>236.96936274509804</v>
      </c>
    </row>
    <row r="240" spans="1:18" x14ac:dyDescent="0.25">
      <c r="A240" s="3" t="s">
        <v>362</v>
      </c>
      <c r="B240" t="s">
        <v>313</v>
      </c>
      <c r="C240" t="s">
        <v>82</v>
      </c>
      <c r="D240">
        <v>100</v>
      </c>
      <c r="E240" s="1">
        <v>0.5</v>
      </c>
      <c r="F240" s="1" t="str">
        <f>IF(Table1[[#This Row],[percentage_laid_off]]=100%,"1","0")</f>
        <v>0</v>
      </c>
      <c r="G240" t="s">
        <v>28</v>
      </c>
      <c r="H240" s="2">
        <v>44757</v>
      </c>
      <c r="I240" s="2" t="str">
        <f>TEXT(Table1[[#This Row],[date]],"dd")</f>
        <v>15</v>
      </c>
      <c r="J240" s="20">
        <f>DATE(2000,MONTH(Table1[[#This Row],[date]]),1)</f>
        <v>36708</v>
      </c>
      <c r="K240" s="18" t="str">
        <f>TEXT(Table1[[#This Row],[date]],"mm")</f>
        <v>07</v>
      </c>
      <c r="L240" s="16" t="s">
        <v>17</v>
      </c>
      <c r="M240">
        <v>2022</v>
      </c>
      <c r="N240" t="s">
        <v>24</v>
      </c>
      <c r="O240" t="s">
        <v>83</v>
      </c>
      <c r="P240">
        <v>31</v>
      </c>
      <c r="Q240">
        <f>AVERAGE(Table1[funds_raised_millions])</f>
        <v>470.28289473684208</v>
      </c>
      <c r="R240">
        <f>AVERAGE(Table1[total_laid_off])</f>
        <v>236.96936274509804</v>
      </c>
    </row>
    <row r="241" spans="1:18" x14ac:dyDescent="0.25">
      <c r="A241" s="3" t="s">
        <v>363</v>
      </c>
      <c r="B241" t="s">
        <v>55</v>
      </c>
      <c r="C241" t="s">
        <v>56</v>
      </c>
      <c r="D241">
        <v>30</v>
      </c>
      <c r="E241" s="1">
        <v>0.15</v>
      </c>
      <c r="F241" s="1" t="str">
        <f>IF(Table1[[#This Row],[percentage_laid_off]]=100%,"1","0")</f>
        <v>0</v>
      </c>
      <c r="G241" t="s">
        <v>28</v>
      </c>
      <c r="H241" s="2">
        <v>44732</v>
      </c>
      <c r="I241" s="2" t="str">
        <f>TEXT(Table1[[#This Row],[date]],"dd")</f>
        <v>20</v>
      </c>
      <c r="J241" s="20">
        <f>DATE(2000,MONTH(Table1[[#This Row],[date]]),1)</f>
        <v>36678</v>
      </c>
      <c r="K241" s="18" t="str">
        <f>TEXT(Table1[[#This Row],[date]],"mm")</f>
        <v>06</v>
      </c>
      <c r="L241" s="16" t="s">
        <v>73</v>
      </c>
      <c r="M241">
        <v>2022</v>
      </c>
      <c r="N241" t="s">
        <v>35</v>
      </c>
      <c r="O241" t="s">
        <v>58</v>
      </c>
      <c r="P241">
        <v>145</v>
      </c>
      <c r="Q241">
        <f>AVERAGE(Table1[funds_raised_millions])</f>
        <v>470.28289473684208</v>
      </c>
      <c r="R241">
        <f>AVERAGE(Table1[total_laid_off])</f>
        <v>236.96936274509804</v>
      </c>
    </row>
    <row r="242" spans="1:18" x14ac:dyDescent="0.25">
      <c r="A242" s="3" t="s">
        <v>363</v>
      </c>
      <c r="B242" t="s">
        <v>55</v>
      </c>
      <c r="C242" t="s">
        <v>56</v>
      </c>
      <c r="D242">
        <v>58</v>
      </c>
      <c r="E242" t="s">
        <v>15</v>
      </c>
      <c r="F242" s="1" t="str">
        <f>IF(Table1[[#This Row],[percentage_laid_off]]=100%,"1","0")</f>
        <v>0</v>
      </c>
      <c r="G242" t="b">
        <v>0</v>
      </c>
      <c r="H242" s="2">
        <v>44813</v>
      </c>
      <c r="I242" s="2" t="str">
        <f>TEXT(Table1[[#This Row],[date]],"dd")</f>
        <v>09</v>
      </c>
      <c r="J242" s="20">
        <f>DATE(2000,MONTH(Table1[[#This Row],[date]]),1)</f>
        <v>36770</v>
      </c>
      <c r="K242" s="18" t="str">
        <f>TEXT(Table1[[#This Row],[date]],"mm")</f>
        <v>09</v>
      </c>
      <c r="L242" s="16" t="s">
        <v>70</v>
      </c>
      <c r="M242">
        <v>2022</v>
      </c>
      <c r="N242" t="s">
        <v>35</v>
      </c>
      <c r="O242" t="s">
        <v>58</v>
      </c>
      <c r="P242">
        <v>145</v>
      </c>
      <c r="Q242">
        <f>AVERAGE(Table1[funds_raised_millions])</f>
        <v>470.28289473684208</v>
      </c>
      <c r="R242">
        <f>AVERAGE(Table1[total_laid_off])</f>
        <v>236.96936274509804</v>
      </c>
    </row>
    <row r="243" spans="1:18" x14ac:dyDescent="0.25">
      <c r="A243" s="3" t="s">
        <v>364</v>
      </c>
      <c r="B243" t="s">
        <v>13</v>
      </c>
      <c r="C243" t="s">
        <v>14</v>
      </c>
      <c r="D243" t="s">
        <v>15</v>
      </c>
      <c r="E243" s="1">
        <v>0.2</v>
      </c>
      <c r="F243" s="1" t="str">
        <f>IF(Table1[[#This Row],[percentage_laid_off]]=100%,"1","0")</f>
        <v>0</v>
      </c>
      <c r="G243" t="s">
        <v>28</v>
      </c>
      <c r="H243" s="2">
        <v>44572</v>
      </c>
      <c r="I243" s="2" t="str">
        <f>TEXT(Table1[[#This Row],[date]],"dd")</f>
        <v>11</v>
      </c>
      <c r="J243" s="20">
        <f>DATE(2000,MONTH(Table1[[#This Row],[date]]),1)</f>
        <v>36526</v>
      </c>
      <c r="K243" s="18" t="str">
        <f>TEXT(Table1[[#This Row],[date]],"mm")</f>
        <v>01</v>
      </c>
      <c r="L243" s="16" t="s">
        <v>29</v>
      </c>
      <c r="M243">
        <v>2022</v>
      </c>
      <c r="N243" t="s">
        <v>35</v>
      </c>
      <c r="O243" t="s">
        <v>19</v>
      </c>
      <c r="P243">
        <v>212</v>
      </c>
      <c r="Q243">
        <f>AVERAGE(Table1[funds_raised_millions])</f>
        <v>470.28289473684208</v>
      </c>
      <c r="R243">
        <f>AVERAGE(Table1[total_laid_off])</f>
        <v>236.96936274509804</v>
      </c>
    </row>
    <row r="244" spans="1:18" x14ac:dyDescent="0.25">
      <c r="A244" s="3" t="s">
        <v>365</v>
      </c>
      <c r="B244" t="s">
        <v>170</v>
      </c>
      <c r="C244" t="s">
        <v>120</v>
      </c>
      <c r="D244">
        <v>10</v>
      </c>
      <c r="E244" s="1">
        <v>0.1</v>
      </c>
      <c r="F244" s="1" t="str">
        <f>IF(Table1[[#This Row],[percentage_laid_off]]=100%,"1","0")</f>
        <v>0</v>
      </c>
      <c r="G244" t="s">
        <v>16</v>
      </c>
      <c r="H244" s="2">
        <v>43942</v>
      </c>
      <c r="I244" s="2" t="str">
        <f>TEXT(Table1[[#This Row],[date]],"dd")</f>
        <v>21</v>
      </c>
      <c r="J244" s="20">
        <f>DATE(2000,MONTH(Table1[[#This Row],[date]]),1)</f>
        <v>36617</v>
      </c>
      <c r="K244" s="18" t="str">
        <f>TEXT(Table1[[#This Row],[date]],"mm")</f>
        <v>04</v>
      </c>
      <c r="L244" s="16" t="s">
        <v>37</v>
      </c>
      <c r="M244">
        <v>2020</v>
      </c>
      <c r="N244" t="s">
        <v>43</v>
      </c>
      <c r="O244" t="s">
        <v>172</v>
      </c>
      <c r="P244">
        <v>84</v>
      </c>
      <c r="Q244">
        <f>AVERAGE(Table1[funds_raised_millions])</f>
        <v>470.28289473684208</v>
      </c>
      <c r="R244">
        <f>AVERAGE(Table1[total_laid_off])</f>
        <v>236.96936274509804</v>
      </c>
    </row>
    <row r="245" spans="1:18" x14ac:dyDescent="0.25">
      <c r="A245" s="3" t="s">
        <v>366</v>
      </c>
      <c r="B245" t="s">
        <v>199</v>
      </c>
      <c r="C245" t="s">
        <v>69</v>
      </c>
      <c r="D245">
        <v>206</v>
      </c>
      <c r="E245" s="1">
        <v>1</v>
      </c>
      <c r="F245" s="1" t="str">
        <f>IF(Table1[[#This Row],[percentage_laid_off]]=100%,"1","0")</f>
        <v>1</v>
      </c>
      <c r="G245" t="s">
        <v>114</v>
      </c>
      <c r="H245" s="2">
        <v>44943</v>
      </c>
      <c r="I245" s="2" t="str">
        <f>TEXT(Table1[[#This Row],[date]],"dd")</f>
        <v>17</v>
      </c>
      <c r="J245" s="20">
        <f>DATE(2000,MONTH(Table1[[#This Row],[date]]),1)</f>
        <v>36526</v>
      </c>
      <c r="K245" s="18" t="str">
        <f>TEXT(Table1[[#This Row],[date]],"mm")</f>
        <v>01</v>
      </c>
      <c r="L245" s="16" t="s">
        <v>29</v>
      </c>
      <c r="M245">
        <v>2023</v>
      </c>
      <c r="N245" t="s">
        <v>47</v>
      </c>
      <c r="O245" t="s">
        <v>200</v>
      </c>
      <c r="P245">
        <v>2400</v>
      </c>
      <c r="Q245">
        <f>AVERAGE(Table1[funds_raised_millions])</f>
        <v>470.28289473684208</v>
      </c>
      <c r="R245">
        <f>AVERAGE(Table1[total_laid_off])</f>
        <v>236.96936274509804</v>
      </c>
    </row>
    <row r="246" spans="1:18" x14ac:dyDescent="0.25">
      <c r="A246" s="3" t="s">
        <v>367</v>
      </c>
      <c r="B246" t="s">
        <v>27</v>
      </c>
      <c r="C246" t="s">
        <v>82</v>
      </c>
      <c r="D246">
        <v>26</v>
      </c>
      <c r="E246" s="1">
        <v>0.4</v>
      </c>
      <c r="F246" s="1" t="str">
        <f>IF(Table1[[#This Row],[percentage_laid_off]]=100%,"1","0")</f>
        <v>0</v>
      </c>
      <c r="G246" t="s">
        <v>28</v>
      </c>
      <c r="H246" s="2">
        <v>44915</v>
      </c>
      <c r="I246" s="2" t="str">
        <f>TEXT(Table1[[#This Row],[date]],"dd")</f>
        <v>20</v>
      </c>
      <c r="J246" s="20">
        <f>DATE(2000,MONTH(Table1[[#This Row],[date]]),1)</f>
        <v>36861</v>
      </c>
      <c r="K246" s="18" t="str">
        <f>TEXT(Table1[[#This Row],[date]],"mm")</f>
        <v>12</v>
      </c>
      <c r="L246" s="16" t="s">
        <v>61</v>
      </c>
      <c r="M246">
        <v>2022</v>
      </c>
      <c r="N246" t="s">
        <v>24</v>
      </c>
      <c r="O246" t="s">
        <v>31</v>
      </c>
      <c r="P246">
        <v>10</v>
      </c>
      <c r="Q246">
        <f>AVERAGE(Table1[funds_raised_millions])</f>
        <v>470.28289473684208</v>
      </c>
      <c r="R246">
        <f>AVERAGE(Table1[total_laid_off])</f>
        <v>236.96936274509804</v>
      </c>
    </row>
    <row r="247" spans="1:18" x14ac:dyDescent="0.25">
      <c r="A247" s="3" t="s">
        <v>368</v>
      </c>
      <c r="B247" t="s">
        <v>170</v>
      </c>
      <c r="C247" t="s">
        <v>161</v>
      </c>
      <c r="D247" t="s">
        <v>15</v>
      </c>
      <c r="E247" s="1">
        <v>1</v>
      </c>
      <c r="F247" s="1" t="str">
        <f>IF(Table1[[#This Row],[percentage_laid_off]]=100%,"1","0")</f>
        <v>1</v>
      </c>
      <c r="G247" t="s">
        <v>114</v>
      </c>
      <c r="H247" s="2">
        <v>44816</v>
      </c>
      <c r="I247" s="2" t="str">
        <f>TEXT(Table1[[#This Row],[date]],"dd")</f>
        <v>12</v>
      </c>
      <c r="J247" s="20">
        <f>DATE(2000,MONTH(Table1[[#This Row],[date]]),1)</f>
        <v>36770</v>
      </c>
      <c r="K247" s="18" t="str">
        <f>TEXT(Table1[[#This Row],[date]],"mm")</f>
        <v>09</v>
      </c>
      <c r="L247" s="16" t="s">
        <v>70</v>
      </c>
      <c r="M247">
        <v>2022</v>
      </c>
      <c r="N247" t="s">
        <v>24</v>
      </c>
      <c r="O247" t="s">
        <v>172</v>
      </c>
      <c r="P247">
        <v>25</v>
      </c>
      <c r="Q247">
        <f>AVERAGE(Table1[funds_raised_millions])</f>
        <v>470.28289473684208</v>
      </c>
      <c r="R247">
        <f>AVERAGE(Table1[total_laid_off])</f>
        <v>236.96936274509804</v>
      </c>
    </row>
    <row r="248" spans="1:18" x14ac:dyDescent="0.25">
      <c r="A248" s="3" t="s">
        <v>369</v>
      </c>
      <c r="B248" t="s">
        <v>94</v>
      </c>
      <c r="C248" t="s">
        <v>123</v>
      </c>
      <c r="D248">
        <v>100</v>
      </c>
      <c r="E248" s="1">
        <v>0.3</v>
      </c>
      <c r="F248" s="1" t="str">
        <f>IF(Table1[[#This Row],[percentage_laid_off]]=100%,"1","0")</f>
        <v>0</v>
      </c>
      <c r="G248" t="s">
        <v>28</v>
      </c>
      <c r="H248" s="2">
        <v>44755</v>
      </c>
      <c r="I248" s="2" t="str">
        <f>TEXT(Table1[[#This Row],[date]],"dd")</f>
        <v>13</v>
      </c>
      <c r="J248" s="20">
        <f>DATE(2000,MONTH(Table1[[#This Row],[date]]),1)</f>
        <v>36708</v>
      </c>
      <c r="K248" s="18" t="str">
        <f>TEXT(Table1[[#This Row],[date]],"mm")</f>
        <v>07</v>
      </c>
      <c r="L248" s="16" t="s">
        <v>17</v>
      </c>
      <c r="M248">
        <v>2022</v>
      </c>
      <c r="N248" t="s">
        <v>30</v>
      </c>
      <c r="O248" t="s">
        <v>96</v>
      </c>
      <c r="P248">
        <v>89</v>
      </c>
      <c r="Q248">
        <f>AVERAGE(Table1[funds_raised_millions])</f>
        <v>470.28289473684208</v>
      </c>
      <c r="R248">
        <f>AVERAGE(Table1[total_laid_off])</f>
        <v>236.96936274509804</v>
      </c>
    </row>
    <row r="249" spans="1:18" x14ac:dyDescent="0.25">
      <c r="A249" s="3" t="s">
        <v>370</v>
      </c>
      <c r="B249" t="s">
        <v>371</v>
      </c>
      <c r="C249" t="s">
        <v>46</v>
      </c>
      <c r="D249">
        <v>80</v>
      </c>
      <c r="E249" s="1">
        <v>0.45</v>
      </c>
      <c r="F249" s="1" t="str">
        <f>IF(Table1[[#This Row],[percentage_laid_off]]=100%,"1","0")</f>
        <v>0</v>
      </c>
      <c r="G249" t="s">
        <v>28</v>
      </c>
      <c r="H249" s="2">
        <v>44704</v>
      </c>
      <c r="I249" s="2" t="str">
        <f>TEXT(Table1[[#This Row],[date]],"dd")</f>
        <v>23</v>
      </c>
      <c r="J249" s="20">
        <f>DATE(2000,MONTH(Table1[[#This Row],[date]]),1)</f>
        <v>36647</v>
      </c>
      <c r="K249" s="18" t="str">
        <f>TEXT(Table1[[#This Row],[date]],"mm")</f>
        <v>05</v>
      </c>
      <c r="L249" s="16" t="s">
        <v>86</v>
      </c>
      <c r="M249">
        <v>2022</v>
      </c>
      <c r="N249" t="s">
        <v>24</v>
      </c>
      <c r="O249" t="s">
        <v>372</v>
      </c>
      <c r="P249">
        <v>11</v>
      </c>
      <c r="Q249">
        <f>AVERAGE(Table1[funds_raised_millions])</f>
        <v>470.28289473684208</v>
      </c>
      <c r="R249">
        <f>AVERAGE(Table1[total_laid_off])</f>
        <v>236.96936274509804</v>
      </c>
    </row>
    <row r="250" spans="1:18" x14ac:dyDescent="0.25">
      <c r="A250" s="3" t="s">
        <v>373</v>
      </c>
      <c r="B250" t="s">
        <v>33</v>
      </c>
      <c r="C250" t="s">
        <v>123</v>
      </c>
      <c r="D250">
        <v>39</v>
      </c>
      <c r="E250" s="1">
        <v>0.14000000000000001</v>
      </c>
      <c r="F250" s="1" t="str">
        <f>IF(Table1[[#This Row],[percentage_laid_off]]=100%,"1","0")</f>
        <v>0</v>
      </c>
      <c r="G250" t="s">
        <v>28</v>
      </c>
      <c r="H250" s="2">
        <v>43927</v>
      </c>
      <c r="I250" s="2" t="str">
        <f>TEXT(Table1[[#This Row],[date]],"dd")</f>
        <v>06</v>
      </c>
      <c r="J250" s="20">
        <f>DATE(2000,MONTH(Table1[[#This Row],[date]]),1)</f>
        <v>36617</v>
      </c>
      <c r="K250" s="18" t="str">
        <f>TEXT(Table1[[#This Row],[date]],"mm")</f>
        <v>04</v>
      </c>
      <c r="L250" s="16" t="s">
        <v>37</v>
      </c>
      <c r="M250">
        <v>2020</v>
      </c>
      <c r="N250" t="s">
        <v>24</v>
      </c>
      <c r="O250" t="s">
        <v>19</v>
      </c>
      <c r="P250">
        <v>29</v>
      </c>
      <c r="Q250">
        <f>AVERAGE(Table1[funds_raised_millions])</f>
        <v>470.28289473684208</v>
      </c>
      <c r="R250">
        <f>AVERAGE(Table1[total_laid_off])</f>
        <v>236.96936274509804</v>
      </c>
    </row>
    <row r="251" spans="1:18" x14ac:dyDescent="0.25">
      <c r="A251" s="3" t="s">
        <v>374</v>
      </c>
      <c r="B251" t="s">
        <v>91</v>
      </c>
      <c r="C251" t="s">
        <v>167</v>
      </c>
      <c r="D251">
        <v>28</v>
      </c>
      <c r="E251" t="s">
        <v>15</v>
      </c>
      <c r="F251" s="1" t="str">
        <f>IF(Table1[[#This Row],[percentage_laid_off]]=100%,"1","0")</f>
        <v>0</v>
      </c>
      <c r="G251" t="b">
        <v>0</v>
      </c>
      <c r="H251" s="2">
        <v>44108</v>
      </c>
      <c r="I251" s="2" t="str">
        <f>TEXT(Table1[[#This Row],[date]],"dd")</f>
        <v>04</v>
      </c>
      <c r="J251" s="20">
        <f>DATE(2000,MONTH(Table1[[#This Row],[date]]),1)</f>
        <v>36800</v>
      </c>
      <c r="K251" s="18" t="str">
        <f>TEXT(Table1[[#This Row],[date]],"mm")</f>
        <v>10</v>
      </c>
      <c r="L251" s="16" t="s">
        <v>95</v>
      </c>
      <c r="M251">
        <v>2020</v>
      </c>
      <c r="N251" t="s">
        <v>35</v>
      </c>
      <c r="O251" t="s">
        <v>19</v>
      </c>
      <c r="P251">
        <v>29</v>
      </c>
      <c r="Q251">
        <f>AVERAGE(Table1[funds_raised_millions])</f>
        <v>470.28289473684208</v>
      </c>
      <c r="R251">
        <f>AVERAGE(Table1[total_laid_off])</f>
        <v>236.96936274509804</v>
      </c>
    </row>
    <row r="252" spans="1:18" x14ac:dyDescent="0.25">
      <c r="A252" s="3" t="s">
        <v>374</v>
      </c>
      <c r="B252" t="s">
        <v>91</v>
      </c>
      <c r="C252" t="s">
        <v>167</v>
      </c>
      <c r="D252">
        <v>50</v>
      </c>
      <c r="E252" s="1">
        <v>0.25</v>
      </c>
      <c r="F252" s="1" t="str">
        <f>IF(Table1[[#This Row],[percentage_laid_off]]=100%,"1","0")</f>
        <v>0</v>
      </c>
      <c r="G252" t="s">
        <v>28</v>
      </c>
      <c r="H252" s="2">
        <v>44691</v>
      </c>
      <c r="I252" s="2" t="str">
        <f>TEXT(Table1[[#This Row],[date]],"dd")</f>
        <v>10</v>
      </c>
      <c r="J252" s="20">
        <f>DATE(2000,MONTH(Table1[[#This Row],[date]]),1)</f>
        <v>36647</v>
      </c>
      <c r="K252" s="18" t="str">
        <f>TEXT(Table1[[#This Row],[date]],"mm")</f>
        <v>05</v>
      </c>
      <c r="L252" s="16" t="s">
        <v>86</v>
      </c>
      <c r="M252">
        <v>2022</v>
      </c>
      <c r="N252" t="s">
        <v>35</v>
      </c>
      <c r="O252" t="s">
        <v>19</v>
      </c>
      <c r="P252">
        <v>29</v>
      </c>
      <c r="Q252">
        <f>AVERAGE(Table1[funds_raised_millions])</f>
        <v>470.28289473684208</v>
      </c>
      <c r="R252">
        <f>AVERAGE(Table1[total_laid_off])</f>
        <v>236.96936274509804</v>
      </c>
    </row>
    <row r="253" spans="1:18" x14ac:dyDescent="0.25">
      <c r="A253" s="3" t="s">
        <v>375</v>
      </c>
      <c r="B253" t="s">
        <v>88</v>
      </c>
      <c r="C253" t="s">
        <v>60</v>
      </c>
      <c r="D253">
        <v>100</v>
      </c>
      <c r="E253" t="s">
        <v>15</v>
      </c>
      <c r="F253" s="1" t="str">
        <f>IF(Table1[[#This Row],[percentage_laid_off]]=100%,"1","0")</f>
        <v>0</v>
      </c>
      <c r="G253" t="b">
        <v>0</v>
      </c>
      <c r="H253" s="2">
        <v>43951</v>
      </c>
      <c r="I253" s="2" t="str">
        <f>TEXT(Table1[[#This Row],[date]],"dd")</f>
        <v>30</v>
      </c>
      <c r="J253" s="20">
        <f>DATE(2000,MONTH(Table1[[#This Row],[date]]),1)</f>
        <v>36617</v>
      </c>
      <c r="K253" s="18" t="str">
        <f>TEXT(Table1[[#This Row],[date]],"mm")</f>
        <v>04</v>
      </c>
      <c r="L253" s="16" t="s">
        <v>37</v>
      </c>
      <c r="M253">
        <v>2020</v>
      </c>
      <c r="N253" t="s">
        <v>71</v>
      </c>
      <c r="O253" t="s">
        <v>19</v>
      </c>
      <c r="P253">
        <v>32</v>
      </c>
      <c r="Q253">
        <f>AVERAGE(Table1[funds_raised_millions])</f>
        <v>470.28289473684208</v>
      </c>
      <c r="R253">
        <f>AVERAGE(Table1[total_laid_off])</f>
        <v>236.96936274509804</v>
      </c>
    </row>
    <row r="254" spans="1:18" x14ac:dyDescent="0.25">
      <c r="A254" s="3" t="s">
        <v>376</v>
      </c>
      <c r="B254" t="s">
        <v>155</v>
      </c>
      <c r="C254" t="s">
        <v>46</v>
      </c>
      <c r="D254">
        <v>30</v>
      </c>
      <c r="E254" s="1">
        <v>0.08</v>
      </c>
      <c r="F254" s="1" t="str">
        <f>IF(Table1[[#This Row],[percentage_laid_off]]=100%,"1","0")</f>
        <v>0</v>
      </c>
      <c r="G254" t="s">
        <v>16</v>
      </c>
      <c r="H254" s="2">
        <v>44688</v>
      </c>
      <c r="I254" s="2" t="str">
        <f>TEXT(Table1[[#This Row],[date]],"dd")</f>
        <v>07</v>
      </c>
      <c r="J254" s="20">
        <f>DATE(2000,MONTH(Table1[[#This Row],[date]]),1)</f>
        <v>36647</v>
      </c>
      <c r="K254" s="18" t="str">
        <f>TEXT(Table1[[#This Row],[date]],"mm")</f>
        <v>05</v>
      </c>
      <c r="L254" s="16" t="s">
        <v>86</v>
      </c>
      <c r="M254">
        <v>2022</v>
      </c>
      <c r="N254" t="s">
        <v>47</v>
      </c>
      <c r="O254" t="s">
        <v>155</v>
      </c>
      <c r="P254">
        <v>300</v>
      </c>
      <c r="Q254">
        <f>AVERAGE(Table1[funds_raised_millions])</f>
        <v>470.28289473684208</v>
      </c>
      <c r="R254">
        <f>AVERAGE(Table1[total_laid_off])</f>
        <v>236.96936274509804</v>
      </c>
    </row>
    <row r="255" spans="1:18" x14ac:dyDescent="0.25">
      <c r="A255" s="3" t="s">
        <v>377</v>
      </c>
      <c r="B255" t="s">
        <v>13</v>
      </c>
      <c r="C255" t="s">
        <v>174</v>
      </c>
      <c r="D255">
        <v>70</v>
      </c>
      <c r="E255" t="s">
        <v>15</v>
      </c>
      <c r="F255" s="1" t="str">
        <f>IF(Table1[[#This Row],[percentage_laid_off]]=100%,"1","0")</f>
        <v>0</v>
      </c>
      <c r="G255" t="b">
        <v>0</v>
      </c>
      <c r="H255" s="2">
        <v>44734</v>
      </c>
      <c r="I255" s="2" t="str">
        <f>TEXT(Table1[[#This Row],[date]],"dd")</f>
        <v>22</v>
      </c>
      <c r="J255" s="20">
        <f>DATE(2000,MONTH(Table1[[#This Row],[date]]),1)</f>
        <v>36678</v>
      </c>
      <c r="K255" s="18" t="str">
        <f>TEXT(Table1[[#This Row],[date]],"mm")</f>
        <v>06</v>
      </c>
      <c r="L255" s="16" t="s">
        <v>73</v>
      </c>
      <c r="M255">
        <v>2022</v>
      </c>
      <c r="N255" t="s">
        <v>35</v>
      </c>
      <c r="O255" t="s">
        <v>19</v>
      </c>
      <c r="P255">
        <v>171</v>
      </c>
      <c r="Q255">
        <f>AVERAGE(Table1[funds_raised_millions])</f>
        <v>470.28289473684208</v>
      </c>
      <c r="R255">
        <f>AVERAGE(Table1[total_laid_off])</f>
        <v>236.96936274509804</v>
      </c>
    </row>
    <row r="256" spans="1:18" x14ac:dyDescent="0.25">
      <c r="A256" s="3" t="s">
        <v>378</v>
      </c>
      <c r="B256" t="s">
        <v>142</v>
      </c>
      <c r="C256" t="s">
        <v>69</v>
      </c>
      <c r="D256">
        <v>23</v>
      </c>
      <c r="E256" s="1">
        <v>0.32</v>
      </c>
      <c r="F256" s="1" t="str">
        <f>IF(Table1[[#This Row],[percentage_laid_off]]=100%,"1","0")</f>
        <v>0</v>
      </c>
      <c r="G256" t="s">
        <v>28</v>
      </c>
      <c r="H256" s="2">
        <v>43986</v>
      </c>
      <c r="I256" s="2" t="str">
        <f>TEXT(Table1[[#This Row],[date]],"dd")</f>
        <v>04</v>
      </c>
      <c r="J256" s="20">
        <f>DATE(2000,MONTH(Table1[[#This Row],[date]]),1)</f>
        <v>36678</v>
      </c>
      <c r="K256" s="18" t="str">
        <f>TEXT(Table1[[#This Row],[date]],"mm")</f>
        <v>06</v>
      </c>
      <c r="L256" s="16" t="s">
        <v>73</v>
      </c>
      <c r="M256">
        <v>2020</v>
      </c>
      <c r="N256" t="s">
        <v>30</v>
      </c>
      <c r="O256" t="s">
        <v>31</v>
      </c>
      <c r="P256">
        <v>21</v>
      </c>
      <c r="Q256">
        <f>AVERAGE(Table1[funds_raised_millions])</f>
        <v>470.28289473684208</v>
      </c>
      <c r="R256">
        <f>AVERAGE(Table1[total_laid_off])</f>
        <v>236.96936274509804</v>
      </c>
    </row>
    <row r="257" spans="1:18" x14ac:dyDescent="0.25">
      <c r="A257" s="3" t="s">
        <v>379</v>
      </c>
      <c r="B257" t="s">
        <v>45</v>
      </c>
      <c r="C257" t="s">
        <v>69</v>
      </c>
      <c r="D257">
        <v>160</v>
      </c>
      <c r="E257" s="1">
        <v>0.3</v>
      </c>
      <c r="F257" s="1" t="str">
        <f>IF(Table1[[#This Row],[percentage_laid_off]]=100%,"1","0")</f>
        <v>0</v>
      </c>
      <c r="G257" t="s">
        <v>28</v>
      </c>
      <c r="H257" s="2">
        <v>44785</v>
      </c>
      <c r="I257" s="2" t="str">
        <f>TEXT(Table1[[#This Row],[date]],"dd")</f>
        <v>12</v>
      </c>
      <c r="J257" s="20">
        <f>DATE(2000,MONTH(Table1[[#This Row],[date]]),1)</f>
        <v>36739</v>
      </c>
      <c r="K257" s="18" t="str">
        <f>TEXT(Table1[[#This Row],[date]],"mm")</f>
        <v>08</v>
      </c>
      <c r="L257" s="16" t="s">
        <v>53</v>
      </c>
      <c r="M257">
        <v>2022</v>
      </c>
      <c r="N257" t="s">
        <v>35</v>
      </c>
      <c r="O257" t="s">
        <v>48</v>
      </c>
      <c r="P257">
        <v>138</v>
      </c>
      <c r="Q257">
        <f>AVERAGE(Table1[funds_raised_millions])</f>
        <v>470.28289473684208</v>
      </c>
      <c r="R257">
        <f>AVERAGE(Table1[total_laid_off])</f>
        <v>236.96936274509804</v>
      </c>
    </row>
    <row r="258" spans="1:18" x14ac:dyDescent="0.25">
      <c r="A258" s="3" t="s">
        <v>380</v>
      </c>
      <c r="B258" t="s">
        <v>40</v>
      </c>
      <c r="C258" t="s">
        <v>78</v>
      </c>
      <c r="D258" t="s">
        <v>15</v>
      </c>
      <c r="E258" s="1">
        <v>0.08</v>
      </c>
      <c r="F258" s="1" t="str">
        <f>IF(Table1[[#This Row],[percentage_laid_off]]=100%,"1","0")</f>
        <v>0</v>
      </c>
      <c r="G258" t="s">
        <v>16</v>
      </c>
      <c r="H258" s="2">
        <v>44928</v>
      </c>
      <c r="I258" s="2" t="str">
        <f>TEXT(Table1[[#This Row],[date]],"dd")</f>
        <v>02</v>
      </c>
      <c r="J258" s="20">
        <f>DATE(2000,MONTH(Table1[[#This Row],[date]]),1)</f>
        <v>36526</v>
      </c>
      <c r="K258" s="18" t="str">
        <f>TEXT(Table1[[#This Row],[date]],"mm")</f>
        <v>01</v>
      </c>
      <c r="L258" s="16" t="s">
        <v>29</v>
      </c>
      <c r="M258">
        <v>2023</v>
      </c>
      <c r="N258" t="s">
        <v>18</v>
      </c>
      <c r="O258" t="s">
        <v>19</v>
      </c>
      <c r="P258">
        <v>80</v>
      </c>
      <c r="Q258">
        <f>AVERAGE(Table1[funds_raised_millions])</f>
        <v>470.28289473684208</v>
      </c>
      <c r="R258">
        <f>AVERAGE(Table1[total_laid_off])</f>
        <v>236.96936274509804</v>
      </c>
    </row>
    <row r="259" spans="1:18" x14ac:dyDescent="0.25">
      <c r="A259" s="3" t="s">
        <v>380</v>
      </c>
      <c r="B259" t="s">
        <v>40</v>
      </c>
      <c r="C259" t="s">
        <v>78</v>
      </c>
      <c r="D259">
        <v>19</v>
      </c>
      <c r="E259" t="s">
        <v>15</v>
      </c>
      <c r="F259" s="1" t="str">
        <f>IF(Table1[[#This Row],[percentage_laid_off]]=100%,"1","0")</f>
        <v>0</v>
      </c>
      <c r="G259" t="b">
        <v>0</v>
      </c>
      <c r="H259" s="2">
        <v>43894</v>
      </c>
      <c r="I259" s="2" t="str">
        <f>TEXT(Table1[[#This Row],[date]],"dd")</f>
        <v>04</v>
      </c>
      <c r="J259" s="20">
        <f>DATE(2000,MONTH(Table1[[#This Row],[date]]),1)</f>
        <v>36586</v>
      </c>
      <c r="K259" s="18" t="str">
        <f>TEXT(Table1[[#This Row],[date]],"mm")</f>
        <v>03</v>
      </c>
      <c r="L259" s="16" t="s">
        <v>57</v>
      </c>
      <c r="M259">
        <v>2020</v>
      </c>
      <c r="N259" t="s">
        <v>18</v>
      </c>
      <c r="O259" t="s">
        <v>19</v>
      </c>
      <c r="P259">
        <v>80</v>
      </c>
      <c r="Q259">
        <f>AVERAGE(Table1[funds_raised_millions])</f>
        <v>470.28289473684208</v>
      </c>
      <c r="R259">
        <f>AVERAGE(Table1[total_laid_off])</f>
        <v>236.96936274509804</v>
      </c>
    </row>
    <row r="260" spans="1:18" x14ac:dyDescent="0.25">
      <c r="A260" s="3" t="s">
        <v>380</v>
      </c>
      <c r="B260" t="s">
        <v>40</v>
      </c>
      <c r="C260" t="s">
        <v>78</v>
      </c>
      <c r="D260">
        <v>24</v>
      </c>
      <c r="E260" s="1">
        <v>0.08</v>
      </c>
      <c r="F260" s="1" t="str">
        <f>IF(Table1[[#This Row],[percentage_laid_off]]=100%,"1","0")</f>
        <v>0</v>
      </c>
      <c r="G260" t="s">
        <v>16</v>
      </c>
      <c r="H260" s="2">
        <v>43894</v>
      </c>
      <c r="I260" s="2" t="str">
        <f>TEXT(Table1[[#This Row],[date]],"dd")</f>
        <v>04</v>
      </c>
      <c r="J260" s="20">
        <f>DATE(2000,MONTH(Table1[[#This Row],[date]]),1)</f>
        <v>36586</v>
      </c>
      <c r="K260" s="18" t="str">
        <f>TEXT(Table1[[#This Row],[date]],"mm")</f>
        <v>03</v>
      </c>
      <c r="L260" s="16" t="s">
        <v>57</v>
      </c>
      <c r="M260">
        <v>2020</v>
      </c>
      <c r="N260" t="s">
        <v>18</v>
      </c>
      <c r="O260" t="s">
        <v>19</v>
      </c>
      <c r="P260">
        <v>80</v>
      </c>
      <c r="Q260">
        <f>AVERAGE(Table1[funds_raised_millions])</f>
        <v>470.28289473684208</v>
      </c>
      <c r="R260">
        <f>AVERAGE(Table1[total_laid_off])</f>
        <v>236.96936274509804</v>
      </c>
    </row>
    <row r="261" spans="1:18" x14ac:dyDescent="0.25">
      <c r="A261" s="3" t="s">
        <v>381</v>
      </c>
      <c r="B261" t="s">
        <v>40</v>
      </c>
      <c r="C261" t="s">
        <v>64</v>
      </c>
      <c r="D261">
        <v>1000</v>
      </c>
      <c r="E261" s="1">
        <v>1</v>
      </c>
      <c r="F261" s="1" t="str">
        <f>IF(Table1[[#This Row],[percentage_laid_off]]=100%,"1","0")</f>
        <v>1</v>
      </c>
      <c r="G261" t="s">
        <v>114</v>
      </c>
      <c r="H261" s="2">
        <v>44780</v>
      </c>
      <c r="I261" s="2" t="str">
        <f>TEXT(Table1[[#This Row],[date]],"dd")</f>
        <v>07</v>
      </c>
      <c r="J261" s="20">
        <f>DATE(2000,MONTH(Table1[[#This Row],[date]]),1)</f>
        <v>36739</v>
      </c>
      <c r="K261" s="18" t="str">
        <f>TEXT(Table1[[#This Row],[date]],"mm")</f>
        <v>08</v>
      </c>
      <c r="L261" s="16" t="s">
        <v>53</v>
      </c>
      <c r="M261">
        <v>2022</v>
      </c>
      <c r="N261" t="s">
        <v>30</v>
      </c>
      <c r="O261" t="s">
        <v>19</v>
      </c>
      <c r="P261">
        <v>50</v>
      </c>
      <c r="Q261">
        <f>AVERAGE(Table1[funds_raised_millions])</f>
        <v>470.28289473684208</v>
      </c>
      <c r="R261">
        <f>AVERAGE(Table1[total_laid_off])</f>
        <v>236.96936274509804</v>
      </c>
    </row>
    <row r="262" spans="1:18" x14ac:dyDescent="0.25">
      <c r="A262" s="3" t="s">
        <v>382</v>
      </c>
      <c r="B262" t="s">
        <v>88</v>
      </c>
      <c r="C262" t="s">
        <v>14</v>
      </c>
      <c r="D262" t="s">
        <v>15</v>
      </c>
      <c r="E262" s="1">
        <v>0.25</v>
      </c>
      <c r="F262" s="1" t="str">
        <f>IF(Table1[[#This Row],[percentage_laid_off]]=100%,"1","0")</f>
        <v>0</v>
      </c>
      <c r="G262" t="s">
        <v>28</v>
      </c>
      <c r="H262" s="2">
        <v>45017</v>
      </c>
      <c r="I262" s="2" t="str">
        <f>TEXT(Table1[[#This Row],[date]],"dd")</f>
        <v>01</v>
      </c>
      <c r="J262" s="20">
        <f>DATE(2000,MONTH(Table1[[#This Row],[date]]),1)</f>
        <v>36617</v>
      </c>
      <c r="K262" s="18" t="str">
        <f>TEXT(Table1[[#This Row],[date]],"mm")</f>
        <v>04</v>
      </c>
      <c r="L262" s="16" t="s">
        <v>37</v>
      </c>
      <c r="M262">
        <v>2023</v>
      </c>
      <c r="N262" t="s">
        <v>38</v>
      </c>
      <c r="O262" t="s">
        <v>19</v>
      </c>
      <c r="P262">
        <v>530</v>
      </c>
      <c r="Q262">
        <f>AVERAGE(Table1[funds_raised_millions])</f>
        <v>470.28289473684208</v>
      </c>
      <c r="R262">
        <f>AVERAGE(Table1[total_laid_off])</f>
        <v>236.96936274509804</v>
      </c>
    </row>
    <row r="263" spans="1:18" x14ac:dyDescent="0.25">
      <c r="A263" s="3" t="s">
        <v>382</v>
      </c>
      <c r="B263" t="s">
        <v>383</v>
      </c>
      <c r="C263" t="s">
        <v>14</v>
      </c>
      <c r="D263" t="s">
        <v>15</v>
      </c>
      <c r="E263" s="1">
        <v>0.1</v>
      </c>
      <c r="F263" s="1" t="str">
        <f>IF(Table1[[#This Row],[percentage_laid_off]]=100%,"1","0")</f>
        <v>0</v>
      </c>
      <c r="G263" t="s">
        <v>16</v>
      </c>
      <c r="H263" s="2">
        <v>44600</v>
      </c>
      <c r="I263" s="2" t="str">
        <f>TEXT(Table1[[#This Row],[date]],"dd")</f>
        <v>08</v>
      </c>
      <c r="J263" s="20">
        <f>DATE(2000,MONTH(Table1[[#This Row],[date]]),1)</f>
        <v>36557</v>
      </c>
      <c r="K263" s="18" t="str">
        <f>TEXT(Table1[[#This Row],[date]],"mm")</f>
        <v>02</v>
      </c>
      <c r="L263" s="16" t="s">
        <v>42</v>
      </c>
      <c r="M263">
        <v>2022</v>
      </c>
      <c r="N263" t="s">
        <v>38</v>
      </c>
      <c r="O263" t="s">
        <v>19</v>
      </c>
      <c r="P263">
        <v>530</v>
      </c>
      <c r="Q263">
        <f>AVERAGE(Table1[funds_raised_millions])</f>
        <v>470.28289473684208</v>
      </c>
      <c r="R263">
        <f>AVERAGE(Table1[total_laid_off])</f>
        <v>236.96936274509804</v>
      </c>
    </row>
    <row r="264" spans="1:18" x14ac:dyDescent="0.25">
      <c r="A264" s="3" t="s">
        <v>384</v>
      </c>
      <c r="B264" t="s">
        <v>40</v>
      </c>
      <c r="C264" t="s">
        <v>22</v>
      </c>
      <c r="D264">
        <v>48</v>
      </c>
      <c r="E264" s="1">
        <v>0.35</v>
      </c>
      <c r="F264" s="1" t="str">
        <f>IF(Table1[[#This Row],[percentage_laid_off]]=100%,"1","0")</f>
        <v>0</v>
      </c>
      <c r="G264" t="s">
        <v>28</v>
      </c>
      <c r="H264" s="2">
        <v>44047</v>
      </c>
      <c r="I264" s="2" t="str">
        <f>TEXT(Table1[[#This Row],[date]],"dd")</f>
        <v>04</v>
      </c>
      <c r="J264" s="20">
        <f>DATE(2000,MONTH(Table1[[#This Row],[date]]),1)</f>
        <v>36739</v>
      </c>
      <c r="K264" s="18" t="str">
        <f>TEXT(Table1[[#This Row],[date]],"mm")</f>
        <v>08</v>
      </c>
      <c r="L264" s="16" t="s">
        <v>53</v>
      </c>
      <c r="M264">
        <v>2020</v>
      </c>
      <c r="N264" t="s">
        <v>35</v>
      </c>
      <c r="O264" t="s">
        <v>19</v>
      </c>
      <c r="P264">
        <v>64</v>
      </c>
      <c r="Q264">
        <f>AVERAGE(Table1[funds_raised_millions])</f>
        <v>470.28289473684208</v>
      </c>
      <c r="R264">
        <f>AVERAGE(Table1[total_laid_off])</f>
        <v>236.96936274509804</v>
      </c>
    </row>
    <row r="265" spans="1:18" x14ac:dyDescent="0.25">
      <c r="A265" s="3" t="s">
        <v>385</v>
      </c>
      <c r="B265" t="s">
        <v>13</v>
      </c>
      <c r="C265" t="s">
        <v>41</v>
      </c>
      <c r="D265">
        <v>87</v>
      </c>
      <c r="E265" s="1">
        <v>1</v>
      </c>
      <c r="F265" s="1" t="str">
        <f>IF(Table1[[#This Row],[percentage_laid_off]]=100%,"1","0")</f>
        <v>1</v>
      </c>
      <c r="G265" t="s">
        <v>114</v>
      </c>
      <c r="H265" s="2">
        <v>44042</v>
      </c>
      <c r="I265" s="2" t="str">
        <f>TEXT(Table1[[#This Row],[date]],"dd")</f>
        <v>30</v>
      </c>
      <c r="J265" s="20">
        <f>DATE(2000,MONTH(Table1[[#This Row],[date]]),1)</f>
        <v>36708</v>
      </c>
      <c r="K265" s="18" t="str">
        <f>TEXT(Table1[[#This Row],[date]],"mm")</f>
        <v>07</v>
      </c>
      <c r="L265" s="16" t="s">
        <v>17</v>
      </c>
      <c r="M265">
        <v>2020</v>
      </c>
      <c r="N265" t="s">
        <v>71</v>
      </c>
      <c r="O265" t="s">
        <v>19</v>
      </c>
      <c r="P265">
        <v>42</v>
      </c>
      <c r="Q265">
        <f>AVERAGE(Table1[funds_raised_millions])</f>
        <v>470.28289473684208</v>
      </c>
      <c r="R265">
        <f>AVERAGE(Table1[total_laid_off])</f>
        <v>236.96936274509804</v>
      </c>
    </row>
    <row r="266" spans="1:18" x14ac:dyDescent="0.25">
      <c r="A266" s="3" t="s">
        <v>386</v>
      </c>
      <c r="B266" t="s">
        <v>40</v>
      </c>
      <c r="C266" t="s">
        <v>78</v>
      </c>
      <c r="D266" t="s">
        <v>15</v>
      </c>
      <c r="E266" s="1">
        <v>0.2</v>
      </c>
      <c r="F266" s="1" t="str">
        <f>IF(Table1[[#This Row],[percentage_laid_off]]=100%,"1","0")</f>
        <v>0</v>
      </c>
      <c r="G266" t="s">
        <v>28</v>
      </c>
      <c r="H266" s="2">
        <v>44732</v>
      </c>
      <c r="I266" s="2" t="str">
        <f>TEXT(Table1[[#This Row],[date]],"dd")</f>
        <v>20</v>
      </c>
      <c r="J266" s="20">
        <f>DATE(2000,MONTH(Table1[[#This Row],[date]]),1)</f>
        <v>36678</v>
      </c>
      <c r="K266" s="18" t="str">
        <f>TEXT(Table1[[#This Row],[date]],"mm")</f>
        <v>06</v>
      </c>
      <c r="L266" s="16" t="s">
        <v>73</v>
      </c>
      <c r="M266">
        <v>2022</v>
      </c>
      <c r="N266" t="s">
        <v>47</v>
      </c>
      <c r="O266" t="s">
        <v>19</v>
      </c>
      <c r="P266">
        <v>32</v>
      </c>
      <c r="Q266">
        <f>AVERAGE(Table1[funds_raised_millions])</f>
        <v>470.28289473684208</v>
      </c>
      <c r="R266">
        <f>AVERAGE(Table1[total_laid_off])</f>
        <v>236.96936274509804</v>
      </c>
    </row>
    <row r="267" spans="1:18" x14ac:dyDescent="0.25">
      <c r="A267" s="3" t="s">
        <v>387</v>
      </c>
      <c r="B267" t="s">
        <v>40</v>
      </c>
      <c r="C267" t="s">
        <v>78</v>
      </c>
      <c r="D267">
        <v>180</v>
      </c>
      <c r="E267" s="1">
        <v>0.12</v>
      </c>
      <c r="F267" s="1" t="str">
        <f>IF(Table1[[#This Row],[percentage_laid_off]]=100%,"1","0")</f>
        <v>0</v>
      </c>
      <c r="G267" t="s">
        <v>28</v>
      </c>
      <c r="H267" s="2">
        <v>44724</v>
      </c>
      <c r="I267" s="2" t="str">
        <f>TEXT(Table1[[#This Row],[date]],"dd")</f>
        <v>12</v>
      </c>
      <c r="J267" s="20">
        <f>DATE(2000,MONTH(Table1[[#This Row],[date]]),1)</f>
        <v>36678</v>
      </c>
      <c r="K267" s="18" t="str">
        <f>TEXT(Table1[[#This Row],[date]],"mm")</f>
        <v>06</v>
      </c>
      <c r="L267" s="16" t="s">
        <v>73</v>
      </c>
      <c r="M267">
        <v>2022</v>
      </c>
      <c r="N267" t="s">
        <v>38</v>
      </c>
      <c r="O267" t="s">
        <v>19</v>
      </c>
      <c r="P267">
        <v>696</v>
      </c>
      <c r="Q267">
        <f>AVERAGE(Table1[funds_raised_millions])</f>
        <v>470.28289473684208</v>
      </c>
      <c r="R267">
        <f>AVERAGE(Table1[total_laid_off])</f>
        <v>236.96936274509804</v>
      </c>
    </row>
    <row r="268" spans="1:18" x14ac:dyDescent="0.25">
      <c r="A268" s="3" t="s">
        <v>388</v>
      </c>
      <c r="B268" t="s">
        <v>389</v>
      </c>
      <c r="C268" t="s">
        <v>22</v>
      </c>
      <c r="D268">
        <v>25</v>
      </c>
      <c r="E268" s="1">
        <v>0.25</v>
      </c>
      <c r="F268" s="1" t="str">
        <f>IF(Table1[[#This Row],[percentage_laid_off]]=100%,"1","0")</f>
        <v>0</v>
      </c>
      <c r="G268" t="s">
        <v>28</v>
      </c>
      <c r="H268" s="2">
        <v>44047</v>
      </c>
      <c r="I268" s="2" t="str">
        <f>TEXT(Table1[[#This Row],[date]],"dd")</f>
        <v>04</v>
      </c>
      <c r="J268" s="20">
        <f>DATE(2000,MONTH(Table1[[#This Row],[date]]),1)</f>
        <v>36739</v>
      </c>
      <c r="K268" s="18" t="str">
        <f>TEXT(Table1[[#This Row],[date]],"mm")</f>
        <v>08</v>
      </c>
      <c r="L268" s="16" t="s">
        <v>53</v>
      </c>
      <c r="M268">
        <v>2020</v>
      </c>
      <c r="N268" t="s">
        <v>47</v>
      </c>
      <c r="O268" t="s">
        <v>19</v>
      </c>
      <c r="P268" t="s">
        <v>15</v>
      </c>
      <c r="Q268">
        <f>AVERAGE(Table1[funds_raised_millions])</f>
        <v>470.28289473684208</v>
      </c>
      <c r="R268">
        <f>AVERAGE(Table1[total_laid_off])</f>
        <v>236.96936274509804</v>
      </c>
    </row>
    <row r="269" spans="1:18" x14ac:dyDescent="0.25">
      <c r="A269" s="3" t="s">
        <v>390</v>
      </c>
      <c r="B269" t="s">
        <v>111</v>
      </c>
      <c r="C269" t="s">
        <v>46</v>
      </c>
      <c r="D269" t="s">
        <v>15</v>
      </c>
      <c r="E269" s="1">
        <v>0.3</v>
      </c>
      <c r="F269" s="1" t="str">
        <f>IF(Table1[[#This Row],[percentage_laid_off]]=100%,"1","0")</f>
        <v>0</v>
      </c>
      <c r="G269" t="s">
        <v>28</v>
      </c>
      <c r="H269" s="2">
        <v>44632</v>
      </c>
      <c r="I269" s="2" t="str">
        <f>TEXT(Table1[[#This Row],[date]],"dd")</f>
        <v>12</v>
      </c>
      <c r="J269" s="20">
        <f>DATE(2000,MONTH(Table1[[#This Row],[date]]),1)</f>
        <v>36586</v>
      </c>
      <c r="K269" s="18" t="str">
        <f>TEXT(Table1[[#This Row],[date]],"mm")</f>
        <v>03</v>
      </c>
      <c r="L269" s="16" t="s">
        <v>57</v>
      </c>
      <c r="M269">
        <v>2022</v>
      </c>
      <c r="N269" t="s">
        <v>47</v>
      </c>
      <c r="O269" t="s">
        <v>111</v>
      </c>
      <c r="P269" t="s">
        <v>15</v>
      </c>
      <c r="Q269">
        <f>AVERAGE(Table1[funds_raised_millions])</f>
        <v>470.28289473684208</v>
      </c>
      <c r="R269">
        <f>AVERAGE(Table1[total_laid_off])</f>
        <v>236.96936274509804</v>
      </c>
    </row>
    <row r="270" spans="1:18" x14ac:dyDescent="0.25">
      <c r="A270" s="3" t="s">
        <v>390</v>
      </c>
      <c r="B270" t="s">
        <v>111</v>
      </c>
      <c r="C270" t="s">
        <v>46</v>
      </c>
      <c r="D270">
        <v>600</v>
      </c>
      <c r="E270" s="1">
        <v>0.3</v>
      </c>
      <c r="F270" s="1" t="str">
        <f>IF(Table1[[#This Row],[percentage_laid_off]]=100%,"1","0")</f>
        <v>0</v>
      </c>
      <c r="G270" t="s">
        <v>28</v>
      </c>
      <c r="H270" s="2">
        <v>44732</v>
      </c>
      <c r="I270" s="2" t="str">
        <f>TEXT(Table1[[#This Row],[date]],"dd")</f>
        <v>20</v>
      </c>
      <c r="J270" s="20">
        <f>DATE(2000,MONTH(Table1[[#This Row],[date]]),1)</f>
        <v>36678</v>
      </c>
      <c r="K270" s="18" t="str">
        <f>TEXT(Table1[[#This Row],[date]],"mm")</f>
        <v>06</v>
      </c>
      <c r="L270" s="16" t="s">
        <v>73</v>
      </c>
      <c r="M270">
        <v>2022</v>
      </c>
      <c r="N270" t="s">
        <v>47</v>
      </c>
      <c r="O270" t="s">
        <v>111</v>
      </c>
      <c r="P270" t="s">
        <v>15</v>
      </c>
      <c r="Q270">
        <f>AVERAGE(Table1[funds_raised_millions])</f>
        <v>470.28289473684208</v>
      </c>
      <c r="R270">
        <f>AVERAGE(Table1[total_laid_off])</f>
        <v>236.96936274509804</v>
      </c>
    </row>
    <row r="271" spans="1:18" x14ac:dyDescent="0.25">
      <c r="A271" s="3" t="s">
        <v>391</v>
      </c>
      <c r="B271" t="s">
        <v>313</v>
      </c>
      <c r="C271" t="s">
        <v>51</v>
      </c>
      <c r="D271">
        <v>1500</v>
      </c>
      <c r="E271" t="s">
        <v>15</v>
      </c>
      <c r="F271" s="1" t="str">
        <f>IF(Table1[[#This Row],[percentage_laid_off]]=100%,"1","0")</f>
        <v>0</v>
      </c>
      <c r="G271" t="b">
        <v>0</v>
      </c>
      <c r="H271" s="2">
        <v>44959</v>
      </c>
      <c r="I271" s="2" t="str">
        <f>TEXT(Table1[[#This Row],[date]],"dd")</f>
        <v>02</v>
      </c>
      <c r="J271" s="20">
        <f>DATE(2000,MONTH(Table1[[#This Row],[date]]),1)</f>
        <v>36557</v>
      </c>
      <c r="K271" s="18" t="str">
        <f>TEXT(Table1[[#This Row],[date]],"mm")</f>
        <v>02</v>
      </c>
      <c r="L271" s="16" t="s">
        <v>42</v>
      </c>
      <c r="M271">
        <v>2023</v>
      </c>
      <c r="N271" t="s">
        <v>117</v>
      </c>
      <c r="O271" t="s">
        <v>83</v>
      </c>
      <c r="P271">
        <v>5500</v>
      </c>
      <c r="Q271">
        <f>AVERAGE(Table1[funds_raised_millions])</f>
        <v>470.28289473684208</v>
      </c>
      <c r="R271">
        <f>AVERAGE(Table1[total_laid_off])</f>
        <v>236.96936274509804</v>
      </c>
    </row>
    <row r="272" spans="1:18" x14ac:dyDescent="0.25">
      <c r="A272" s="3" t="s">
        <v>391</v>
      </c>
      <c r="B272" t="s">
        <v>313</v>
      </c>
      <c r="C272" t="s">
        <v>51</v>
      </c>
      <c r="D272">
        <v>2500</v>
      </c>
      <c r="E272" s="1">
        <v>0.05</v>
      </c>
      <c r="F272" s="1" t="str">
        <f>IF(Table1[[#This Row],[percentage_laid_off]]=100%,"1","0")</f>
        <v>0</v>
      </c>
      <c r="G272" t="s">
        <v>16</v>
      </c>
      <c r="H272" s="2">
        <v>44905</v>
      </c>
      <c r="I272" s="2" t="str">
        <f>TEXT(Table1[[#This Row],[date]],"dd")</f>
        <v>10</v>
      </c>
      <c r="J272" s="20">
        <f>DATE(2000,MONTH(Table1[[#This Row],[date]]),1)</f>
        <v>36861</v>
      </c>
      <c r="K272" s="18" t="str">
        <f>TEXT(Table1[[#This Row],[date]],"mm")</f>
        <v>12</v>
      </c>
      <c r="L272" s="16" t="s">
        <v>61</v>
      </c>
      <c r="M272">
        <v>2022</v>
      </c>
      <c r="N272" t="s">
        <v>117</v>
      </c>
      <c r="O272" t="s">
        <v>83</v>
      </c>
      <c r="P272">
        <v>5500</v>
      </c>
      <c r="Q272">
        <f>AVERAGE(Table1[funds_raised_millions])</f>
        <v>470.28289473684208</v>
      </c>
      <c r="R272">
        <f>AVERAGE(Table1[total_laid_off])</f>
        <v>236.96936274509804</v>
      </c>
    </row>
    <row r="273" spans="1:18" x14ac:dyDescent="0.25">
      <c r="A273" s="3" t="s">
        <v>392</v>
      </c>
      <c r="B273" t="s">
        <v>81</v>
      </c>
      <c r="C273" t="s">
        <v>34</v>
      </c>
      <c r="D273">
        <v>1800</v>
      </c>
      <c r="E273" t="s">
        <v>15</v>
      </c>
      <c r="F273" s="1" t="str">
        <f>IF(Table1[[#This Row],[percentage_laid_off]]=100%,"1","0")</f>
        <v>0</v>
      </c>
      <c r="G273" t="b">
        <v>0</v>
      </c>
      <c r="H273" s="2">
        <v>44223</v>
      </c>
      <c r="I273" s="2" t="str">
        <f>TEXT(Table1[[#This Row],[date]],"dd")</f>
        <v>27</v>
      </c>
      <c r="J273" s="20">
        <f>DATE(2000,MONTH(Table1[[#This Row],[date]]),1)</f>
        <v>36526</v>
      </c>
      <c r="K273" s="18" t="str">
        <f>TEXT(Table1[[#This Row],[date]],"mm")</f>
        <v>01</v>
      </c>
      <c r="L273" s="16" t="s">
        <v>29</v>
      </c>
      <c r="M273">
        <v>2021</v>
      </c>
      <c r="N273" t="s">
        <v>47</v>
      </c>
      <c r="O273" t="s">
        <v>83</v>
      </c>
      <c r="P273">
        <v>7400</v>
      </c>
      <c r="Q273">
        <f>AVERAGE(Table1[funds_raised_millions])</f>
        <v>470.28289473684208</v>
      </c>
      <c r="R273">
        <f>AVERAGE(Table1[total_laid_off])</f>
        <v>236.96936274509804</v>
      </c>
    </row>
    <row r="274" spans="1:18" x14ac:dyDescent="0.25">
      <c r="A274" s="3" t="s">
        <v>393</v>
      </c>
      <c r="B274" t="s">
        <v>281</v>
      </c>
      <c r="C274" t="s">
        <v>34</v>
      </c>
      <c r="D274" t="s">
        <v>15</v>
      </c>
      <c r="E274" s="1">
        <v>0.1</v>
      </c>
      <c r="F274" s="1" t="str">
        <f>IF(Table1[[#This Row],[percentage_laid_off]]=100%,"1","0")</f>
        <v>0</v>
      </c>
      <c r="G274" t="s">
        <v>16</v>
      </c>
      <c r="H274" s="2">
        <v>44986</v>
      </c>
      <c r="I274" s="2" t="str">
        <f>TEXT(Table1[[#This Row],[date]],"dd")</f>
        <v>01</v>
      </c>
      <c r="J274" s="20">
        <f>DATE(2000,MONTH(Table1[[#This Row],[date]]),1)</f>
        <v>36586</v>
      </c>
      <c r="K274" s="18" t="str">
        <f>TEXT(Table1[[#This Row],[date]],"mm")</f>
        <v>03</v>
      </c>
      <c r="L274" s="16" t="s">
        <v>57</v>
      </c>
      <c r="M274">
        <v>2023</v>
      </c>
      <c r="N274" t="s">
        <v>47</v>
      </c>
      <c r="O274" t="s">
        <v>282</v>
      </c>
      <c r="P274">
        <v>9400</v>
      </c>
      <c r="Q274">
        <f>AVERAGE(Table1[funds_raised_millions])</f>
        <v>470.28289473684208</v>
      </c>
      <c r="R274">
        <f>AVERAGE(Table1[total_laid_off])</f>
        <v>236.96936274509804</v>
      </c>
    </row>
    <row r="275" spans="1:18" x14ac:dyDescent="0.25">
      <c r="A275" s="3" t="s">
        <v>392</v>
      </c>
      <c r="B275" t="s">
        <v>281</v>
      </c>
      <c r="C275" t="s">
        <v>34</v>
      </c>
      <c r="D275">
        <v>150</v>
      </c>
      <c r="E275" t="s">
        <v>15</v>
      </c>
      <c r="F275" s="1" t="str">
        <f>IF(Table1[[#This Row],[percentage_laid_off]]=100%,"1","0")</f>
        <v>0</v>
      </c>
      <c r="G275" t="b">
        <v>0</v>
      </c>
      <c r="H275" s="2">
        <v>44729</v>
      </c>
      <c r="I275" s="2" t="str">
        <f>TEXT(Table1[[#This Row],[date]],"dd")</f>
        <v>17</v>
      </c>
      <c r="J275" s="20">
        <f>DATE(2000,MONTH(Table1[[#This Row],[date]]),1)</f>
        <v>36678</v>
      </c>
      <c r="K275" s="18" t="str">
        <f>TEXT(Table1[[#This Row],[date]],"mm")</f>
        <v>06</v>
      </c>
      <c r="L275" s="16" t="s">
        <v>73</v>
      </c>
      <c r="M275">
        <v>2022</v>
      </c>
      <c r="N275" t="s">
        <v>47</v>
      </c>
      <c r="O275" t="s">
        <v>282</v>
      </c>
      <c r="P275">
        <v>9400</v>
      </c>
      <c r="Q275">
        <f>AVERAGE(Table1[funds_raised_millions])</f>
        <v>470.28289473684208</v>
      </c>
      <c r="R275">
        <f>AVERAGE(Table1[total_laid_off])</f>
        <v>236.96936274509804</v>
      </c>
    </row>
    <row r="276" spans="1:18" x14ac:dyDescent="0.25">
      <c r="A276" s="3" t="s">
        <v>392</v>
      </c>
      <c r="B276" t="s">
        <v>281</v>
      </c>
      <c r="C276" t="s">
        <v>34</v>
      </c>
      <c r="D276">
        <v>1800</v>
      </c>
      <c r="E276" t="s">
        <v>15</v>
      </c>
      <c r="F276" s="1" t="str">
        <f>IF(Table1[[#This Row],[percentage_laid_off]]=100%,"1","0")</f>
        <v>0</v>
      </c>
      <c r="G276" t="b">
        <v>0</v>
      </c>
      <c r="H276" s="2">
        <v>44324</v>
      </c>
      <c r="I276" s="2" t="str">
        <f>TEXT(Table1[[#This Row],[date]],"dd")</f>
        <v>08</v>
      </c>
      <c r="J276" s="20">
        <f>DATE(2000,MONTH(Table1[[#This Row],[date]]),1)</f>
        <v>36647</v>
      </c>
      <c r="K276" s="18" t="str">
        <f>TEXT(Table1[[#This Row],[date]],"mm")</f>
        <v>05</v>
      </c>
      <c r="L276" s="16" t="s">
        <v>86</v>
      </c>
      <c r="M276">
        <v>2021</v>
      </c>
      <c r="N276" t="s">
        <v>47</v>
      </c>
      <c r="O276" t="s">
        <v>282</v>
      </c>
      <c r="P276">
        <v>9400</v>
      </c>
      <c r="Q276">
        <f>AVERAGE(Table1[funds_raised_millions])</f>
        <v>470.28289473684208</v>
      </c>
      <c r="R276">
        <f>AVERAGE(Table1[total_laid_off])</f>
        <v>236.96936274509804</v>
      </c>
    </row>
    <row r="277" spans="1:18" x14ac:dyDescent="0.25">
      <c r="A277" s="3" t="s">
        <v>394</v>
      </c>
      <c r="B277" t="s">
        <v>395</v>
      </c>
      <c r="C277" t="s">
        <v>82</v>
      </c>
      <c r="D277">
        <v>20</v>
      </c>
      <c r="E277" s="1">
        <v>0.02</v>
      </c>
      <c r="F277" s="1" t="str">
        <f>IF(Table1[[#This Row],[percentage_laid_off]]=100%,"1","0")</f>
        <v>0</v>
      </c>
      <c r="G277" t="s">
        <v>16</v>
      </c>
      <c r="H277" s="2">
        <v>44816</v>
      </c>
      <c r="I277" s="2" t="str">
        <f>TEXT(Table1[[#This Row],[date]],"dd")</f>
        <v>12</v>
      </c>
      <c r="J277" s="20">
        <f>DATE(2000,MONTH(Table1[[#This Row],[date]]),1)</f>
        <v>36770</v>
      </c>
      <c r="K277" s="18" t="str">
        <f>TEXT(Table1[[#This Row],[date]],"mm")</f>
        <v>09</v>
      </c>
      <c r="L277" s="16" t="s">
        <v>70</v>
      </c>
      <c r="M277">
        <v>2022</v>
      </c>
      <c r="N277" t="s">
        <v>396</v>
      </c>
      <c r="O277" t="s">
        <v>19</v>
      </c>
      <c r="P277">
        <v>537</v>
      </c>
      <c r="Q277">
        <f>AVERAGE(Table1[funds_raised_millions])</f>
        <v>470.28289473684208</v>
      </c>
      <c r="R277">
        <f>AVERAGE(Table1[total_laid_off])</f>
        <v>236.96936274509804</v>
      </c>
    </row>
    <row r="278" spans="1:18" x14ac:dyDescent="0.25">
      <c r="A278" s="3" t="s">
        <v>397</v>
      </c>
      <c r="B278" t="s">
        <v>45</v>
      </c>
      <c r="C278" t="s">
        <v>82</v>
      </c>
      <c r="D278">
        <v>60</v>
      </c>
      <c r="E278" s="1">
        <v>0.06</v>
      </c>
      <c r="F278" s="1" t="str">
        <f>IF(Table1[[#This Row],[percentage_laid_off]]=100%,"1","0")</f>
        <v>0</v>
      </c>
      <c r="G278" t="s">
        <v>16</v>
      </c>
      <c r="H278" s="2">
        <v>43986</v>
      </c>
      <c r="I278" s="2" t="str">
        <f>TEXT(Table1[[#This Row],[date]],"dd")</f>
        <v>04</v>
      </c>
      <c r="J278" s="20">
        <f>DATE(2000,MONTH(Table1[[#This Row],[date]]),1)</f>
        <v>36678</v>
      </c>
      <c r="K278" s="18" t="str">
        <f>TEXT(Table1[[#This Row],[date]],"mm")</f>
        <v>06</v>
      </c>
      <c r="L278" s="16" t="s">
        <v>73</v>
      </c>
      <c r="M278">
        <v>2020</v>
      </c>
      <c r="N278" t="s">
        <v>47</v>
      </c>
      <c r="O278" t="s">
        <v>48</v>
      </c>
      <c r="P278" t="s">
        <v>15</v>
      </c>
      <c r="Q278">
        <f>AVERAGE(Table1[funds_raised_millions])</f>
        <v>470.28289473684208</v>
      </c>
      <c r="R278">
        <f>AVERAGE(Table1[total_laid_off])</f>
        <v>236.96936274509804</v>
      </c>
    </row>
    <row r="279" spans="1:18" x14ac:dyDescent="0.25">
      <c r="A279" s="3" t="s">
        <v>398</v>
      </c>
      <c r="B279" t="s">
        <v>13</v>
      </c>
      <c r="C279" t="s">
        <v>112</v>
      </c>
      <c r="D279" t="s">
        <v>15</v>
      </c>
      <c r="E279" s="1">
        <v>0.2</v>
      </c>
      <c r="F279" s="1" t="str">
        <f>IF(Table1[[#This Row],[percentage_laid_off]]=100%,"1","0")</f>
        <v>0</v>
      </c>
      <c r="G279" t="s">
        <v>28</v>
      </c>
      <c r="H279" s="2">
        <v>43913</v>
      </c>
      <c r="I279" s="2" t="str">
        <f>TEXT(Table1[[#This Row],[date]],"dd")</f>
        <v>23</v>
      </c>
      <c r="J279" s="20">
        <f>DATE(2000,MONTH(Table1[[#This Row],[date]]),1)</f>
        <v>36586</v>
      </c>
      <c r="K279" s="18" t="str">
        <f>TEXT(Table1[[#This Row],[date]],"mm")</f>
        <v>03</v>
      </c>
      <c r="L279" s="16" t="s">
        <v>57</v>
      </c>
      <c r="M279">
        <v>2020</v>
      </c>
      <c r="N279" t="s">
        <v>139</v>
      </c>
      <c r="O279" t="s">
        <v>19</v>
      </c>
      <c r="P279">
        <v>3</v>
      </c>
      <c r="Q279">
        <f>AVERAGE(Table1[funds_raised_millions])</f>
        <v>470.28289473684208</v>
      </c>
      <c r="R279">
        <f>AVERAGE(Table1[total_laid_off])</f>
        <v>236.96936274509804</v>
      </c>
    </row>
    <row r="280" spans="1:18" x14ac:dyDescent="0.25">
      <c r="A280" s="3" t="s">
        <v>399</v>
      </c>
      <c r="B280" t="s">
        <v>40</v>
      </c>
      <c r="C280" t="s">
        <v>174</v>
      </c>
      <c r="D280">
        <v>28</v>
      </c>
      <c r="E280" s="1">
        <v>0.25</v>
      </c>
      <c r="F280" s="1" t="str">
        <f>IF(Table1[[#This Row],[percentage_laid_off]]=100%,"1","0")</f>
        <v>0</v>
      </c>
      <c r="G280" t="s">
        <v>28</v>
      </c>
      <c r="H280" s="2">
        <v>44140</v>
      </c>
      <c r="I280" s="2" t="str">
        <f>TEXT(Table1[[#This Row],[date]],"dd")</f>
        <v>05</v>
      </c>
      <c r="J280" s="20">
        <f>DATE(2000,MONTH(Table1[[#This Row],[date]]),1)</f>
        <v>36831</v>
      </c>
      <c r="K280" s="18" t="str">
        <f>TEXT(Table1[[#This Row],[date]],"mm")</f>
        <v>11</v>
      </c>
      <c r="L280" s="16" t="s">
        <v>23</v>
      </c>
      <c r="M280">
        <v>2020</v>
      </c>
      <c r="N280" t="s">
        <v>35</v>
      </c>
      <c r="O280" t="s">
        <v>19</v>
      </c>
      <c r="P280">
        <v>133</v>
      </c>
      <c r="Q280">
        <f>AVERAGE(Table1[funds_raised_millions])</f>
        <v>470.28289473684208</v>
      </c>
      <c r="R280">
        <f>AVERAGE(Table1[total_laid_off])</f>
        <v>236.96936274509804</v>
      </c>
    </row>
    <row r="281" spans="1:18" x14ac:dyDescent="0.25">
      <c r="A281" s="3" t="s">
        <v>400</v>
      </c>
      <c r="B281" t="s">
        <v>40</v>
      </c>
      <c r="C281" t="s">
        <v>14</v>
      </c>
      <c r="D281">
        <v>156</v>
      </c>
      <c r="E281" s="1">
        <v>0.24</v>
      </c>
      <c r="F281" s="1" t="str">
        <f>IF(Table1[[#This Row],[percentage_laid_off]]=100%,"1","0")</f>
        <v>0</v>
      </c>
      <c r="G281" t="s">
        <v>28</v>
      </c>
      <c r="H281" s="2">
        <v>44780</v>
      </c>
      <c r="I281" s="2" t="str">
        <f>TEXT(Table1[[#This Row],[date]],"dd")</f>
        <v>07</v>
      </c>
      <c r="J281" s="20">
        <f>DATE(2000,MONTH(Table1[[#This Row],[date]]),1)</f>
        <v>36739</v>
      </c>
      <c r="K281" s="18" t="str">
        <f>TEXT(Table1[[#This Row],[date]],"mm")</f>
        <v>08</v>
      </c>
      <c r="L281" s="16" t="s">
        <v>53</v>
      </c>
      <c r="M281">
        <v>2022</v>
      </c>
      <c r="N281" t="s">
        <v>30</v>
      </c>
      <c r="O281" t="s">
        <v>19</v>
      </c>
      <c r="P281">
        <v>127</v>
      </c>
      <c r="Q281">
        <f>AVERAGE(Table1[funds_raised_millions])</f>
        <v>470.28289473684208</v>
      </c>
      <c r="R281">
        <f>AVERAGE(Table1[total_laid_off])</f>
        <v>236.96936274509804</v>
      </c>
    </row>
    <row r="282" spans="1:18" x14ac:dyDescent="0.25">
      <c r="A282" s="3" t="s">
        <v>401</v>
      </c>
      <c r="B282" t="s">
        <v>13</v>
      </c>
      <c r="C282" t="s">
        <v>41</v>
      </c>
      <c r="D282">
        <v>20</v>
      </c>
      <c r="E282" t="s">
        <v>15</v>
      </c>
      <c r="F282" s="1" t="str">
        <f>IF(Table1[[#This Row],[percentage_laid_off]]=100%,"1","0")</f>
        <v>0</v>
      </c>
      <c r="G282" t="b">
        <v>0</v>
      </c>
      <c r="H282" s="2">
        <v>43920</v>
      </c>
      <c r="I282" s="2" t="str">
        <f>TEXT(Table1[[#This Row],[date]],"dd")</f>
        <v>30</v>
      </c>
      <c r="J282" s="20">
        <f>DATE(2000,MONTH(Table1[[#This Row],[date]]),1)</f>
        <v>36586</v>
      </c>
      <c r="K282" s="18" t="str">
        <f>TEXT(Table1[[#This Row],[date]],"mm")</f>
        <v>03</v>
      </c>
      <c r="L282" s="16" t="s">
        <v>57</v>
      </c>
      <c r="M282">
        <v>2020</v>
      </c>
      <c r="N282" t="s">
        <v>24</v>
      </c>
      <c r="O282" t="s">
        <v>19</v>
      </c>
      <c r="P282">
        <v>75</v>
      </c>
      <c r="Q282">
        <f>AVERAGE(Table1[funds_raised_millions])</f>
        <v>470.28289473684208</v>
      </c>
      <c r="R282">
        <f>AVERAGE(Table1[total_laid_off])</f>
        <v>236.96936274509804</v>
      </c>
    </row>
    <row r="283" spans="1:18" x14ac:dyDescent="0.25">
      <c r="A283" s="3" t="s">
        <v>402</v>
      </c>
      <c r="B283" t="s">
        <v>13</v>
      </c>
      <c r="C283" t="s">
        <v>78</v>
      </c>
      <c r="D283" t="s">
        <v>15</v>
      </c>
      <c r="E283" s="1">
        <v>0.35</v>
      </c>
      <c r="F283" s="1" t="str">
        <f>IF(Table1[[#This Row],[percentage_laid_off]]=100%,"1","0")</f>
        <v>0</v>
      </c>
      <c r="G283" t="s">
        <v>28</v>
      </c>
      <c r="H283" s="2">
        <v>44859</v>
      </c>
      <c r="I283" s="2" t="str">
        <f>TEXT(Table1[[#This Row],[date]],"dd")</f>
        <v>25</v>
      </c>
      <c r="J283" s="20">
        <f>DATE(2000,MONTH(Table1[[#This Row],[date]]),1)</f>
        <v>36800</v>
      </c>
      <c r="K283" s="18" t="str">
        <f>TEXT(Table1[[#This Row],[date]],"mm")</f>
        <v>10</v>
      </c>
      <c r="L283" s="16" t="s">
        <v>95</v>
      </c>
      <c r="M283">
        <v>2022</v>
      </c>
      <c r="N283" t="s">
        <v>43</v>
      </c>
      <c r="O283" t="s">
        <v>19</v>
      </c>
      <c r="P283" t="s">
        <v>15</v>
      </c>
      <c r="Q283">
        <f>AVERAGE(Table1[funds_raised_millions])</f>
        <v>470.28289473684208</v>
      </c>
      <c r="R283">
        <f>AVERAGE(Table1[total_laid_off])</f>
        <v>236.96936274509804</v>
      </c>
    </row>
    <row r="284" spans="1:18" x14ac:dyDescent="0.25">
      <c r="A284" s="3" t="s">
        <v>402</v>
      </c>
      <c r="B284" t="s">
        <v>13</v>
      </c>
      <c r="C284" t="s">
        <v>78</v>
      </c>
      <c r="D284">
        <v>140</v>
      </c>
      <c r="E284" s="1">
        <v>0.35</v>
      </c>
      <c r="F284" s="1" t="str">
        <f>IF(Table1[[#This Row],[percentage_laid_off]]=100%,"1","0")</f>
        <v>0</v>
      </c>
      <c r="G284" t="s">
        <v>28</v>
      </c>
      <c r="H284" s="2">
        <v>44763</v>
      </c>
      <c r="I284" s="2" t="str">
        <f>TEXT(Table1[[#This Row],[date]],"dd")</f>
        <v>21</v>
      </c>
      <c r="J284" s="20">
        <f>DATE(2000,MONTH(Table1[[#This Row],[date]]),1)</f>
        <v>36708</v>
      </c>
      <c r="K284" s="18" t="str">
        <f>TEXT(Table1[[#This Row],[date]],"mm")</f>
        <v>07</v>
      </c>
      <c r="L284" s="16" t="s">
        <v>17</v>
      </c>
      <c r="M284">
        <v>2022</v>
      </c>
      <c r="N284" t="s">
        <v>43</v>
      </c>
      <c r="O284" t="s">
        <v>19</v>
      </c>
      <c r="P284" t="s">
        <v>15</v>
      </c>
      <c r="Q284">
        <f>AVERAGE(Table1[funds_raised_millions])</f>
        <v>470.28289473684208</v>
      </c>
      <c r="R284">
        <f>AVERAGE(Table1[total_laid_off])</f>
        <v>236.96936274509804</v>
      </c>
    </row>
    <row r="285" spans="1:18" x14ac:dyDescent="0.25">
      <c r="A285" s="3" t="s">
        <v>403</v>
      </c>
      <c r="B285" t="s">
        <v>13</v>
      </c>
      <c r="C285" t="s">
        <v>14</v>
      </c>
      <c r="D285">
        <v>90</v>
      </c>
      <c r="E285" s="1">
        <v>0.2</v>
      </c>
      <c r="F285" s="1" t="str">
        <f>IF(Table1[[#This Row],[percentage_laid_off]]=100%,"1","0")</f>
        <v>0</v>
      </c>
      <c r="G285" t="s">
        <v>28</v>
      </c>
      <c r="H285" s="2">
        <v>44873</v>
      </c>
      <c r="I285" s="2" t="str">
        <f>TEXT(Table1[[#This Row],[date]],"dd")</f>
        <v>08</v>
      </c>
      <c r="J285" s="20">
        <f>DATE(2000,MONTH(Table1[[#This Row],[date]]),1)</f>
        <v>36831</v>
      </c>
      <c r="K285" s="18" t="str">
        <f>TEXT(Table1[[#This Row],[date]],"mm")</f>
        <v>11</v>
      </c>
      <c r="L285" s="16" t="s">
        <v>23</v>
      </c>
      <c r="M285">
        <v>2022</v>
      </c>
      <c r="N285" t="s">
        <v>35</v>
      </c>
      <c r="O285" t="s">
        <v>19</v>
      </c>
      <c r="P285">
        <v>218</v>
      </c>
      <c r="Q285">
        <f>AVERAGE(Table1[funds_raised_millions])</f>
        <v>470.28289473684208</v>
      </c>
      <c r="R285">
        <f>AVERAGE(Table1[total_laid_off])</f>
        <v>236.96936274509804</v>
      </c>
    </row>
    <row r="286" spans="1:18" x14ac:dyDescent="0.25">
      <c r="A286" s="3" t="s">
        <v>404</v>
      </c>
      <c r="B286" t="s">
        <v>91</v>
      </c>
      <c r="C286" t="s">
        <v>34</v>
      </c>
      <c r="D286">
        <v>80</v>
      </c>
      <c r="E286" t="s">
        <v>15</v>
      </c>
      <c r="F286" s="1" t="str">
        <f>IF(Table1[[#This Row],[percentage_laid_off]]=100%,"1","0")</f>
        <v>0</v>
      </c>
      <c r="G286" t="b">
        <v>0</v>
      </c>
      <c r="H286" s="2">
        <v>44815</v>
      </c>
      <c r="I286" s="2" t="str">
        <f>TEXT(Table1[[#This Row],[date]],"dd")</f>
        <v>11</v>
      </c>
      <c r="J286" s="20">
        <f>DATE(2000,MONTH(Table1[[#This Row],[date]]),1)</f>
        <v>36770</v>
      </c>
      <c r="K286" s="18" t="str">
        <f>TEXT(Table1[[#This Row],[date]],"mm")</f>
        <v>09</v>
      </c>
      <c r="L286" s="16" t="s">
        <v>70</v>
      </c>
      <c r="M286">
        <v>2022</v>
      </c>
      <c r="N286" t="s">
        <v>47</v>
      </c>
      <c r="O286" t="s">
        <v>19</v>
      </c>
      <c r="P286">
        <v>165</v>
      </c>
      <c r="Q286">
        <f>AVERAGE(Table1[funds_raised_millions])</f>
        <v>470.28289473684208</v>
      </c>
      <c r="R286">
        <f>AVERAGE(Table1[total_laid_off])</f>
        <v>236.96936274509804</v>
      </c>
    </row>
    <row r="287" spans="1:18" x14ac:dyDescent="0.25">
      <c r="A287" s="3" t="s">
        <v>404</v>
      </c>
      <c r="B287" t="s">
        <v>91</v>
      </c>
      <c r="C287" t="s">
        <v>34</v>
      </c>
      <c r="D287">
        <v>87</v>
      </c>
      <c r="E287" s="1">
        <v>0.25</v>
      </c>
      <c r="F287" s="1" t="str">
        <f>IF(Table1[[#This Row],[percentage_laid_off]]=100%,"1","0")</f>
        <v>0</v>
      </c>
      <c r="G287" t="s">
        <v>28</v>
      </c>
      <c r="H287" s="2">
        <v>44656</v>
      </c>
      <c r="I287" s="2" t="str">
        <f>TEXT(Table1[[#This Row],[date]],"dd")</f>
        <v>05</v>
      </c>
      <c r="J287" s="20">
        <f>DATE(2000,MONTH(Table1[[#This Row],[date]]),1)</f>
        <v>36617</v>
      </c>
      <c r="K287" s="18" t="str">
        <f>TEXT(Table1[[#This Row],[date]],"mm")</f>
        <v>04</v>
      </c>
      <c r="L287" s="16" t="s">
        <v>37</v>
      </c>
      <c r="M287">
        <v>2022</v>
      </c>
      <c r="N287" t="s">
        <v>47</v>
      </c>
      <c r="O287" t="s">
        <v>19</v>
      </c>
      <c r="P287">
        <v>165</v>
      </c>
      <c r="Q287">
        <f>AVERAGE(Table1[funds_raised_millions])</f>
        <v>470.28289473684208</v>
      </c>
      <c r="R287">
        <f>AVERAGE(Table1[total_laid_off])</f>
        <v>236.96936274509804</v>
      </c>
    </row>
    <row r="288" spans="1:18" x14ac:dyDescent="0.25">
      <c r="A288" s="3" t="s">
        <v>405</v>
      </c>
      <c r="B288" t="s">
        <v>406</v>
      </c>
      <c r="C288" t="s">
        <v>51</v>
      </c>
      <c r="D288" t="s">
        <v>15</v>
      </c>
      <c r="E288" s="1">
        <v>0.7</v>
      </c>
      <c r="F288" s="1" t="str">
        <f>IF(Table1[[#This Row],[percentage_laid_off]]=100%,"1","0")</f>
        <v>0</v>
      </c>
      <c r="G288" t="s">
        <v>130</v>
      </c>
      <c r="H288" s="2">
        <v>44949</v>
      </c>
      <c r="I288" s="2" t="str">
        <f>TEXT(Table1[[#This Row],[date]],"dd")</f>
        <v>23</v>
      </c>
      <c r="J288" s="20">
        <f>DATE(2000,MONTH(Table1[[#This Row],[date]]),1)</f>
        <v>36526</v>
      </c>
      <c r="K288" s="18" t="str">
        <f>TEXT(Table1[[#This Row],[date]],"mm")</f>
        <v>01</v>
      </c>
      <c r="L288" s="16" t="s">
        <v>29</v>
      </c>
      <c r="M288">
        <v>2023</v>
      </c>
      <c r="N288" t="s">
        <v>24</v>
      </c>
      <c r="O288" t="s">
        <v>83</v>
      </c>
      <c r="P288">
        <v>16</v>
      </c>
      <c r="Q288">
        <f>AVERAGE(Table1[funds_raised_millions])</f>
        <v>470.28289473684208</v>
      </c>
      <c r="R288">
        <f>AVERAGE(Table1[total_laid_off])</f>
        <v>236.96936274509804</v>
      </c>
    </row>
    <row r="289" spans="1:18" x14ac:dyDescent="0.25">
      <c r="A289" s="3" t="s">
        <v>407</v>
      </c>
      <c r="B289" t="s">
        <v>40</v>
      </c>
      <c r="C289" t="s">
        <v>46</v>
      </c>
      <c r="D289">
        <v>33</v>
      </c>
      <c r="E289" s="1">
        <v>0.33</v>
      </c>
      <c r="F289" s="1" t="str">
        <f>IF(Table1[[#This Row],[percentage_laid_off]]=100%,"1","0")</f>
        <v>0</v>
      </c>
      <c r="G289" t="s">
        <v>28</v>
      </c>
      <c r="H289" s="2">
        <v>44893</v>
      </c>
      <c r="I289" s="2" t="str">
        <f>TEXT(Table1[[#This Row],[date]],"dd")</f>
        <v>28</v>
      </c>
      <c r="J289" s="20">
        <f>DATE(2000,MONTH(Table1[[#This Row],[date]]),1)</f>
        <v>36831</v>
      </c>
      <c r="K289" s="18" t="str">
        <f>TEXT(Table1[[#This Row],[date]],"mm")</f>
        <v>11</v>
      </c>
      <c r="L289" s="16" t="s">
        <v>23</v>
      </c>
      <c r="M289">
        <v>2022</v>
      </c>
      <c r="N289" t="s">
        <v>24</v>
      </c>
      <c r="O289" t="s">
        <v>19</v>
      </c>
      <c r="P289">
        <v>100</v>
      </c>
      <c r="Q289">
        <f>AVERAGE(Table1[funds_raised_millions])</f>
        <v>470.28289473684208</v>
      </c>
      <c r="R289">
        <f>AVERAGE(Table1[total_laid_off])</f>
        <v>236.96936274509804</v>
      </c>
    </row>
    <row r="290" spans="1:18" x14ac:dyDescent="0.25">
      <c r="A290" s="3" t="s">
        <v>408</v>
      </c>
      <c r="B290" t="s">
        <v>33</v>
      </c>
      <c r="C290" t="s">
        <v>69</v>
      </c>
      <c r="D290">
        <v>58</v>
      </c>
      <c r="E290" s="1">
        <v>0.06</v>
      </c>
      <c r="F290" s="1" t="str">
        <f>IF(Table1[[#This Row],[percentage_laid_off]]=100%,"1","0")</f>
        <v>0</v>
      </c>
      <c r="G290" t="s">
        <v>16</v>
      </c>
      <c r="H290" s="2">
        <v>44568</v>
      </c>
      <c r="I290" s="2" t="str">
        <f>TEXT(Table1[[#This Row],[date]],"dd")</f>
        <v>07</v>
      </c>
      <c r="J290" s="20">
        <f>DATE(2000,MONTH(Table1[[#This Row],[date]]),1)</f>
        <v>36526</v>
      </c>
      <c r="K290" s="18" t="str">
        <f>TEXT(Table1[[#This Row],[date]],"mm")</f>
        <v>01</v>
      </c>
      <c r="L290" s="16" t="s">
        <v>29</v>
      </c>
      <c r="M290">
        <v>2022</v>
      </c>
      <c r="N290" t="s">
        <v>38</v>
      </c>
      <c r="O290" t="s">
        <v>19</v>
      </c>
      <c r="P290">
        <v>300</v>
      </c>
      <c r="Q290">
        <f>AVERAGE(Table1[funds_raised_millions])</f>
        <v>470.28289473684208</v>
      </c>
      <c r="R290">
        <f>AVERAGE(Table1[total_laid_off])</f>
        <v>236.96936274509804</v>
      </c>
    </row>
    <row r="291" spans="1:18" x14ac:dyDescent="0.25">
      <c r="A291" s="3" t="s">
        <v>409</v>
      </c>
      <c r="B291" t="s">
        <v>50</v>
      </c>
      <c r="C291" t="s">
        <v>82</v>
      </c>
      <c r="D291">
        <v>1100</v>
      </c>
      <c r="E291" t="s">
        <v>15</v>
      </c>
      <c r="F291" s="1" t="str">
        <f>IF(Table1[[#This Row],[percentage_laid_off]]=100%,"1","0")</f>
        <v>0</v>
      </c>
      <c r="G291" t="b">
        <v>0</v>
      </c>
      <c r="H291" s="2">
        <v>44945</v>
      </c>
      <c r="I291" s="2" t="str">
        <f>TEXT(Table1[[#This Row],[date]],"dd")</f>
        <v>19</v>
      </c>
      <c r="J291" s="20">
        <f>DATE(2000,MONTH(Table1[[#This Row],[date]]),1)</f>
        <v>36526</v>
      </c>
      <c r="K291" s="18" t="str">
        <f>TEXT(Table1[[#This Row],[date]],"mm")</f>
        <v>01</v>
      </c>
      <c r="L291" s="16" t="s">
        <v>29</v>
      </c>
      <c r="M291">
        <v>2023</v>
      </c>
      <c r="N291" t="s">
        <v>38</v>
      </c>
      <c r="O291" t="s">
        <v>19</v>
      </c>
      <c r="P291" t="s">
        <v>15</v>
      </c>
      <c r="Q291">
        <f>AVERAGE(Table1[funds_raised_millions])</f>
        <v>470.28289473684208</v>
      </c>
      <c r="R291">
        <f>AVERAGE(Table1[total_laid_off])</f>
        <v>236.96936274509804</v>
      </c>
    </row>
    <row r="292" spans="1:18" x14ac:dyDescent="0.25">
      <c r="A292" s="3" t="s">
        <v>410</v>
      </c>
      <c r="B292" t="s">
        <v>40</v>
      </c>
      <c r="C292" t="s">
        <v>82</v>
      </c>
      <c r="D292" t="s">
        <v>15</v>
      </c>
      <c r="E292" s="1">
        <v>0.25</v>
      </c>
      <c r="F292" s="1" t="str">
        <f>IF(Table1[[#This Row],[percentage_laid_off]]=100%,"1","0")</f>
        <v>0</v>
      </c>
      <c r="G292" t="s">
        <v>28</v>
      </c>
      <c r="H292" s="2">
        <v>44883</v>
      </c>
      <c r="I292" s="2" t="str">
        <f>TEXT(Table1[[#This Row],[date]],"dd")</f>
        <v>18</v>
      </c>
      <c r="J292" s="20">
        <f>DATE(2000,MONTH(Table1[[#This Row],[date]]),1)</f>
        <v>36831</v>
      </c>
      <c r="K292" s="18" t="str">
        <f>TEXT(Table1[[#This Row],[date]],"mm")</f>
        <v>11</v>
      </c>
      <c r="L292" s="16" t="s">
        <v>23</v>
      </c>
      <c r="M292">
        <v>2022</v>
      </c>
      <c r="N292" t="s">
        <v>43</v>
      </c>
      <c r="O292" t="s">
        <v>19</v>
      </c>
      <c r="P292">
        <v>281</v>
      </c>
      <c r="Q292">
        <f>AVERAGE(Table1[funds_raised_millions])</f>
        <v>470.28289473684208</v>
      </c>
      <c r="R292">
        <f>AVERAGE(Table1[total_laid_off])</f>
        <v>236.96936274509804</v>
      </c>
    </row>
    <row r="293" spans="1:18" x14ac:dyDescent="0.25">
      <c r="A293" s="3" t="s">
        <v>410</v>
      </c>
      <c r="B293" t="s">
        <v>40</v>
      </c>
      <c r="C293" t="s">
        <v>82</v>
      </c>
      <c r="D293">
        <v>37</v>
      </c>
      <c r="E293" s="1">
        <v>0.25</v>
      </c>
      <c r="F293" s="1" t="str">
        <f>IF(Table1[[#This Row],[percentage_laid_off]]=100%,"1","0")</f>
        <v>0</v>
      </c>
      <c r="G293" t="s">
        <v>28</v>
      </c>
      <c r="H293" s="2">
        <v>44882</v>
      </c>
      <c r="I293" s="2" t="str">
        <f>TEXT(Table1[[#This Row],[date]],"dd")</f>
        <v>17</v>
      </c>
      <c r="J293" s="20">
        <f>DATE(2000,MONTH(Table1[[#This Row],[date]]),1)</f>
        <v>36831</v>
      </c>
      <c r="K293" s="18" t="str">
        <f>TEXT(Table1[[#This Row],[date]],"mm")</f>
        <v>11</v>
      </c>
      <c r="L293" s="16" t="s">
        <v>23</v>
      </c>
      <c r="M293">
        <v>2022</v>
      </c>
      <c r="N293" t="s">
        <v>43</v>
      </c>
      <c r="O293" t="s">
        <v>19</v>
      </c>
      <c r="P293">
        <v>281</v>
      </c>
      <c r="Q293">
        <f>AVERAGE(Table1[funds_raised_millions])</f>
        <v>470.28289473684208</v>
      </c>
      <c r="R293">
        <f>AVERAGE(Table1[total_laid_off])</f>
        <v>236.96936274509804</v>
      </c>
    </row>
    <row r="294" spans="1:18" x14ac:dyDescent="0.25">
      <c r="A294" s="3" t="s">
        <v>411</v>
      </c>
      <c r="B294" t="s">
        <v>40</v>
      </c>
      <c r="C294" t="s">
        <v>14</v>
      </c>
      <c r="D294" t="s">
        <v>15</v>
      </c>
      <c r="E294" s="1">
        <v>0.13</v>
      </c>
      <c r="F294" s="1" t="str">
        <f>IF(Table1[[#This Row],[percentage_laid_off]]=100%,"1","0")</f>
        <v>0</v>
      </c>
      <c r="G294" t="s">
        <v>28</v>
      </c>
      <c r="H294" s="2">
        <v>44761</v>
      </c>
      <c r="I294" s="2" t="str">
        <f>TEXT(Table1[[#This Row],[date]],"dd")</f>
        <v>19</v>
      </c>
      <c r="J294" s="20">
        <f>DATE(2000,MONTH(Table1[[#This Row],[date]]),1)</f>
        <v>36708</v>
      </c>
      <c r="K294" s="18" t="str">
        <f>TEXT(Table1[[#This Row],[date]],"mm")</f>
        <v>07</v>
      </c>
      <c r="L294" s="16" t="s">
        <v>17</v>
      </c>
      <c r="M294">
        <v>2022</v>
      </c>
      <c r="N294" t="s">
        <v>43</v>
      </c>
      <c r="O294" t="s">
        <v>19</v>
      </c>
      <c r="P294">
        <v>570</v>
      </c>
      <c r="Q294">
        <f>AVERAGE(Table1[funds_raised_millions])</f>
        <v>470.28289473684208</v>
      </c>
      <c r="R294">
        <f>AVERAGE(Table1[total_laid_off])</f>
        <v>236.96936274509804</v>
      </c>
    </row>
    <row r="295" spans="1:18" x14ac:dyDescent="0.25">
      <c r="A295" s="3" t="s">
        <v>412</v>
      </c>
      <c r="B295" t="s">
        <v>313</v>
      </c>
      <c r="C295" t="s">
        <v>64</v>
      </c>
      <c r="D295">
        <v>120</v>
      </c>
      <c r="E295" t="s">
        <v>15</v>
      </c>
      <c r="F295" s="1" t="str">
        <f>IF(Table1[[#This Row],[percentage_laid_off]]=100%,"1","0")</f>
        <v>0</v>
      </c>
      <c r="G295" t="b">
        <v>0</v>
      </c>
      <c r="H295" s="2">
        <v>44941</v>
      </c>
      <c r="I295" s="2" t="str">
        <f>TEXT(Table1[[#This Row],[date]],"dd")</f>
        <v>15</v>
      </c>
      <c r="J295" s="20">
        <f>DATE(2000,MONTH(Table1[[#This Row],[date]]),1)</f>
        <v>36526</v>
      </c>
      <c r="K295" s="18" t="str">
        <f>TEXT(Table1[[#This Row],[date]],"mm")</f>
        <v>01</v>
      </c>
      <c r="L295" s="16" t="s">
        <v>29</v>
      </c>
      <c r="M295">
        <v>2023</v>
      </c>
      <c r="N295" t="s">
        <v>35</v>
      </c>
      <c r="O295" t="s">
        <v>83</v>
      </c>
      <c r="P295">
        <v>126</v>
      </c>
      <c r="Q295">
        <f>AVERAGE(Table1[funds_raised_millions])</f>
        <v>470.28289473684208</v>
      </c>
      <c r="R295">
        <f>AVERAGE(Table1[total_laid_off])</f>
        <v>236.96936274509804</v>
      </c>
    </row>
    <row r="296" spans="1:18" x14ac:dyDescent="0.25">
      <c r="A296" s="3" t="s">
        <v>413</v>
      </c>
      <c r="B296" t="s">
        <v>13</v>
      </c>
      <c r="C296" t="s">
        <v>60</v>
      </c>
      <c r="D296">
        <v>31</v>
      </c>
      <c r="E296" s="1">
        <v>0.1</v>
      </c>
      <c r="F296" s="1" t="str">
        <f>IF(Table1[[#This Row],[percentage_laid_off]]=100%,"1","0")</f>
        <v>0</v>
      </c>
      <c r="G296" t="s">
        <v>16</v>
      </c>
      <c r="H296" s="2">
        <v>44880</v>
      </c>
      <c r="I296" s="2" t="str">
        <f>TEXT(Table1[[#This Row],[date]],"dd")</f>
        <v>15</v>
      </c>
      <c r="J296" s="20">
        <f>DATE(2000,MONTH(Table1[[#This Row],[date]]),1)</f>
        <v>36831</v>
      </c>
      <c r="K296" s="18" t="str">
        <f>TEXT(Table1[[#This Row],[date]],"mm")</f>
        <v>11</v>
      </c>
      <c r="L296" s="16" t="s">
        <v>23</v>
      </c>
      <c r="M296">
        <v>2022</v>
      </c>
      <c r="N296" t="s">
        <v>35</v>
      </c>
      <c r="O296" t="s">
        <v>19</v>
      </c>
      <c r="P296">
        <v>164</v>
      </c>
      <c r="Q296">
        <f>AVERAGE(Table1[funds_raised_millions])</f>
        <v>470.28289473684208</v>
      </c>
      <c r="R296">
        <f>AVERAGE(Table1[total_laid_off])</f>
        <v>236.96936274509804</v>
      </c>
    </row>
    <row r="297" spans="1:18" x14ac:dyDescent="0.25">
      <c r="A297" s="3" t="s">
        <v>414</v>
      </c>
      <c r="B297" t="s">
        <v>13</v>
      </c>
      <c r="C297" t="s">
        <v>14</v>
      </c>
      <c r="D297">
        <v>200</v>
      </c>
      <c r="E297" t="s">
        <v>15</v>
      </c>
      <c r="F297" s="1" t="str">
        <f>IF(Table1[[#This Row],[percentage_laid_off]]=100%,"1","0")</f>
        <v>0</v>
      </c>
      <c r="G297" t="b">
        <v>0</v>
      </c>
      <c r="H297" s="2">
        <v>45078</v>
      </c>
      <c r="I297" s="2" t="str">
        <f>TEXT(Table1[[#This Row],[date]],"dd")</f>
        <v>01</v>
      </c>
      <c r="J297" s="20">
        <f>DATE(2000,MONTH(Table1[[#This Row],[date]]),1)</f>
        <v>36678</v>
      </c>
      <c r="K297" s="18" t="str">
        <f>TEXT(Table1[[#This Row],[date]],"mm")</f>
        <v>06</v>
      </c>
      <c r="L297" s="16" t="s">
        <v>73</v>
      </c>
      <c r="M297">
        <v>2023</v>
      </c>
      <c r="N297" t="s">
        <v>43</v>
      </c>
      <c r="O297" t="s">
        <v>19</v>
      </c>
      <c r="P297">
        <v>522</v>
      </c>
      <c r="Q297">
        <f>AVERAGE(Table1[funds_raised_millions])</f>
        <v>470.28289473684208</v>
      </c>
      <c r="R297">
        <f>AVERAGE(Table1[total_laid_off])</f>
        <v>236.96936274509804</v>
      </c>
    </row>
    <row r="298" spans="1:18" x14ac:dyDescent="0.25">
      <c r="A298" s="3" t="s">
        <v>414</v>
      </c>
      <c r="B298" t="s">
        <v>13</v>
      </c>
      <c r="C298" t="s">
        <v>14</v>
      </c>
      <c r="D298">
        <v>250</v>
      </c>
      <c r="E298" s="1">
        <v>0.08</v>
      </c>
      <c r="F298" s="1" t="str">
        <f>IF(Table1[[#This Row],[percentage_laid_off]]=100%,"1","0")</f>
        <v>0</v>
      </c>
      <c r="G298" t="s">
        <v>16</v>
      </c>
      <c r="H298" s="2">
        <v>44598</v>
      </c>
      <c r="I298" s="2" t="str">
        <f>TEXT(Table1[[#This Row],[date]],"dd")</f>
        <v>06</v>
      </c>
      <c r="J298" s="20">
        <f>DATE(2000,MONTH(Table1[[#This Row],[date]]),1)</f>
        <v>36557</v>
      </c>
      <c r="K298" s="18" t="str">
        <f>TEXT(Table1[[#This Row],[date]],"mm")</f>
        <v>02</v>
      </c>
      <c r="L298" s="16" t="s">
        <v>42</v>
      </c>
      <c r="M298">
        <v>2022</v>
      </c>
      <c r="N298" t="s">
        <v>43</v>
      </c>
      <c r="O298" t="s">
        <v>19</v>
      </c>
      <c r="P298">
        <v>522</v>
      </c>
      <c r="Q298">
        <f>AVERAGE(Table1[funds_raised_millions])</f>
        <v>470.28289473684208</v>
      </c>
      <c r="R298">
        <f>AVERAGE(Table1[total_laid_off])</f>
        <v>236.96936274509804</v>
      </c>
    </row>
    <row r="299" spans="1:18" x14ac:dyDescent="0.25">
      <c r="A299" s="3" t="s">
        <v>415</v>
      </c>
      <c r="B299" t="s">
        <v>406</v>
      </c>
      <c r="C299" t="s">
        <v>69</v>
      </c>
      <c r="D299">
        <v>200</v>
      </c>
      <c r="E299" t="s">
        <v>15</v>
      </c>
      <c r="F299" s="1" t="str">
        <f>IF(Table1[[#This Row],[percentage_laid_off]]=100%,"1","0")</f>
        <v>0</v>
      </c>
      <c r="G299" t="b">
        <v>0</v>
      </c>
      <c r="H299" s="2">
        <v>43976</v>
      </c>
      <c r="I299" s="2" t="str">
        <f>TEXT(Table1[[#This Row],[date]],"dd")</f>
        <v>25</v>
      </c>
      <c r="J299" s="20">
        <f>DATE(2000,MONTH(Table1[[#This Row],[date]]),1)</f>
        <v>36647</v>
      </c>
      <c r="K299" s="18" t="str">
        <f>TEXT(Table1[[#This Row],[date]],"mm")</f>
        <v>05</v>
      </c>
      <c r="L299" s="16" t="s">
        <v>86</v>
      </c>
      <c r="M299">
        <v>2020</v>
      </c>
      <c r="N299" t="s">
        <v>43</v>
      </c>
      <c r="O299" t="s">
        <v>83</v>
      </c>
      <c r="P299">
        <v>247</v>
      </c>
      <c r="Q299">
        <f>AVERAGE(Table1[funds_raised_millions])</f>
        <v>470.28289473684208</v>
      </c>
      <c r="R299">
        <f>AVERAGE(Table1[total_laid_off])</f>
        <v>236.96936274509804</v>
      </c>
    </row>
    <row r="300" spans="1:18" x14ac:dyDescent="0.25">
      <c r="A300" s="3" t="s">
        <v>416</v>
      </c>
      <c r="B300" t="s">
        <v>213</v>
      </c>
      <c r="C300" t="s">
        <v>22</v>
      </c>
      <c r="D300">
        <v>51</v>
      </c>
      <c r="E300" t="s">
        <v>15</v>
      </c>
      <c r="F300" s="1" t="str">
        <f>IF(Table1[[#This Row],[percentage_laid_off]]=100%,"1","0")</f>
        <v>0</v>
      </c>
      <c r="G300" t="b">
        <v>0</v>
      </c>
      <c r="H300" s="2">
        <v>44879</v>
      </c>
      <c r="I300" s="2" t="str">
        <f>TEXT(Table1[[#This Row],[date]],"dd")</f>
        <v>14</v>
      </c>
      <c r="J300" s="20">
        <f>DATE(2000,MONTH(Table1[[#This Row],[date]]),1)</f>
        <v>36831</v>
      </c>
      <c r="K300" s="18" t="str">
        <f>TEXT(Table1[[#This Row],[date]],"mm")</f>
        <v>11</v>
      </c>
      <c r="L300" s="16" t="s">
        <v>23</v>
      </c>
      <c r="M300">
        <v>2022</v>
      </c>
      <c r="N300" t="s">
        <v>38</v>
      </c>
      <c r="O300" t="s">
        <v>19</v>
      </c>
      <c r="P300">
        <v>212</v>
      </c>
      <c r="Q300">
        <f>AVERAGE(Table1[funds_raised_millions])</f>
        <v>470.28289473684208</v>
      </c>
      <c r="R300">
        <f>AVERAGE(Table1[total_laid_off])</f>
        <v>236.96936274509804</v>
      </c>
    </row>
    <row r="301" spans="1:18" x14ac:dyDescent="0.25">
      <c r="A301" s="3" t="s">
        <v>417</v>
      </c>
      <c r="B301" t="s">
        <v>88</v>
      </c>
      <c r="C301" t="s">
        <v>34</v>
      </c>
      <c r="D301">
        <v>81</v>
      </c>
      <c r="E301" t="s">
        <v>15</v>
      </c>
      <c r="F301" s="1" t="str">
        <f>IF(Table1[[#This Row],[percentage_laid_off]]=100%,"1","0")</f>
        <v>0</v>
      </c>
      <c r="G301" t="b">
        <v>0</v>
      </c>
      <c r="H301" s="2">
        <v>43951</v>
      </c>
      <c r="I301" s="2" t="str">
        <f>TEXT(Table1[[#This Row],[date]],"dd")</f>
        <v>30</v>
      </c>
      <c r="J301" s="20">
        <f>DATE(2000,MONTH(Table1[[#This Row],[date]]),1)</f>
        <v>36617</v>
      </c>
      <c r="K301" s="18" t="str">
        <f>TEXT(Table1[[#This Row],[date]],"mm")</f>
        <v>04</v>
      </c>
      <c r="L301" s="16" t="s">
        <v>37</v>
      </c>
      <c r="M301">
        <v>2020</v>
      </c>
      <c r="N301" t="s">
        <v>71</v>
      </c>
      <c r="O301" t="s">
        <v>19</v>
      </c>
      <c r="P301">
        <v>156</v>
      </c>
      <c r="Q301">
        <f>AVERAGE(Table1[funds_raised_millions])</f>
        <v>470.28289473684208</v>
      </c>
      <c r="R301">
        <f>AVERAGE(Table1[total_laid_off])</f>
        <v>236.96936274509804</v>
      </c>
    </row>
    <row r="302" spans="1:18" x14ac:dyDescent="0.25">
      <c r="A302" s="3" t="s">
        <v>418</v>
      </c>
      <c r="B302" t="s">
        <v>237</v>
      </c>
      <c r="C302" t="s">
        <v>69</v>
      </c>
      <c r="D302">
        <v>536</v>
      </c>
      <c r="E302" s="1">
        <v>0.31</v>
      </c>
      <c r="F302" s="1" t="str">
        <f>IF(Table1[[#This Row],[percentage_laid_off]]=100%,"1","0")</f>
        <v>0</v>
      </c>
      <c r="G302" t="s">
        <v>28</v>
      </c>
      <c r="H302" s="2">
        <v>43926</v>
      </c>
      <c r="I302" s="2" t="str">
        <f>TEXT(Table1[[#This Row],[date]],"dd")</f>
        <v>05</v>
      </c>
      <c r="J302" s="20">
        <f>DATE(2000,MONTH(Table1[[#This Row],[date]]),1)</f>
        <v>36617</v>
      </c>
      <c r="K302" s="18" t="str">
        <f>TEXT(Table1[[#This Row],[date]],"mm")</f>
        <v>04</v>
      </c>
      <c r="L302" s="16" t="s">
        <v>37</v>
      </c>
      <c r="M302">
        <v>2020</v>
      </c>
      <c r="N302" t="s">
        <v>71</v>
      </c>
      <c r="O302" t="s">
        <v>238</v>
      </c>
      <c r="P302">
        <v>771</v>
      </c>
      <c r="Q302">
        <f>AVERAGE(Table1[funds_raised_millions])</f>
        <v>470.28289473684208</v>
      </c>
      <c r="R302">
        <f>AVERAGE(Table1[total_laid_off])</f>
        <v>236.96936274509804</v>
      </c>
    </row>
    <row r="303" spans="1:18" x14ac:dyDescent="0.25">
      <c r="A303" s="3" t="s">
        <v>419</v>
      </c>
      <c r="B303" t="s">
        <v>13</v>
      </c>
      <c r="C303" t="s">
        <v>51</v>
      </c>
      <c r="D303">
        <v>22</v>
      </c>
      <c r="E303" t="s">
        <v>15</v>
      </c>
      <c r="F303" s="1" t="str">
        <f>IF(Table1[[#This Row],[percentage_laid_off]]=100%,"1","0")</f>
        <v>0</v>
      </c>
      <c r="G303" t="b">
        <v>0</v>
      </c>
      <c r="H303" s="2">
        <v>45261</v>
      </c>
      <c r="I303" s="2" t="str">
        <f>TEXT(Table1[[#This Row],[date]],"dd")</f>
        <v>01</v>
      </c>
      <c r="J303" s="20">
        <f>DATE(2000,MONTH(Table1[[#This Row],[date]]),1)</f>
        <v>36861</v>
      </c>
      <c r="K303" s="18" t="str">
        <f>TEXT(Table1[[#This Row],[date]],"mm")</f>
        <v>12</v>
      </c>
      <c r="L303" s="16" t="s">
        <v>61</v>
      </c>
      <c r="M303">
        <v>2023</v>
      </c>
      <c r="N303" t="s">
        <v>30</v>
      </c>
      <c r="O303" t="s">
        <v>19</v>
      </c>
      <c r="P303">
        <v>51</v>
      </c>
      <c r="Q303">
        <f>AVERAGE(Table1[funds_raised_millions])</f>
        <v>470.28289473684208</v>
      </c>
      <c r="R303">
        <f>AVERAGE(Table1[total_laid_off])</f>
        <v>236.96936274509804</v>
      </c>
    </row>
    <row r="304" spans="1:18" x14ac:dyDescent="0.25">
      <c r="A304" s="3" t="s">
        <v>419</v>
      </c>
      <c r="B304" t="s">
        <v>13</v>
      </c>
      <c r="C304" t="s">
        <v>51</v>
      </c>
      <c r="D304">
        <v>60</v>
      </c>
      <c r="E304" s="1">
        <v>0.33</v>
      </c>
      <c r="F304" s="1" t="str">
        <f>IF(Table1[[#This Row],[percentage_laid_off]]=100%,"1","0")</f>
        <v>0</v>
      </c>
      <c r="G304" t="s">
        <v>28</v>
      </c>
      <c r="H304" s="2">
        <v>44770</v>
      </c>
      <c r="I304" s="2" t="str">
        <f>TEXT(Table1[[#This Row],[date]],"dd")</f>
        <v>28</v>
      </c>
      <c r="J304" s="20">
        <f>DATE(2000,MONTH(Table1[[#This Row],[date]]),1)</f>
        <v>36708</v>
      </c>
      <c r="K304" s="18" t="str">
        <f>TEXT(Table1[[#This Row],[date]],"mm")</f>
        <v>07</v>
      </c>
      <c r="L304" s="16" t="s">
        <v>17</v>
      </c>
      <c r="M304">
        <v>2022</v>
      </c>
      <c r="N304" t="s">
        <v>30</v>
      </c>
      <c r="O304" t="s">
        <v>19</v>
      </c>
      <c r="P304">
        <v>51</v>
      </c>
      <c r="Q304">
        <f>AVERAGE(Table1[funds_raised_millions])</f>
        <v>470.28289473684208</v>
      </c>
      <c r="R304">
        <f>AVERAGE(Table1[total_laid_off])</f>
        <v>236.96936274509804</v>
      </c>
    </row>
    <row r="305" spans="1:18" x14ac:dyDescent="0.25">
      <c r="A305" s="3" t="s">
        <v>420</v>
      </c>
      <c r="B305" t="s">
        <v>88</v>
      </c>
      <c r="C305" t="s">
        <v>69</v>
      </c>
      <c r="D305">
        <v>130</v>
      </c>
      <c r="E305" s="1">
        <v>0.13</v>
      </c>
      <c r="F305" s="1" t="str">
        <f>IF(Table1[[#This Row],[percentage_laid_off]]=100%,"1","0")</f>
        <v>0</v>
      </c>
      <c r="G305" t="s">
        <v>28</v>
      </c>
      <c r="H305" s="2">
        <v>43937</v>
      </c>
      <c r="I305" s="2" t="str">
        <f>TEXT(Table1[[#This Row],[date]],"dd")</f>
        <v>16</v>
      </c>
      <c r="J305" s="20">
        <f>DATE(2000,MONTH(Table1[[#This Row],[date]]),1)</f>
        <v>36617</v>
      </c>
      <c r="K305" s="18" t="str">
        <f>TEXT(Table1[[#This Row],[date]],"mm")</f>
        <v>04</v>
      </c>
      <c r="L305" s="16" t="s">
        <v>37</v>
      </c>
      <c r="M305">
        <v>2020</v>
      </c>
      <c r="N305" t="s">
        <v>38</v>
      </c>
      <c r="O305" t="s">
        <v>19</v>
      </c>
      <c r="P305">
        <v>1</v>
      </c>
      <c r="Q305">
        <f>AVERAGE(Table1[funds_raised_millions])</f>
        <v>470.28289473684208</v>
      </c>
      <c r="R305">
        <f>AVERAGE(Table1[total_laid_off])</f>
        <v>236.96936274509804</v>
      </c>
    </row>
    <row r="306" spans="1:18" x14ac:dyDescent="0.25">
      <c r="A306" s="3" t="s">
        <v>421</v>
      </c>
      <c r="B306" t="s">
        <v>111</v>
      </c>
      <c r="C306" t="s">
        <v>41</v>
      </c>
      <c r="D306">
        <v>110</v>
      </c>
      <c r="E306" s="1">
        <v>0.1</v>
      </c>
      <c r="F306" s="1" t="str">
        <f>IF(Table1[[#This Row],[percentage_laid_off]]=100%,"1","0")</f>
        <v>0</v>
      </c>
      <c r="G306" t="s">
        <v>16</v>
      </c>
      <c r="H306" s="2">
        <v>44573</v>
      </c>
      <c r="I306" s="2" t="str">
        <f>TEXT(Table1[[#This Row],[date]],"dd")</f>
        <v>12</v>
      </c>
      <c r="J306" s="20">
        <f>DATE(2000,MONTH(Table1[[#This Row],[date]]),1)</f>
        <v>36526</v>
      </c>
      <c r="K306" s="18" t="str">
        <f>TEXT(Table1[[#This Row],[date]],"mm")</f>
        <v>01</v>
      </c>
      <c r="L306" s="16" t="s">
        <v>29</v>
      </c>
      <c r="M306">
        <v>2022</v>
      </c>
      <c r="N306" t="s">
        <v>117</v>
      </c>
      <c r="O306" t="s">
        <v>111</v>
      </c>
      <c r="P306">
        <v>372</v>
      </c>
      <c r="Q306">
        <f>AVERAGE(Table1[funds_raised_millions])</f>
        <v>470.28289473684208</v>
      </c>
      <c r="R306">
        <f>AVERAGE(Table1[total_laid_off])</f>
        <v>236.96936274509804</v>
      </c>
    </row>
    <row r="307" spans="1:18" x14ac:dyDescent="0.25">
      <c r="A307" s="3" t="s">
        <v>422</v>
      </c>
      <c r="B307" t="s">
        <v>406</v>
      </c>
      <c r="C307" t="s">
        <v>69</v>
      </c>
      <c r="D307">
        <v>600</v>
      </c>
      <c r="E307" s="1">
        <v>0.06</v>
      </c>
      <c r="F307" s="1" t="str">
        <f>IF(Table1[[#This Row],[percentage_laid_off]]=100%,"1","0")</f>
        <v>0</v>
      </c>
      <c r="G307" t="s">
        <v>16</v>
      </c>
      <c r="H307" s="2">
        <v>44700</v>
      </c>
      <c r="I307" s="2" t="str">
        <f>TEXT(Table1[[#This Row],[date]],"dd")</f>
        <v>19</v>
      </c>
      <c r="J307" s="20">
        <f>DATE(2000,MONTH(Table1[[#This Row],[date]]),1)</f>
        <v>36647</v>
      </c>
      <c r="K307" s="18" t="str">
        <f>TEXT(Table1[[#This Row],[date]],"mm")</f>
        <v>05</v>
      </c>
      <c r="L307" s="16" t="s">
        <v>86</v>
      </c>
      <c r="M307">
        <v>2022</v>
      </c>
      <c r="N307" t="s">
        <v>423</v>
      </c>
      <c r="O307" t="s">
        <v>83</v>
      </c>
      <c r="P307">
        <v>1300</v>
      </c>
      <c r="Q307">
        <f>AVERAGE(Table1[funds_raised_millions])</f>
        <v>470.28289473684208</v>
      </c>
      <c r="R307">
        <f>AVERAGE(Table1[total_laid_off])</f>
        <v>236.96936274509804</v>
      </c>
    </row>
    <row r="308" spans="1:18" x14ac:dyDescent="0.25">
      <c r="A308" s="3" t="s">
        <v>424</v>
      </c>
      <c r="B308" t="s">
        <v>425</v>
      </c>
      <c r="C308" t="s">
        <v>69</v>
      </c>
      <c r="D308" t="s">
        <v>15</v>
      </c>
      <c r="E308" s="1">
        <v>0.1</v>
      </c>
      <c r="F308" s="1" t="str">
        <f>IF(Table1[[#This Row],[percentage_laid_off]]=100%,"1","0")</f>
        <v>0</v>
      </c>
      <c r="G308" t="s">
        <v>16</v>
      </c>
      <c r="H308" s="2">
        <v>44834</v>
      </c>
      <c r="I308" s="2" t="str">
        <f>TEXT(Table1[[#This Row],[date]],"dd")</f>
        <v>30</v>
      </c>
      <c r="J308" s="20">
        <f>DATE(2000,MONTH(Table1[[#This Row],[date]]),1)</f>
        <v>36770</v>
      </c>
      <c r="K308" s="18" t="str">
        <f>TEXT(Table1[[#This Row],[date]],"mm")</f>
        <v>09</v>
      </c>
      <c r="L308" s="16" t="s">
        <v>70</v>
      </c>
      <c r="M308">
        <v>2022</v>
      </c>
      <c r="N308" t="s">
        <v>18</v>
      </c>
      <c r="O308" t="s">
        <v>426</v>
      </c>
      <c r="P308">
        <v>607</v>
      </c>
      <c r="Q308">
        <f>AVERAGE(Table1[funds_raised_millions])</f>
        <v>470.28289473684208</v>
      </c>
      <c r="R308">
        <f>AVERAGE(Table1[total_laid_off])</f>
        <v>236.96936274509804</v>
      </c>
    </row>
    <row r="309" spans="1:18" x14ac:dyDescent="0.25">
      <c r="A309" s="3" t="s">
        <v>427</v>
      </c>
      <c r="B309" t="s">
        <v>13</v>
      </c>
      <c r="C309" t="s">
        <v>82</v>
      </c>
      <c r="D309">
        <v>161</v>
      </c>
      <c r="E309" s="1">
        <v>0.16</v>
      </c>
      <c r="F309" s="1" t="str">
        <f>IF(Table1[[#This Row],[percentage_laid_off]]=100%,"1","0")</f>
        <v>0</v>
      </c>
      <c r="G309" t="s">
        <v>28</v>
      </c>
      <c r="H309" s="2">
        <v>43936</v>
      </c>
      <c r="I309" s="2" t="str">
        <f>TEXT(Table1[[#This Row],[date]],"dd")</f>
        <v>15</v>
      </c>
      <c r="J309" s="20">
        <f>DATE(2000,MONTH(Table1[[#This Row],[date]]),1)</f>
        <v>36617</v>
      </c>
      <c r="K309" s="18" t="str">
        <f>TEXT(Table1[[#This Row],[date]],"mm")</f>
        <v>04</v>
      </c>
      <c r="L309" s="16" t="s">
        <v>37</v>
      </c>
      <c r="M309">
        <v>2020</v>
      </c>
      <c r="N309" t="s">
        <v>18</v>
      </c>
      <c r="O309" t="s">
        <v>19</v>
      </c>
      <c r="P309">
        <v>447</v>
      </c>
      <c r="Q309">
        <f>AVERAGE(Table1[funds_raised_millions])</f>
        <v>470.28289473684208</v>
      </c>
      <c r="R309">
        <f>AVERAGE(Table1[total_laid_off])</f>
        <v>236.96936274509804</v>
      </c>
    </row>
    <row r="310" spans="1:18" x14ac:dyDescent="0.25">
      <c r="A310" s="3" t="s">
        <v>427</v>
      </c>
      <c r="B310" t="s">
        <v>13</v>
      </c>
      <c r="C310" t="s">
        <v>190</v>
      </c>
      <c r="D310" t="s">
        <v>15</v>
      </c>
      <c r="E310" s="1">
        <v>0.1</v>
      </c>
      <c r="F310" s="1" t="str">
        <f>IF(Table1[[#This Row],[percentage_laid_off]]=100%,"1","0")</f>
        <v>0</v>
      </c>
      <c r="G310" t="s">
        <v>16</v>
      </c>
      <c r="H310" s="2">
        <v>45231</v>
      </c>
      <c r="I310" s="2" t="str">
        <f>TEXT(Table1[[#This Row],[date]],"dd")</f>
        <v>01</v>
      </c>
      <c r="J310" s="20">
        <f>DATE(2000,MONTH(Table1[[#This Row],[date]]),1)</f>
        <v>36831</v>
      </c>
      <c r="K310" s="18" t="str">
        <f>TEXT(Table1[[#This Row],[date]],"mm")</f>
        <v>11</v>
      </c>
      <c r="L310" s="16" t="s">
        <v>23</v>
      </c>
      <c r="M310">
        <v>2023</v>
      </c>
      <c r="N310" t="s">
        <v>423</v>
      </c>
      <c r="O310" t="s">
        <v>19</v>
      </c>
      <c r="P310">
        <v>1100</v>
      </c>
      <c r="Q310">
        <f>AVERAGE(Table1[funds_raised_millions])</f>
        <v>470.28289473684208</v>
      </c>
      <c r="R310">
        <f>AVERAGE(Table1[total_laid_off])</f>
        <v>236.96936274509804</v>
      </c>
    </row>
    <row r="311" spans="1:18" x14ac:dyDescent="0.25">
      <c r="A311" s="3" t="s">
        <v>428</v>
      </c>
      <c r="B311" t="s">
        <v>233</v>
      </c>
      <c r="C311" t="s">
        <v>69</v>
      </c>
      <c r="D311">
        <v>2500</v>
      </c>
      <c r="E311" s="1">
        <v>0.12</v>
      </c>
      <c r="F311" s="1" t="str">
        <f>IF(Table1[[#This Row],[percentage_laid_off]]=100%,"1","0")</f>
        <v>0</v>
      </c>
      <c r="G311" t="s">
        <v>28</v>
      </c>
      <c r="H311" s="2">
        <v>44839</v>
      </c>
      <c r="I311" s="2" t="str">
        <f>TEXT(Table1[[#This Row],[date]],"dd")</f>
        <v>05</v>
      </c>
      <c r="J311" s="20">
        <f>DATE(2000,MONTH(Table1[[#This Row],[date]]),1)</f>
        <v>36800</v>
      </c>
      <c r="K311" s="18" t="str">
        <f>TEXT(Table1[[#This Row],[date]],"mm")</f>
        <v>10</v>
      </c>
      <c r="L311" s="16" t="s">
        <v>95</v>
      </c>
      <c r="M311">
        <v>2022</v>
      </c>
      <c r="N311" t="s">
        <v>38</v>
      </c>
      <c r="O311" t="s">
        <v>19</v>
      </c>
      <c r="P311">
        <v>1600</v>
      </c>
      <c r="Q311">
        <f>AVERAGE(Table1[funds_raised_millions])</f>
        <v>470.28289473684208</v>
      </c>
      <c r="R311">
        <f>AVERAGE(Table1[total_laid_off])</f>
        <v>236.96936274509804</v>
      </c>
    </row>
    <row r="312" spans="1:18" x14ac:dyDescent="0.25">
      <c r="A312" s="3" t="s">
        <v>428</v>
      </c>
      <c r="B312" t="s">
        <v>233</v>
      </c>
      <c r="C312" t="s">
        <v>69</v>
      </c>
      <c r="D312">
        <v>1500</v>
      </c>
      <c r="E312" s="1">
        <v>0.08</v>
      </c>
      <c r="F312" s="1" t="str">
        <f>IF(Table1[[#This Row],[percentage_laid_off]]=100%,"1","0")</f>
        <v>0</v>
      </c>
      <c r="G312" t="s">
        <v>16</v>
      </c>
      <c r="H312" s="2">
        <v>44883</v>
      </c>
      <c r="I312" s="2" t="str">
        <f>TEXT(Table1[[#This Row],[date]],"dd")</f>
        <v>18</v>
      </c>
      <c r="J312" s="20">
        <f>DATE(2000,MONTH(Table1[[#This Row],[date]]),1)</f>
        <v>36831</v>
      </c>
      <c r="K312" s="18" t="str">
        <f>TEXT(Table1[[#This Row],[date]],"mm")</f>
        <v>11</v>
      </c>
      <c r="L312" s="16" t="s">
        <v>23</v>
      </c>
      <c r="M312">
        <v>2022</v>
      </c>
      <c r="N312" t="s">
        <v>38</v>
      </c>
      <c r="O312" t="s">
        <v>19</v>
      </c>
      <c r="P312">
        <v>1600</v>
      </c>
      <c r="Q312">
        <f>AVERAGE(Table1[funds_raised_millions])</f>
        <v>470.28289473684208</v>
      </c>
      <c r="R312">
        <f>AVERAGE(Table1[total_laid_off])</f>
        <v>236.96936274509804</v>
      </c>
    </row>
    <row r="313" spans="1:18" x14ac:dyDescent="0.25">
      <c r="A313" s="3" t="s">
        <v>429</v>
      </c>
      <c r="B313" t="s">
        <v>199</v>
      </c>
      <c r="C313" t="s">
        <v>69</v>
      </c>
      <c r="D313">
        <v>70</v>
      </c>
      <c r="E313" s="1">
        <v>0.2</v>
      </c>
      <c r="F313" s="1" t="str">
        <f>IF(Table1[[#This Row],[percentage_laid_off]]=100%,"1","0")</f>
        <v>0</v>
      </c>
      <c r="G313" t="s">
        <v>28</v>
      </c>
      <c r="H313" s="2">
        <v>44890</v>
      </c>
      <c r="I313" s="2" t="str">
        <f>TEXT(Table1[[#This Row],[date]],"dd")</f>
        <v>25</v>
      </c>
      <c r="J313" s="20">
        <f>DATE(2000,MONTH(Table1[[#This Row],[date]]),1)</f>
        <v>36831</v>
      </c>
      <c r="K313" s="18" t="str">
        <f>TEXT(Table1[[#This Row],[date]],"mm")</f>
        <v>11</v>
      </c>
      <c r="L313" s="16" t="s">
        <v>23</v>
      </c>
      <c r="M313">
        <v>2022</v>
      </c>
      <c r="N313" t="s">
        <v>47</v>
      </c>
      <c r="O313" t="s">
        <v>200</v>
      </c>
      <c r="P313">
        <v>157</v>
      </c>
      <c r="Q313">
        <f>AVERAGE(Table1[funds_raised_millions])</f>
        <v>470.28289473684208</v>
      </c>
      <c r="R313">
        <f>AVERAGE(Table1[total_laid_off])</f>
        <v>236.96936274509804</v>
      </c>
    </row>
    <row r="314" spans="1:18" x14ac:dyDescent="0.25">
      <c r="A314" s="3" t="s">
        <v>430</v>
      </c>
      <c r="B314" t="s">
        <v>431</v>
      </c>
      <c r="C314" t="s">
        <v>174</v>
      </c>
      <c r="D314" t="s">
        <v>15</v>
      </c>
      <c r="E314" s="1">
        <v>0.3</v>
      </c>
      <c r="F314" s="1" t="str">
        <f>IF(Table1[[#This Row],[percentage_laid_off]]=100%,"1","0")</f>
        <v>0</v>
      </c>
      <c r="G314" t="s">
        <v>28</v>
      </c>
      <c r="H314" s="2">
        <v>44970</v>
      </c>
      <c r="I314" s="2" t="str">
        <f>TEXT(Table1[[#This Row],[date]],"dd")</f>
        <v>13</v>
      </c>
      <c r="J314" s="20">
        <f>DATE(2000,MONTH(Table1[[#This Row],[date]]),1)</f>
        <v>36557</v>
      </c>
      <c r="K314" s="18" t="str">
        <f>TEXT(Table1[[#This Row],[date]],"mm")</f>
        <v>02</v>
      </c>
      <c r="L314" s="16" t="s">
        <v>42</v>
      </c>
      <c r="M314">
        <v>2023</v>
      </c>
      <c r="N314" t="s">
        <v>47</v>
      </c>
      <c r="O314" t="s">
        <v>432</v>
      </c>
      <c r="P314">
        <v>708</v>
      </c>
      <c r="Q314">
        <f>AVERAGE(Table1[funds_raised_millions])</f>
        <v>470.28289473684208</v>
      </c>
      <c r="R314">
        <f>AVERAGE(Table1[total_laid_off])</f>
        <v>236.96936274509804</v>
      </c>
    </row>
    <row r="315" spans="1:18" x14ac:dyDescent="0.25">
      <c r="A315" s="3" t="s">
        <v>433</v>
      </c>
      <c r="B315" t="s">
        <v>313</v>
      </c>
      <c r="C315" t="s">
        <v>82</v>
      </c>
      <c r="D315">
        <v>100</v>
      </c>
      <c r="E315" t="s">
        <v>15</v>
      </c>
      <c r="F315" s="1" t="str">
        <f>IF(Table1[[#This Row],[percentage_laid_off]]=100%,"1","0")</f>
        <v>0</v>
      </c>
      <c r="G315" t="b">
        <v>0</v>
      </c>
      <c r="H315" s="2">
        <v>45261</v>
      </c>
      <c r="I315" s="2" t="str">
        <f>TEXT(Table1[[#This Row],[date]],"dd")</f>
        <v>01</v>
      </c>
      <c r="J315" s="20">
        <f>DATE(2000,MONTH(Table1[[#This Row],[date]]),1)</f>
        <v>36861</v>
      </c>
      <c r="K315" s="18" t="str">
        <f>TEXT(Table1[[#This Row],[date]],"mm")</f>
        <v>12</v>
      </c>
      <c r="L315" s="16" t="s">
        <v>61</v>
      </c>
      <c r="M315">
        <v>2023</v>
      </c>
      <c r="N315" t="s">
        <v>30</v>
      </c>
      <c r="O315" t="s">
        <v>83</v>
      </c>
      <c r="P315">
        <v>41</v>
      </c>
      <c r="Q315">
        <f>AVERAGE(Table1[funds_raised_millions])</f>
        <v>470.28289473684208</v>
      </c>
      <c r="R315">
        <f>AVERAGE(Table1[total_laid_off])</f>
        <v>236.96936274509804</v>
      </c>
    </row>
    <row r="316" spans="1:18" x14ac:dyDescent="0.25">
      <c r="A316" s="3" t="s">
        <v>434</v>
      </c>
      <c r="B316" t="s">
        <v>40</v>
      </c>
      <c r="C316" t="s">
        <v>41</v>
      </c>
      <c r="D316">
        <v>78</v>
      </c>
      <c r="E316" s="1">
        <v>0.21</v>
      </c>
      <c r="F316" s="1" t="str">
        <f>IF(Table1[[#This Row],[percentage_laid_off]]=100%,"1","0")</f>
        <v>0</v>
      </c>
      <c r="G316" t="s">
        <v>28</v>
      </c>
      <c r="H316" s="2">
        <v>43942</v>
      </c>
      <c r="I316" s="2" t="str">
        <f>TEXT(Table1[[#This Row],[date]],"dd")</f>
        <v>21</v>
      </c>
      <c r="J316" s="20">
        <f>DATE(2000,MONTH(Table1[[#This Row],[date]]),1)</f>
        <v>36617</v>
      </c>
      <c r="K316" s="18" t="str">
        <f>TEXT(Table1[[#This Row],[date]],"mm")</f>
        <v>04</v>
      </c>
      <c r="L316" s="16" t="s">
        <v>37</v>
      </c>
      <c r="M316">
        <v>2020</v>
      </c>
      <c r="N316" t="s">
        <v>38</v>
      </c>
      <c r="O316" t="s">
        <v>19</v>
      </c>
      <c r="P316">
        <v>339</v>
      </c>
      <c r="Q316">
        <f>AVERAGE(Table1[funds_raised_millions])</f>
        <v>470.28289473684208</v>
      </c>
      <c r="R316">
        <f>AVERAGE(Table1[total_laid_off])</f>
        <v>236.96936274509804</v>
      </c>
    </row>
    <row r="317" spans="1:18" x14ac:dyDescent="0.25">
      <c r="A317" s="3" t="s">
        <v>435</v>
      </c>
      <c r="B317" t="s">
        <v>13</v>
      </c>
      <c r="C317" t="s">
        <v>14</v>
      </c>
      <c r="D317" t="s">
        <v>15</v>
      </c>
      <c r="E317" s="1">
        <v>0.13</v>
      </c>
      <c r="F317" s="1" t="str">
        <f>IF(Table1[[#This Row],[percentage_laid_off]]=100%,"1","0")</f>
        <v>0</v>
      </c>
      <c r="G317" t="s">
        <v>28</v>
      </c>
      <c r="H317" s="2">
        <v>43926</v>
      </c>
      <c r="I317" s="2" t="str">
        <f>TEXT(Table1[[#This Row],[date]],"dd")</f>
        <v>05</v>
      </c>
      <c r="J317" s="20">
        <f>DATE(2000,MONTH(Table1[[#This Row],[date]]),1)</f>
        <v>36617</v>
      </c>
      <c r="K317" s="18" t="str">
        <f>TEXT(Table1[[#This Row],[date]],"mm")</f>
        <v>04</v>
      </c>
      <c r="L317" s="16" t="s">
        <v>37</v>
      </c>
      <c r="M317">
        <v>2020</v>
      </c>
      <c r="N317" t="s">
        <v>38</v>
      </c>
      <c r="O317" t="s">
        <v>19</v>
      </c>
      <c r="P317">
        <v>184</v>
      </c>
      <c r="Q317">
        <f>AVERAGE(Table1[funds_raised_millions])</f>
        <v>470.28289473684208</v>
      </c>
      <c r="R317">
        <f>AVERAGE(Table1[total_laid_off])</f>
        <v>236.96936274509804</v>
      </c>
    </row>
    <row r="318" spans="1:18" x14ac:dyDescent="0.25">
      <c r="A318" s="3" t="s">
        <v>436</v>
      </c>
      <c r="B318" t="s">
        <v>88</v>
      </c>
      <c r="C318" t="s">
        <v>161</v>
      </c>
      <c r="D318">
        <v>30</v>
      </c>
      <c r="E318" t="s">
        <v>15</v>
      </c>
      <c r="F318" s="1" t="str">
        <f>IF(Table1[[#This Row],[percentage_laid_off]]=100%,"1","0")</f>
        <v>0</v>
      </c>
      <c r="G318" t="b">
        <v>0</v>
      </c>
      <c r="H318" s="2">
        <v>43920</v>
      </c>
      <c r="I318" s="2" t="str">
        <f>TEXT(Table1[[#This Row],[date]],"dd")</f>
        <v>30</v>
      </c>
      <c r="J318" s="20">
        <f>DATE(2000,MONTH(Table1[[#This Row],[date]]),1)</f>
        <v>36586</v>
      </c>
      <c r="K318" s="18" t="str">
        <f>TEXT(Table1[[#This Row],[date]],"mm")</f>
        <v>03</v>
      </c>
      <c r="L318" s="16" t="s">
        <v>57</v>
      </c>
      <c r="M318">
        <v>2020</v>
      </c>
      <c r="N318" t="s">
        <v>18</v>
      </c>
      <c r="O318" t="s">
        <v>19</v>
      </c>
      <c r="P318">
        <v>110</v>
      </c>
      <c r="Q318">
        <f>AVERAGE(Table1[funds_raised_millions])</f>
        <v>470.28289473684208</v>
      </c>
      <c r="R318">
        <f>AVERAGE(Table1[total_laid_off])</f>
        <v>236.96936274509804</v>
      </c>
    </row>
    <row r="319" spans="1:18" x14ac:dyDescent="0.25">
      <c r="A319" s="3" t="s">
        <v>437</v>
      </c>
      <c r="B319" t="s">
        <v>252</v>
      </c>
      <c r="C319" t="s">
        <v>41</v>
      </c>
      <c r="D319">
        <v>100</v>
      </c>
      <c r="E319" t="s">
        <v>15</v>
      </c>
      <c r="F319" s="1" t="str">
        <f>IF(Table1[[#This Row],[percentage_laid_off]]=100%,"1","0")</f>
        <v>0</v>
      </c>
      <c r="G319" t="b">
        <v>0</v>
      </c>
      <c r="H319" s="2">
        <v>45079</v>
      </c>
      <c r="I319" s="2" t="str">
        <f>TEXT(Table1[[#This Row],[date]],"dd")</f>
        <v>02</v>
      </c>
      <c r="J319" s="20">
        <f>DATE(2000,MONTH(Table1[[#This Row],[date]]),1)</f>
        <v>36678</v>
      </c>
      <c r="K319" s="18" t="str">
        <f>TEXT(Table1[[#This Row],[date]],"mm")</f>
        <v>06</v>
      </c>
      <c r="L319" s="16" t="s">
        <v>73</v>
      </c>
      <c r="M319">
        <v>2023</v>
      </c>
      <c r="N319" t="s">
        <v>71</v>
      </c>
      <c r="O319" t="s">
        <v>58</v>
      </c>
      <c r="P319">
        <v>80</v>
      </c>
      <c r="Q319">
        <f>AVERAGE(Table1[funds_raised_millions])</f>
        <v>470.28289473684208</v>
      </c>
      <c r="R319">
        <f>AVERAGE(Table1[total_laid_off])</f>
        <v>236.96936274509804</v>
      </c>
    </row>
    <row r="320" spans="1:18" x14ac:dyDescent="0.25">
      <c r="A320" s="3" t="s">
        <v>438</v>
      </c>
      <c r="B320" t="s">
        <v>199</v>
      </c>
      <c r="C320" t="s">
        <v>69</v>
      </c>
      <c r="D320">
        <v>750</v>
      </c>
      <c r="E320" s="1">
        <v>0.15</v>
      </c>
      <c r="F320" s="1" t="str">
        <f>IF(Table1[[#This Row],[percentage_laid_off]]=100%,"1","0")</f>
        <v>0</v>
      </c>
      <c r="G320" t="s">
        <v>28</v>
      </c>
      <c r="H320" s="2">
        <v>44748</v>
      </c>
      <c r="I320" s="2" t="str">
        <f>TEXT(Table1[[#This Row],[date]],"dd")</f>
        <v>06</v>
      </c>
      <c r="J320" s="20">
        <f>DATE(2000,MONTH(Table1[[#This Row],[date]]),1)</f>
        <v>36708</v>
      </c>
      <c r="K320" s="18" t="str">
        <f>TEXT(Table1[[#This Row],[date]],"mm")</f>
        <v>07</v>
      </c>
      <c r="L320" s="16" t="s">
        <v>17</v>
      </c>
      <c r="M320">
        <v>2022</v>
      </c>
      <c r="N320" t="s">
        <v>38</v>
      </c>
      <c r="O320" t="s">
        <v>200</v>
      </c>
      <c r="P320">
        <v>2000</v>
      </c>
      <c r="Q320">
        <f>AVERAGE(Table1[funds_raised_millions])</f>
        <v>470.28289473684208</v>
      </c>
      <c r="R320">
        <f>AVERAGE(Table1[total_laid_off])</f>
        <v>236.96936274509804</v>
      </c>
    </row>
    <row r="321" spans="1:18" x14ac:dyDescent="0.25">
      <c r="A321" s="3" t="s">
        <v>439</v>
      </c>
      <c r="B321" t="s">
        <v>40</v>
      </c>
      <c r="C321" t="s">
        <v>14</v>
      </c>
      <c r="D321" t="s">
        <v>15</v>
      </c>
      <c r="E321" s="1">
        <v>0.24</v>
      </c>
      <c r="F321" s="1" t="str">
        <f>IF(Table1[[#This Row],[percentage_laid_off]]=100%,"1","0")</f>
        <v>0</v>
      </c>
      <c r="G321" t="s">
        <v>28</v>
      </c>
      <c r="H321" s="2">
        <v>44749</v>
      </c>
      <c r="I321" s="2" t="str">
        <f>TEXT(Table1[[#This Row],[date]],"dd")</f>
        <v>07</v>
      </c>
      <c r="J321" s="20">
        <f>DATE(2000,MONTH(Table1[[#This Row],[date]]),1)</f>
        <v>36708</v>
      </c>
      <c r="K321" s="18" t="str">
        <f>TEXT(Table1[[#This Row],[date]],"mm")</f>
        <v>07</v>
      </c>
      <c r="L321" s="16" t="s">
        <v>17</v>
      </c>
      <c r="M321">
        <v>2022</v>
      </c>
      <c r="N321" t="s">
        <v>43</v>
      </c>
      <c r="O321" t="s">
        <v>19</v>
      </c>
      <c r="P321">
        <v>351</v>
      </c>
      <c r="Q321">
        <f>AVERAGE(Table1[funds_raised_millions])</f>
        <v>470.28289473684208</v>
      </c>
      <c r="R321">
        <f>AVERAGE(Table1[total_laid_off])</f>
        <v>236.96936274509804</v>
      </c>
    </row>
    <row r="322" spans="1:18" x14ac:dyDescent="0.25">
      <c r="A322" s="3" t="s">
        <v>440</v>
      </c>
      <c r="B322" t="s">
        <v>40</v>
      </c>
      <c r="C322" t="s">
        <v>46</v>
      </c>
      <c r="D322">
        <v>150</v>
      </c>
      <c r="E322" s="1">
        <v>0.25</v>
      </c>
      <c r="F322" s="1" t="str">
        <f>IF(Table1[[#This Row],[percentage_laid_off]]=100%,"1","0")</f>
        <v>0</v>
      </c>
      <c r="G322" t="s">
        <v>28</v>
      </c>
      <c r="H322" s="2">
        <v>44627</v>
      </c>
      <c r="I322" s="2" t="str">
        <f>TEXT(Table1[[#This Row],[date]],"dd")</f>
        <v>07</v>
      </c>
      <c r="J322" s="20">
        <f>DATE(2000,MONTH(Table1[[#This Row],[date]]),1)</f>
        <v>36586</v>
      </c>
      <c r="K322" s="18" t="str">
        <f>TEXT(Table1[[#This Row],[date]],"mm")</f>
        <v>03</v>
      </c>
      <c r="L322" s="16" t="s">
        <v>57</v>
      </c>
      <c r="M322">
        <v>2022</v>
      </c>
      <c r="N322" t="s">
        <v>30</v>
      </c>
      <c r="O322" t="s">
        <v>19</v>
      </c>
      <c r="P322">
        <v>864</v>
      </c>
      <c r="Q322">
        <f>AVERAGE(Table1[funds_raised_millions])</f>
        <v>470.28289473684208</v>
      </c>
      <c r="R322">
        <f>AVERAGE(Table1[total_laid_off])</f>
        <v>236.96936274509804</v>
      </c>
    </row>
    <row r="323" spans="1:18" x14ac:dyDescent="0.25">
      <c r="A323" s="3" t="s">
        <v>441</v>
      </c>
      <c r="B323" t="s">
        <v>13</v>
      </c>
      <c r="C323" t="s">
        <v>14</v>
      </c>
      <c r="D323">
        <v>285</v>
      </c>
      <c r="E323" s="1">
        <v>0.15</v>
      </c>
      <c r="F323" s="1" t="str">
        <f>IF(Table1[[#This Row],[percentage_laid_off]]=100%,"1","0")</f>
        <v>0</v>
      </c>
      <c r="G323" t="s">
        <v>28</v>
      </c>
      <c r="H323" s="2">
        <v>44984</v>
      </c>
      <c r="I323" s="2" t="str">
        <f>TEXT(Table1[[#This Row],[date]],"dd")</f>
        <v>27</v>
      </c>
      <c r="J323" s="20">
        <f>DATE(2000,MONTH(Table1[[#This Row],[date]]),1)</f>
        <v>36557</v>
      </c>
      <c r="K323" s="18" t="str">
        <f>TEXT(Table1[[#This Row],[date]],"mm")</f>
        <v>02</v>
      </c>
      <c r="L323" s="16" t="s">
        <v>42</v>
      </c>
      <c r="M323">
        <v>2023</v>
      </c>
      <c r="N323" t="s">
        <v>35</v>
      </c>
      <c r="O323" t="s">
        <v>19</v>
      </c>
      <c r="P323">
        <v>462</v>
      </c>
      <c r="Q323">
        <f>AVERAGE(Table1[funds_raised_millions])</f>
        <v>470.28289473684208</v>
      </c>
      <c r="R323">
        <f>AVERAGE(Table1[total_laid_off])</f>
        <v>236.96936274509804</v>
      </c>
    </row>
    <row r="324" spans="1:18" x14ac:dyDescent="0.25">
      <c r="A324" s="3" t="s">
        <v>441</v>
      </c>
      <c r="B324" t="s">
        <v>13</v>
      </c>
      <c r="C324" t="s">
        <v>14</v>
      </c>
      <c r="D324">
        <v>400</v>
      </c>
      <c r="E324" s="1">
        <v>0.2</v>
      </c>
      <c r="F324" s="1" t="str">
        <f>IF(Table1[[#This Row],[percentage_laid_off]]=100%,"1","0")</f>
        <v>0</v>
      </c>
      <c r="G324" t="s">
        <v>28</v>
      </c>
      <c r="H324" s="2">
        <v>44858</v>
      </c>
      <c r="I324" s="2" t="str">
        <f>TEXT(Table1[[#This Row],[date]],"dd")</f>
        <v>24</v>
      </c>
      <c r="J324" s="20">
        <f>DATE(2000,MONTH(Table1[[#This Row],[date]]),1)</f>
        <v>36800</v>
      </c>
      <c r="K324" s="18" t="str">
        <f>TEXT(Table1[[#This Row],[date]],"mm")</f>
        <v>10</v>
      </c>
      <c r="L324" s="16" t="s">
        <v>95</v>
      </c>
      <c r="M324">
        <v>2022</v>
      </c>
      <c r="N324" t="s">
        <v>35</v>
      </c>
      <c r="O324" t="s">
        <v>19</v>
      </c>
      <c r="P324">
        <v>462</v>
      </c>
      <c r="Q324">
        <f>AVERAGE(Table1[funds_raised_millions])</f>
        <v>470.28289473684208</v>
      </c>
      <c r="R324">
        <f>AVERAGE(Table1[total_laid_off])</f>
        <v>236.96936274509804</v>
      </c>
    </row>
    <row r="325" spans="1:18" x14ac:dyDescent="0.25">
      <c r="A325" s="3" t="s">
        <v>442</v>
      </c>
      <c r="B325" t="s">
        <v>40</v>
      </c>
      <c r="C325" t="s">
        <v>46</v>
      </c>
      <c r="D325">
        <v>44</v>
      </c>
      <c r="E325" s="1">
        <v>0.05</v>
      </c>
      <c r="F325" s="1" t="str">
        <f>IF(Table1[[#This Row],[percentage_laid_off]]=100%,"1","0")</f>
        <v>0</v>
      </c>
      <c r="G325" t="s">
        <v>16</v>
      </c>
      <c r="H325" s="2">
        <v>44928</v>
      </c>
      <c r="I325" s="2" t="str">
        <f>TEXT(Table1[[#This Row],[date]],"dd")</f>
        <v>02</v>
      </c>
      <c r="J325" s="20">
        <f>DATE(2000,MONTH(Table1[[#This Row],[date]]),1)</f>
        <v>36526</v>
      </c>
      <c r="K325" s="18" t="str">
        <f>TEXT(Table1[[#This Row],[date]],"mm")</f>
        <v>01</v>
      </c>
      <c r="L325" s="16" t="s">
        <v>29</v>
      </c>
      <c r="M325">
        <v>2023</v>
      </c>
      <c r="N325" t="s">
        <v>100</v>
      </c>
      <c r="O325" t="s">
        <v>19</v>
      </c>
      <c r="P325">
        <v>536</v>
      </c>
      <c r="Q325">
        <f>AVERAGE(Table1[funds_raised_millions])</f>
        <v>470.28289473684208</v>
      </c>
      <c r="R325">
        <f>AVERAGE(Table1[total_laid_off])</f>
        <v>236.96936274509804</v>
      </c>
    </row>
    <row r="326" spans="1:18" x14ac:dyDescent="0.25">
      <c r="A326" s="3" t="s">
        <v>443</v>
      </c>
      <c r="B326" t="s">
        <v>334</v>
      </c>
      <c r="C326" t="s">
        <v>82</v>
      </c>
      <c r="D326" t="s">
        <v>15</v>
      </c>
      <c r="E326" s="1">
        <v>0.24</v>
      </c>
      <c r="F326" s="1" t="str">
        <f>IF(Table1[[#This Row],[percentage_laid_off]]=100%,"1","0")</f>
        <v>0</v>
      </c>
      <c r="G326" t="s">
        <v>28</v>
      </c>
      <c r="H326" s="2">
        <v>44892</v>
      </c>
      <c r="I326" s="2" t="str">
        <f>TEXT(Table1[[#This Row],[date]],"dd")</f>
        <v>27</v>
      </c>
      <c r="J326" s="20">
        <f>DATE(2000,MONTH(Table1[[#This Row],[date]]),1)</f>
        <v>36831</v>
      </c>
      <c r="K326" s="18" t="str">
        <f>TEXT(Table1[[#This Row],[date]],"mm")</f>
        <v>11</v>
      </c>
      <c r="L326" s="16" t="s">
        <v>23</v>
      </c>
      <c r="M326">
        <v>2022</v>
      </c>
      <c r="N326" t="s">
        <v>47</v>
      </c>
      <c r="O326" t="s">
        <v>335</v>
      </c>
      <c r="P326">
        <v>22</v>
      </c>
      <c r="Q326">
        <f>AVERAGE(Table1[funds_raised_millions])</f>
        <v>470.28289473684208</v>
      </c>
      <c r="R326">
        <f>AVERAGE(Table1[total_laid_off])</f>
        <v>236.96936274509804</v>
      </c>
    </row>
    <row r="327" spans="1:18" x14ac:dyDescent="0.25">
      <c r="A327" s="3" t="s">
        <v>444</v>
      </c>
      <c r="B327" t="s">
        <v>13</v>
      </c>
      <c r="C327" t="s">
        <v>161</v>
      </c>
      <c r="D327" t="s">
        <v>15</v>
      </c>
      <c r="E327" s="1">
        <v>0.19</v>
      </c>
      <c r="F327" s="1" t="str">
        <f>IF(Table1[[#This Row],[percentage_laid_off]]=100%,"1","0")</f>
        <v>0</v>
      </c>
      <c r="G327" t="s">
        <v>28</v>
      </c>
      <c r="H327" s="2">
        <v>44770</v>
      </c>
      <c r="I327" s="2" t="str">
        <f>TEXT(Table1[[#This Row],[date]],"dd")</f>
        <v>28</v>
      </c>
      <c r="J327" s="20">
        <f>DATE(2000,MONTH(Table1[[#This Row],[date]]),1)</f>
        <v>36708</v>
      </c>
      <c r="K327" s="18" t="str">
        <f>TEXT(Table1[[#This Row],[date]],"mm")</f>
        <v>07</v>
      </c>
      <c r="L327" s="16" t="s">
        <v>17</v>
      </c>
      <c r="M327">
        <v>2022</v>
      </c>
      <c r="N327" t="s">
        <v>43</v>
      </c>
      <c r="O327" t="s">
        <v>19</v>
      </c>
      <c r="P327">
        <v>72</v>
      </c>
      <c r="Q327">
        <f>AVERAGE(Table1[funds_raised_millions])</f>
        <v>470.28289473684208</v>
      </c>
      <c r="R327">
        <f>AVERAGE(Table1[total_laid_off])</f>
        <v>236.96936274509804</v>
      </c>
    </row>
    <row r="328" spans="1:18" x14ac:dyDescent="0.25">
      <c r="A328" s="3" t="s">
        <v>445</v>
      </c>
      <c r="B328" t="s">
        <v>13</v>
      </c>
      <c r="C328" t="s">
        <v>82</v>
      </c>
      <c r="D328">
        <v>142</v>
      </c>
      <c r="E328" s="1">
        <v>0.1</v>
      </c>
      <c r="F328" s="1" t="str">
        <f>IF(Table1[[#This Row],[percentage_laid_off]]=100%,"1","0")</f>
        <v>0</v>
      </c>
      <c r="G328" t="s">
        <v>16</v>
      </c>
      <c r="H328" s="2">
        <v>44603</v>
      </c>
      <c r="I328" s="2" t="str">
        <f>TEXT(Table1[[#This Row],[date]],"dd")</f>
        <v>11</v>
      </c>
      <c r="J328" s="20">
        <f>DATE(2000,MONTH(Table1[[#This Row],[date]]),1)</f>
        <v>36557</v>
      </c>
      <c r="K328" s="18" t="str">
        <f>TEXT(Table1[[#This Row],[date]],"mm")</f>
        <v>02</v>
      </c>
      <c r="L328" s="16" t="s">
        <v>42</v>
      </c>
      <c r="M328">
        <v>2022</v>
      </c>
      <c r="N328" t="s">
        <v>396</v>
      </c>
      <c r="O328" t="s">
        <v>19</v>
      </c>
      <c r="P328">
        <v>468</v>
      </c>
      <c r="Q328">
        <f>AVERAGE(Table1[funds_raised_millions])</f>
        <v>470.28289473684208</v>
      </c>
      <c r="R328">
        <f>AVERAGE(Table1[total_laid_off])</f>
        <v>236.96936274509804</v>
      </c>
    </row>
    <row r="329" spans="1:18" x14ac:dyDescent="0.25">
      <c r="A329" s="3" t="s">
        <v>446</v>
      </c>
      <c r="B329" t="s">
        <v>170</v>
      </c>
      <c r="C329" t="s">
        <v>181</v>
      </c>
      <c r="D329">
        <v>100</v>
      </c>
      <c r="E329" s="1">
        <v>0.1</v>
      </c>
      <c r="F329" s="1" t="str">
        <f>IF(Table1[[#This Row],[percentage_laid_off]]=100%,"1","0")</f>
        <v>0</v>
      </c>
      <c r="G329" t="s">
        <v>16</v>
      </c>
      <c r="H329" s="2">
        <v>44603</v>
      </c>
      <c r="I329" s="2" t="str">
        <f>TEXT(Table1[[#This Row],[date]],"dd")</f>
        <v>11</v>
      </c>
      <c r="J329" s="20">
        <f>DATE(2000,MONTH(Table1[[#This Row],[date]]),1)</f>
        <v>36557</v>
      </c>
      <c r="K329" s="18" t="str">
        <f>TEXT(Table1[[#This Row],[date]],"mm")</f>
        <v>02</v>
      </c>
      <c r="L329" s="16" t="s">
        <v>42</v>
      </c>
      <c r="M329">
        <v>2022</v>
      </c>
      <c r="N329" t="s">
        <v>35</v>
      </c>
      <c r="O329" t="s">
        <v>172</v>
      </c>
      <c r="P329">
        <v>92</v>
      </c>
      <c r="Q329">
        <f>AVERAGE(Table1[funds_raised_millions])</f>
        <v>470.28289473684208</v>
      </c>
      <c r="R329">
        <f>AVERAGE(Table1[total_laid_off])</f>
        <v>236.96936274509804</v>
      </c>
    </row>
    <row r="330" spans="1:18" x14ac:dyDescent="0.25">
      <c r="A330" s="3" t="s">
        <v>447</v>
      </c>
      <c r="B330" t="s">
        <v>199</v>
      </c>
      <c r="C330" t="s">
        <v>82</v>
      </c>
      <c r="D330">
        <v>100</v>
      </c>
      <c r="E330" s="1">
        <v>0.05</v>
      </c>
      <c r="F330" s="1" t="str">
        <f>IF(Table1[[#This Row],[percentage_laid_off]]=100%,"1","0")</f>
        <v>0</v>
      </c>
      <c r="G330" t="s">
        <v>16</v>
      </c>
      <c r="H330" s="2">
        <v>44817</v>
      </c>
      <c r="I330" s="2" t="str">
        <f>TEXT(Table1[[#This Row],[date]],"dd")</f>
        <v>13</v>
      </c>
      <c r="J330" s="20">
        <f>DATE(2000,MONTH(Table1[[#This Row],[date]]),1)</f>
        <v>36770</v>
      </c>
      <c r="K330" s="18" t="str">
        <f>TEXT(Table1[[#This Row],[date]],"mm")</f>
        <v>09</v>
      </c>
      <c r="L330" s="16" t="s">
        <v>70</v>
      </c>
      <c r="M330">
        <v>2022</v>
      </c>
      <c r="N330" t="s">
        <v>43</v>
      </c>
      <c r="O330" t="s">
        <v>200</v>
      </c>
      <c r="P330">
        <v>1800</v>
      </c>
      <c r="Q330">
        <f>AVERAGE(Table1[funds_raised_millions])</f>
        <v>470.28289473684208</v>
      </c>
      <c r="R330">
        <f>AVERAGE(Table1[total_laid_off])</f>
        <v>236.96936274509804</v>
      </c>
    </row>
    <row r="331" spans="1:18" x14ac:dyDescent="0.25">
      <c r="A331" s="3" t="s">
        <v>448</v>
      </c>
      <c r="B331" t="s">
        <v>13</v>
      </c>
      <c r="C331" t="s">
        <v>190</v>
      </c>
      <c r="D331">
        <v>64</v>
      </c>
      <c r="E331" s="1">
        <v>0.12</v>
      </c>
      <c r="F331" s="1" t="str">
        <f>IF(Table1[[#This Row],[percentage_laid_off]]=100%,"1","0")</f>
        <v>0</v>
      </c>
      <c r="G331" t="s">
        <v>28</v>
      </c>
      <c r="H331" s="2">
        <v>44035</v>
      </c>
      <c r="I331" s="2" t="str">
        <f>TEXT(Table1[[#This Row],[date]],"dd")</f>
        <v>23</v>
      </c>
      <c r="J331" s="20">
        <f>DATE(2000,MONTH(Table1[[#This Row],[date]]),1)</f>
        <v>36708</v>
      </c>
      <c r="K331" s="18" t="str">
        <f>TEXT(Table1[[#This Row],[date]],"mm")</f>
        <v>07</v>
      </c>
      <c r="L331" s="16" t="s">
        <v>17</v>
      </c>
      <c r="M331">
        <v>2020</v>
      </c>
      <c r="N331" t="s">
        <v>43</v>
      </c>
      <c r="O331" t="s">
        <v>19</v>
      </c>
      <c r="P331">
        <v>309</v>
      </c>
      <c r="Q331">
        <f>AVERAGE(Table1[funds_raised_millions])</f>
        <v>470.28289473684208</v>
      </c>
      <c r="R331">
        <f>AVERAGE(Table1[total_laid_off])</f>
        <v>236.96936274509804</v>
      </c>
    </row>
    <row r="332" spans="1:18" x14ac:dyDescent="0.25">
      <c r="A332" s="3" t="s">
        <v>449</v>
      </c>
      <c r="B332" t="s">
        <v>199</v>
      </c>
      <c r="C332" t="s">
        <v>34</v>
      </c>
      <c r="D332">
        <v>29</v>
      </c>
      <c r="E332" t="s">
        <v>15</v>
      </c>
      <c r="F332" s="1" t="str">
        <f>IF(Table1[[#This Row],[percentage_laid_off]]=100%,"1","0")</f>
        <v>0</v>
      </c>
      <c r="G332" t="b">
        <v>0</v>
      </c>
      <c r="H332" s="2">
        <v>44658</v>
      </c>
      <c r="I332" s="2" t="str">
        <f>TEXT(Table1[[#This Row],[date]],"dd")</f>
        <v>07</v>
      </c>
      <c r="J332" s="20">
        <f>DATE(2000,MONTH(Table1[[#This Row],[date]]),1)</f>
        <v>36617</v>
      </c>
      <c r="K332" s="18" t="str">
        <f>TEXT(Table1[[#This Row],[date]],"mm")</f>
        <v>04</v>
      </c>
      <c r="L332" s="16" t="s">
        <v>37</v>
      </c>
      <c r="M332">
        <v>2022</v>
      </c>
      <c r="N332" t="s">
        <v>71</v>
      </c>
      <c r="O332" t="s">
        <v>200</v>
      </c>
      <c r="P332">
        <v>0</v>
      </c>
      <c r="Q332">
        <f>AVERAGE(Table1[funds_raised_millions])</f>
        <v>470.28289473684208</v>
      </c>
      <c r="R332">
        <f>AVERAGE(Table1[total_laid_off])</f>
        <v>236.96936274509804</v>
      </c>
    </row>
    <row r="333" spans="1:18" x14ac:dyDescent="0.25">
      <c r="A333" s="3" t="s">
        <v>450</v>
      </c>
      <c r="B333" t="s">
        <v>40</v>
      </c>
      <c r="C333" t="s">
        <v>60</v>
      </c>
      <c r="D333">
        <v>58</v>
      </c>
      <c r="E333" t="s">
        <v>15</v>
      </c>
      <c r="F333" s="1" t="str">
        <f>IF(Table1[[#This Row],[percentage_laid_off]]=100%,"1","0")</f>
        <v>0</v>
      </c>
      <c r="G333" t="b">
        <v>0</v>
      </c>
      <c r="H333" s="2">
        <v>44882</v>
      </c>
      <c r="I333" s="2" t="str">
        <f>TEXT(Table1[[#This Row],[date]],"dd")</f>
        <v>17</v>
      </c>
      <c r="J333" s="20">
        <f>DATE(2000,MONTH(Table1[[#This Row],[date]]),1)</f>
        <v>36831</v>
      </c>
      <c r="K333" s="18" t="str">
        <f>TEXT(Table1[[#This Row],[date]],"mm")</f>
        <v>11</v>
      </c>
      <c r="L333" s="16" t="s">
        <v>23</v>
      </c>
      <c r="M333">
        <v>2022</v>
      </c>
      <c r="N333" t="s">
        <v>30</v>
      </c>
      <c r="O333" t="s">
        <v>19</v>
      </c>
      <c r="P333">
        <v>54</v>
      </c>
      <c r="Q333">
        <f>AVERAGE(Table1[funds_raised_millions])</f>
        <v>470.28289473684208</v>
      </c>
      <c r="R333">
        <f>AVERAGE(Table1[total_laid_off])</f>
        <v>236.96936274509804</v>
      </c>
    </row>
    <row r="334" spans="1:18" x14ac:dyDescent="0.25">
      <c r="A334" s="3" t="s">
        <v>451</v>
      </c>
      <c r="B334" t="s">
        <v>13</v>
      </c>
      <c r="C334" t="s">
        <v>82</v>
      </c>
      <c r="D334">
        <v>156</v>
      </c>
      <c r="E334" s="1">
        <v>0.12</v>
      </c>
      <c r="F334" s="1" t="str">
        <f>IF(Table1[[#This Row],[percentage_laid_off]]=100%,"1","0")</f>
        <v>0</v>
      </c>
      <c r="G334" t="s">
        <v>28</v>
      </c>
      <c r="H334" s="2">
        <v>44603</v>
      </c>
      <c r="I334" s="2" t="str">
        <f>TEXT(Table1[[#This Row],[date]],"dd")</f>
        <v>11</v>
      </c>
      <c r="J334" s="20">
        <f>DATE(2000,MONTH(Table1[[#This Row],[date]]),1)</f>
        <v>36557</v>
      </c>
      <c r="K334" s="18" t="str">
        <f>TEXT(Table1[[#This Row],[date]],"mm")</f>
        <v>02</v>
      </c>
      <c r="L334" s="16" t="s">
        <v>42</v>
      </c>
      <c r="M334">
        <v>2022</v>
      </c>
      <c r="N334" t="s">
        <v>423</v>
      </c>
      <c r="O334" t="s">
        <v>19</v>
      </c>
      <c r="P334">
        <v>2300</v>
      </c>
      <c r="Q334">
        <f>AVERAGE(Table1[funds_raised_millions])</f>
        <v>470.28289473684208</v>
      </c>
      <c r="R334">
        <f>AVERAGE(Table1[total_laid_off])</f>
        <v>236.96936274509804</v>
      </c>
    </row>
    <row r="335" spans="1:18" x14ac:dyDescent="0.25">
      <c r="A335" s="3" t="s">
        <v>452</v>
      </c>
      <c r="B335" t="s">
        <v>13</v>
      </c>
      <c r="C335" t="s">
        <v>82</v>
      </c>
      <c r="D335">
        <v>50</v>
      </c>
      <c r="E335" s="1">
        <v>0.13</v>
      </c>
      <c r="F335" s="1" t="str">
        <f>IF(Table1[[#This Row],[percentage_laid_off]]=100%,"1","0")</f>
        <v>0</v>
      </c>
      <c r="G335" t="s">
        <v>28</v>
      </c>
      <c r="H335" s="2">
        <v>44724</v>
      </c>
      <c r="I335" s="2" t="str">
        <f>TEXT(Table1[[#This Row],[date]],"dd")</f>
        <v>12</v>
      </c>
      <c r="J335" s="20">
        <f>DATE(2000,MONTH(Table1[[#This Row],[date]]),1)</f>
        <v>36678</v>
      </c>
      <c r="K335" s="18" t="str">
        <f>TEXT(Table1[[#This Row],[date]],"mm")</f>
        <v>06</v>
      </c>
      <c r="L335" s="16" t="s">
        <v>73</v>
      </c>
      <c r="M335">
        <v>2022</v>
      </c>
      <c r="N335" t="s">
        <v>35</v>
      </c>
      <c r="O335" t="s">
        <v>19</v>
      </c>
      <c r="P335">
        <v>302</v>
      </c>
      <c r="Q335">
        <f>AVERAGE(Table1[funds_raised_millions])</f>
        <v>470.28289473684208</v>
      </c>
      <c r="R335">
        <f>AVERAGE(Table1[total_laid_off])</f>
        <v>236.96936274509804</v>
      </c>
    </row>
    <row r="336" spans="1:18" x14ac:dyDescent="0.25">
      <c r="A336" s="3" t="s">
        <v>452</v>
      </c>
      <c r="B336" t="s">
        <v>13</v>
      </c>
      <c r="C336" t="s">
        <v>82</v>
      </c>
      <c r="D336">
        <v>100</v>
      </c>
      <c r="E336" s="1">
        <v>0.33</v>
      </c>
      <c r="F336" s="1" t="str">
        <f>IF(Table1[[#This Row],[percentage_laid_off]]=100%,"1","0")</f>
        <v>0</v>
      </c>
      <c r="G336" t="s">
        <v>28</v>
      </c>
      <c r="H336" s="2">
        <v>44974</v>
      </c>
      <c r="I336" s="2" t="str">
        <f>TEXT(Table1[[#This Row],[date]],"dd")</f>
        <v>17</v>
      </c>
      <c r="J336" s="20">
        <f>DATE(2000,MONTH(Table1[[#This Row],[date]]),1)</f>
        <v>36557</v>
      </c>
      <c r="K336" s="18" t="str">
        <f>TEXT(Table1[[#This Row],[date]],"mm")</f>
        <v>02</v>
      </c>
      <c r="L336" s="16" t="s">
        <v>42</v>
      </c>
      <c r="M336">
        <v>2023</v>
      </c>
      <c r="N336" t="s">
        <v>35</v>
      </c>
      <c r="O336" t="s">
        <v>19</v>
      </c>
      <c r="P336">
        <v>302</v>
      </c>
      <c r="Q336">
        <f>AVERAGE(Table1[funds_raised_millions])</f>
        <v>470.28289473684208</v>
      </c>
      <c r="R336">
        <f>AVERAGE(Table1[total_laid_off])</f>
        <v>236.96936274509804</v>
      </c>
    </row>
    <row r="337" spans="1:18" x14ac:dyDescent="0.25">
      <c r="A337" s="3" t="s">
        <v>453</v>
      </c>
      <c r="B337" t="s">
        <v>111</v>
      </c>
      <c r="C337" t="s">
        <v>64</v>
      </c>
      <c r="D337">
        <v>65</v>
      </c>
      <c r="E337" s="1">
        <v>0.24</v>
      </c>
      <c r="F337" s="1" t="str">
        <f>IF(Table1[[#This Row],[percentage_laid_off]]=100%,"1","0")</f>
        <v>0</v>
      </c>
      <c r="G337" t="s">
        <v>28</v>
      </c>
      <c r="H337" s="2">
        <v>44915</v>
      </c>
      <c r="I337" s="2" t="str">
        <f>TEXT(Table1[[#This Row],[date]],"dd")</f>
        <v>20</v>
      </c>
      <c r="J337" s="20">
        <f>DATE(2000,MONTH(Table1[[#This Row],[date]]),1)</f>
        <v>36861</v>
      </c>
      <c r="K337" s="18" t="str">
        <f>TEXT(Table1[[#This Row],[date]],"mm")</f>
        <v>12</v>
      </c>
      <c r="L337" s="16" t="s">
        <v>61</v>
      </c>
      <c r="M337">
        <v>2022</v>
      </c>
      <c r="N337" t="s">
        <v>18</v>
      </c>
      <c r="O337" t="s">
        <v>111</v>
      </c>
      <c r="P337">
        <v>50</v>
      </c>
      <c r="Q337">
        <f>AVERAGE(Table1[funds_raised_millions])</f>
        <v>470.28289473684208</v>
      </c>
      <c r="R337">
        <f>AVERAGE(Table1[total_laid_off])</f>
        <v>236.96936274509804</v>
      </c>
    </row>
    <row r="338" spans="1:18" x14ac:dyDescent="0.25">
      <c r="A338" s="3" t="s">
        <v>454</v>
      </c>
      <c r="B338" t="s">
        <v>33</v>
      </c>
      <c r="C338" t="s">
        <v>64</v>
      </c>
      <c r="D338">
        <v>40</v>
      </c>
      <c r="E338" s="1">
        <v>0.1</v>
      </c>
      <c r="F338" s="1" t="str">
        <f>IF(Table1[[#This Row],[percentage_laid_off]]=100%,"1","0")</f>
        <v>0</v>
      </c>
      <c r="G338" t="s">
        <v>16</v>
      </c>
      <c r="H338" s="2">
        <v>44909</v>
      </c>
      <c r="I338" s="2" t="str">
        <f>TEXT(Table1[[#This Row],[date]],"dd")</f>
        <v>14</v>
      </c>
      <c r="J338" s="20">
        <f>DATE(2000,MONTH(Table1[[#This Row],[date]]),1)</f>
        <v>36861</v>
      </c>
      <c r="K338" s="18" t="str">
        <f>TEXT(Table1[[#This Row],[date]],"mm")</f>
        <v>12</v>
      </c>
      <c r="L338" s="16" t="s">
        <v>61</v>
      </c>
      <c r="M338">
        <v>2022</v>
      </c>
      <c r="N338" t="s">
        <v>35</v>
      </c>
      <c r="O338" t="s">
        <v>19</v>
      </c>
      <c r="P338">
        <v>64</v>
      </c>
      <c r="Q338">
        <f>AVERAGE(Table1[funds_raised_millions])</f>
        <v>470.28289473684208</v>
      </c>
      <c r="R338">
        <f>AVERAGE(Table1[total_laid_off])</f>
        <v>236.96936274509804</v>
      </c>
    </row>
    <row r="339" spans="1:18" x14ac:dyDescent="0.25">
      <c r="A339" s="3" t="s">
        <v>454</v>
      </c>
      <c r="B339" t="s">
        <v>33</v>
      </c>
      <c r="C339" t="s">
        <v>64</v>
      </c>
      <c r="D339">
        <v>100</v>
      </c>
      <c r="E339" s="1">
        <v>0.2</v>
      </c>
      <c r="F339" s="1" t="str">
        <f>IF(Table1[[#This Row],[percentage_laid_off]]=100%,"1","0")</f>
        <v>0</v>
      </c>
      <c r="G339" t="s">
        <v>28</v>
      </c>
      <c r="H339" s="2">
        <v>44755</v>
      </c>
      <c r="I339" s="2" t="str">
        <f>TEXT(Table1[[#This Row],[date]],"dd")</f>
        <v>13</v>
      </c>
      <c r="J339" s="20">
        <f>DATE(2000,MONTH(Table1[[#This Row],[date]]),1)</f>
        <v>36708</v>
      </c>
      <c r="K339" s="18" t="str">
        <f>TEXT(Table1[[#This Row],[date]],"mm")</f>
        <v>07</v>
      </c>
      <c r="L339" s="16" t="s">
        <v>17</v>
      </c>
      <c r="M339">
        <v>2022</v>
      </c>
      <c r="N339" t="s">
        <v>35</v>
      </c>
      <c r="O339" t="s">
        <v>19</v>
      </c>
      <c r="P339">
        <v>64</v>
      </c>
      <c r="Q339">
        <f>AVERAGE(Table1[funds_raised_millions])</f>
        <v>470.28289473684208</v>
      </c>
      <c r="R339">
        <f>AVERAGE(Table1[total_laid_off])</f>
        <v>236.96936274509804</v>
      </c>
    </row>
    <row r="340" spans="1:18" x14ac:dyDescent="0.25">
      <c r="A340" s="3" t="s">
        <v>455</v>
      </c>
      <c r="B340" t="s">
        <v>456</v>
      </c>
      <c r="C340" t="s">
        <v>41</v>
      </c>
      <c r="D340">
        <v>65</v>
      </c>
      <c r="E340" s="1">
        <v>0.13</v>
      </c>
      <c r="F340" s="1" t="str">
        <f>IF(Table1[[#This Row],[percentage_laid_off]]=100%,"1","0")</f>
        <v>0</v>
      </c>
      <c r="G340" t="s">
        <v>28</v>
      </c>
      <c r="H340" s="2">
        <v>44956</v>
      </c>
      <c r="I340" s="2" t="str">
        <f>TEXT(Table1[[#This Row],[date]],"dd")</f>
        <v>30</v>
      </c>
      <c r="J340" s="20">
        <f>DATE(2000,MONTH(Table1[[#This Row],[date]]),1)</f>
        <v>36526</v>
      </c>
      <c r="K340" s="18" t="str">
        <f>TEXT(Table1[[#This Row],[date]],"mm")</f>
        <v>01</v>
      </c>
      <c r="L340" s="16" t="s">
        <v>29</v>
      </c>
      <c r="M340">
        <v>2023</v>
      </c>
      <c r="N340" t="s">
        <v>35</v>
      </c>
      <c r="O340" t="s">
        <v>96</v>
      </c>
      <c r="P340">
        <v>205</v>
      </c>
      <c r="Q340">
        <f>AVERAGE(Table1[funds_raised_millions])</f>
        <v>470.28289473684208</v>
      </c>
      <c r="R340">
        <f>AVERAGE(Table1[total_laid_off])</f>
        <v>236.96936274509804</v>
      </c>
    </row>
    <row r="341" spans="1:18" x14ac:dyDescent="0.25">
      <c r="A341" s="3" t="s">
        <v>455</v>
      </c>
      <c r="B341" t="s">
        <v>456</v>
      </c>
      <c r="C341" t="s">
        <v>41</v>
      </c>
      <c r="D341">
        <v>80</v>
      </c>
      <c r="E341" t="s">
        <v>15</v>
      </c>
      <c r="F341" s="1" t="str">
        <f>IF(Table1[[#This Row],[percentage_laid_off]]=100%,"1","0")</f>
        <v>0</v>
      </c>
      <c r="G341" t="b">
        <v>0</v>
      </c>
      <c r="H341" s="2">
        <v>44785</v>
      </c>
      <c r="I341" s="2" t="str">
        <f>TEXT(Table1[[#This Row],[date]],"dd")</f>
        <v>12</v>
      </c>
      <c r="J341" s="20">
        <f>DATE(2000,MONTH(Table1[[#This Row],[date]]),1)</f>
        <v>36739</v>
      </c>
      <c r="K341" s="18" t="str">
        <f>TEXT(Table1[[#This Row],[date]],"mm")</f>
        <v>08</v>
      </c>
      <c r="L341" s="16" t="s">
        <v>53</v>
      </c>
      <c r="M341">
        <v>2022</v>
      </c>
      <c r="N341" t="s">
        <v>35</v>
      </c>
      <c r="O341" t="s">
        <v>96</v>
      </c>
      <c r="P341">
        <v>205</v>
      </c>
      <c r="Q341">
        <f>AVERAGE(Table1[funds_raised_millions])</f>
        <v>470.28289473684208</v>
      </c>
      <c r="R341">
        <f>AVERAGE(Table1[total_laid_off])</f>
        <v>236.96936274509804</v>
      </c>
    </row>
    <row r="342" spans="1:18" x14ac:dyDescent="0.25">
      <c r="A342" s="3" t="s">
        <v>457</v>
      </c>
      <c r="B342" t="s">
        <v>94</v>
      </c>
      <c r="C342" t="s">
        <v>69</v>
      </c>
      <c r="D342">
        <v>100</v>
      </c>
      <c r="E342" t="s">
        <v>15</v>
      </c>
      <c r="F342" s="1" t="str">
        <f>IF(Table1[[#This Row],[percentage_laid_off]]=100%,"1","0")</f>
        <v>0</v>
      </c>
      <c r="G342" t="b">
        <v>0</v>
      </c>
      <c r="H342" s="2">
        <v>43867</v>
      </c>
      <c r="I342" s="2" t="str">
        <f>TEXT(Table1[[#This Row],[date]],"dd")</f>
        <v>06</v>
      </c>
      <c r="J342" s="20">
        <f>DATE(2000,MONTH(Table1[[#This Row],[date]]),1)</f>
        <v>36557</v>
      </c>
      <c r="K342" s="18" t="str">
        <f>TEXT(Table1[[#This Row],[date]],"mm")</f>
        <v>02</v>
      </c>
      <c r="L342" s="16" t="s">
        <v>42</v>
      </c>
      <c r="M342">
        <v>2020</v>
      </c>
      <c r="N342" t="s">
        <v>71</v>
      </c>
      <c r="O342" t="s">
        <v>96</v>
      </c>
      <c r="P342">
        <v>55</v>
      </c>
      <c r="Q342">
        <f>AVERAGE(Table1[funds_raised_millions])</f>
        <v>470.28289473684208</v>
      </c>
      <c r="R342">
        <f>AVERAGE(Table1[total_laid_off])</f>
        <v>236.96936274509804</v>
      </c>
    </row>
    <row r="343" spans="1:18" x14ac:dyDescent="0.25">
      <c r="A343" s="3" t="s">
        <v>458</v>
      </c>
      <c r="B343" t="s">
        <v>13</v>
      </c>
      <c r="C343" t="s">
        <v>123</v>
      </c>
      <c r="D343" t="s">
        <v>15</v>
      </c>
      <c r="E343" s="1">
        <v>0.17</v>
      </c>
      <c r="F343" s="1" t="str">
        <f>IF(Table1[[#This Row],[percentage_laid_off]]=100%,"1","0")</f>
        <v>0</v>
      </c>
      <c r="G343" t="s">
        <v>28</v>
      </c>
      <c r="H343" s="2">
        <v>44754</v>
      </c>
      <c r="I343" s="2" t="str">
        <f>TEXT(Table1[[#This Row],[date]],"dd")</f>
        <v>12</v>
      </c>
      <c r="J343" s="20">
        <f>DATE(2000,MONTH(Table1[[#This Row],[date]]),1)</f>
        <v>36708</v>
      </c>
      <c r="K343" s="18" t="str">
        <f>TEXT(Table1[[#This Row],[date]],"mm")</f>
        <v>07</v>
      </c>
      <c r="L343" s="16" t="s">
        <v>17</v>
      </c>
      <c r="M343">
        <v>2022</v>
      </c>
      <c r="N343" t="s">
        <v>100</v>
      </c>
      <c r="O343" t="s">
        <v>19</v>
      </c>
      <c r="P343">
        <v>315</v>
      </c>
      <c r="Q343">
        <f>AVERAGE(Table1[funds_raised_millions])</f>
        <v>470.28289473684208</v>
      </c>
      <c r="R343">
        <f>AVERAGE(Table1[total_laid_off])</f>
        <v>236.96936274509804</v>
      </c>
    </row>
    <row r="344" spans="1:18" x14ac:dyDescent="0.25">
      <c r="A344" s="3" t="s">
        <v>459</v>
      </c>
      <c r="B344" t="s">
        <v>257</v>
      </c>
      <c r="C344" t="s">
        <v>14</v>
      </c>
      <c r="D344" t="s">
        <v>15</v>
      </c>
      <c r="E344" s="1">
        <v>0.5</v>
      </c>
      <c r="F344" s="1" t="str">
        <f>IF(Table1[[#This Row],[percentage_laid_off]]=100%,"1","0")</f>
        <v>0</v>
      </c>
      <c r="G344" t="s">
        <v>28</v>
      </c>
      <c r="H344" s="2">
        <v>44728</v>
      </c>
      <c r="I344" s="2" t="str">
        <f>TEXT(Table1[[#This Row],[date]],"dd")</f>
        <v>16</v>
      </c>
      <c r="J344" s="20">
        <f>DATE(2000,MONTH(Table1[[#This Row],[date]]),1)</f>
        <v>36678</v>
      </c>
      <c r="K344" s="18" t="str">
        <f>TEXT(Table1[[#This Row],[date]],"mm")</f>
        <v>06</v>
      </c>
      <c r="L344" s="16" t="s">
        <v>73</v>
      </c>
      <c r="M344">
        <v>2022</v>
      </c>
      <c r="N344" t="s">
        <v>24</v>
      </c>
      <c r="O344" t="s">
        <v>19</v>
      </c>
      <c r="P344">
        <v>50</v>
      </c>
      <c r="Q344">
        <f>AVERAGE(Table1[funds_raised_millions])</f>
        <v>470.28289473684208</v>
      </c>
      <c r="R344">
        <f>AVERAGE(Table1[total_laid_off])</f>
        <v>236.96936274509804</v>
      </c>
    </row>
    <row r="345" spans="1:18" x14ac:dyDescent="0.25">
      <c r="A345" s="3" t="s">
        <v>460</v>
      </c>
      <c r="B345" t="s">
        <v>13</v>
      </c>
      <c r="C345" t="s">
        <v>134</v>
      </c>
      <c r="D345">
        <v>4100</v>
      </c>
      <c r="E345" s="1">
        <v>0.05</v>
      </c>
      <c r="F345" s="1" t="str">
        <f>IF(Table1[[#This Row],[percentage_laid_off]]=100%,"1","0")</f>
        <v>0</v>
      </c>
      <c r="G345" t="s">
        <v>16</v>
      </c>
      <c r="H345" s="2">
        <v>44881</v>
      </c>
      <c r="I345" s="2" t="str">
        <f>TEXT(Table1[[#This Row],[date]],"dd")</f>
        <v>16</v>
      </c>
      <c r="J345" s="20">
        <f>DATE(2000,MONTH(Table1[[#This Row],[date]]),1)</f>
        <v>36831</v>
      </c>
      <c r="K345" s="18" t="str">
        <f>TEXT(Table1[[#This Row],[date]],"mm")</f>
        <v>11</v>
      </c>
      <c r="L345" s="16" t="s">
        <v>23</v>
      </c>
      <c r="M345">
        <v>2022</v>
      </c>
      <c r="N345" t="s">
        <v>38</v>
      </c>
      <c r="O345" t="s">
        <v>19</v>
      </c>
      <c r="P345">
        <v>2</v>
      </c>
      <c r="Q345">
        <f>AVERAGE(Table1[funds_raised_millions])</f>
        <v>470.28289473684208</v>
      </c>
      <c r="R345">
        <f>AVERAGE(Table1[total_laid_off])</f>
        <v>236.96936274509804</v>
      </c>
    </row>
    <row r="346" spans="1:18" x14ac:dyDescent="0.25">
      <c r="A346" s="3" t="s">
        <v>461</v>
      </c>
      <c r="B346" t="s">
        <v>40</v>
      </c>
      <c r="C346" t="s">
        <v>34</v>
      </c>
      <c r="D346">
        <v>33</v>
      </c>
      <c r="E346" t="s">
        <v>15</v>
      </c>
      <c r="F346" s="1" t="str">
        <f>IF(Table1[[#This Row],[percentage_laid_off]]=100%,"1","0")</f>
        <v>0</v>
      </c>
      <c r="G346" t="b">
        <v>0</v>
      </c>
      <c r="H346" s="2">
        <v>45231</v>
      </c>
      <c r="I346" s="2" t="str">
        <f>TEXT(Table1[[#This Row],[date]],"dd")</f>
        <v>01</v>
      </c>
      <c r="J346" s="20">
        <f>DATE(2000,MONTH(Table1[[#This Row],[date]]),1)</f>
        <v>36831</v>
      </c>
      <c r="K346" s="18" t="str">
        <f>TEXT(Table1[[#This Row],[date]],"mm")</f>
        <v>11</v>
      </c>
      <c r="L346" s="16" t="s">
        <v>23</v>
      </c>
      <c r="M346">
        <v>2023</v>
      </c>
      <c r="N346" t="s">
        <v>35</v>
      </c>
      <c r="O346" t="s">
        <v>19</v>
      </c>
      <c r="P346">
        <v>133</v>
      </c>
      <c r="Q346">
        <f>AVERAGE(Table1[funds_raised_millions])</f>
        <v>470.28289473684208</v>
      </c>
      <c r="R346">
        <f>AVERAGE(Table1[total_laid_off])</f>
        <v>236.96936274509804</v>
      </c>
    </row>
    <row r="347" spans="1:18" x14ac:dyDescent="0.25">
      <c r="A347" s="3" t="s">
        <v>462</v>
      </c>
      <c r="B347" t="s">
        <v>13</v>
      </c>
      <c r="C347" t="s">
        <v>89</v>
      </c>
      <c r="D347">
        <v>22</v>
      </c>
      <c r="E347" s="1">
        <v>0.27</v>
      </c>
      <c r="F347" s="1" t="str">
        <f>IF(Table1[[#This Row],[percentage_laid_off]]=100%,"1","0")</f>
        <v>0</v>
      </c>
      <c r="G347" t="s">
        <v>28</v>
      </c>
      <c r="H347" s="2">
        <v>44946</v>
      </c>
      <c r="I347" s="2" t="str">
        <f>TEXT(Table1[[#This Row],[date]],"dd")</f>
        <v>20</v>
      </c>
      <c r="J347" s="20">
        <f>DATE(2000,MONTH(Table1[[#This Row],[date]]),1)</f>
        <v>36526</v>
      </c>
      <c r="K347" s="18" t="str">
        <f>TEXT(Table1[[#This Row],[date]],"mm")</f>
        <v>01</v>
      </c>
      <c r="L347" s="16" t="s">
        <v>29</v>
      </c>
      <c r="M347">
        <v>2023</v>
      </c>
      <c r="N347" t="s">
        <v>35</v>
      </c>
      <c r="O347" t="s">
        <v>19</v>
      </c>
      <c r="P347">
        <v>64</v>
      </c>
      <c r="Q347">
        <f>AVERAGE(Table1[funds_raised_millions])</f>
        <v>470.28289473684208</v>
      </c>
      <c r="R347">
        <f>AVERAGE(Table1[total_laid_off])</f>
        <v>236.96936274509804</v>
      </c>
    </row>
    <row r="348" spans="1:18" x14ac:dyDescent="0.25">
      <c r="A348" s="3" t="s">
        <v>463</v>
      </c>
      <c r="B348" t="s">
        <v>180</v>
      </c>
      <c r="C348" t="s">
        <v>134</v>
      </c>
      <c r="D348" t="s">
        <v>15</v>
      </c>
      <c r="E348" s="1">
        <v>0.15</v>
      </c>
      <c r="F348" s="1" t="str">
        <f>IF(Table1[[#This Row],[percentage_laid_off]]=100%,"1","0")</f>
        <v>0</v>
      </c>
      <c r="G348" t="s">
        <v>28</v>
      </c>
      <c r="H348" s="2">
        <v>45200</v>
      </c>
      <c r="I348" s="2" t="str">
        <f>TEXT(Table1[[#This Row],[date]],"dd")</f>
        <v>01</v>
      </c>
      <c r="J348" s="20">
        <f>DATE(2000,MONTH(Table1[[#This Row],[date]]),1)</f>
        <v>36800</v>
      </c>
      <c r="K348" s="18" t="str">
        <f>TEXT(Table1[[#This Row],[date]],"mm")</f>
        <v>10</v>
      </c>
      <c r="L348" s="16" t="s">
        <v>95</v>
      </c>
      <c r="M348">
        <v>2023</v>
      </c>
      <c r="N348" t="s">
        <v>71</v>
      </c>
      <c r="O348" t="s">
        <v>19</v>
      </c>
      <c r="P348">
        <v>20</v>
      </c>
      <c r="Q348">
        <f>AVERAGE(Table1[funds_raised_millions])</f>
        <v>470.28289473684208</v>
      </c>
      <c r="R348">
        <f>AVERAGE(Table1[total_laid_off])</f>
        <v>236.96936274509804</v>
      </c>
    </row>
    <row r="349" spans="1:18" x14ac:dyDescent="0.25">
      <c r="A349" s="3" t="s">
        <v>464</v>
      </c>
      <c r="B349" t="s">
        <v>406</v>
      </c>
      <c r="C349" t="s">
        <v>41</v>
      </c>
      <c r="D349">
        <v>191</v>
      </c>
      <c r="E349" s="1">
        <v>0.3</v>
      </c>
      <c r="F349" s="1" t="str">
        <f>IF(Table1[[#This Row],[percentage_laid_off]]=100%,"1","0")</f>
        <v>0</v>
      </c>
      <c r="G349" t="s">
        <v>28</v>
      </c>
      <c r="H349" s="2">
        <v>44731</v>
      </c>
      <c r="I349" s="2" t="str">
        <f>TEXT(Table1[[#This Row],[date]],"dd")</f>
        <v>19</v>
      </c>
      <c r="J349" s="20">
        <f>DATE(2000,MONTH(Table1[[#This Row],[date]]),1)</f>
        <v>36678</v>
      </c>
      <c r="K349" s="18" t="str">
        <f>TEXT(Table1[[#This Row],[date]],"mm")</f>
        <v>06</v>
      </c>
      <c r="L349" s="16" t="s">
        <v>73</v>
      </c>
      <c r="M349">
        <v>2022</v>
      </c>
      <c r="N349" t="s">
        <v>35</v>
      </c>
      <c r="O349" t="s">
        <v>83</v>
      </c>
      <c r="P349">
        <v>112</v>
      </c>
      <c r="Q349">
        <f>AVERAGE(Table1[funds_raised_millions])</f>
        <v>470.28289473684208</v>
      </c>
      <c r="R349">
        <f>AVERAGE(Table1[total_laid_off])</f>
        <v>236.96936274509804</v>
      </c>
    </row>
    <row r="350" spans="1:18" x14ac:dyDescent="0.25">
      <c r="A350" s="3" t="s">
        <v>465</v>
      </c>
      <c r="B350" t="s">
        <v>13</v>
      </c>
      <c r="C350" t="s">
        <v>60</v>
      </c>
      <c r="D350">
        <v>20</v>
      </c>
      <c r="E350" t="s">
        <v>15</v>
      </c>
      <c r="F350" s="1" t="str">
        <f>IF(Table1[[#This Row],[percentage_laid_off]]=100%,"1","0")</f>
        <v>0</v>
      </c>
      <c r="G350" t="b">
        <v>0</v>
      </c>
      <c r="H350" s="2">
        <v>45079</v>
      </c>
      <c r="I350" s="2" t="str">
        <f>TEXT(Table1[[#This Row],[date]],"dd")</f>
        <v>02</v>
      </c>
      <c r="J350" s="20">
        <f>DATE(2000,MONTH(Table1[[#This Row],[date]]),1)</f>
        <v>36678</v>
      </c>
      <c r="K350" s="18" t="str">
        <f>TEXT(Table1[[#This Row],[date]],"mm")</f>
        <v>06</v>
      </c>
      <c r="L350" s="16" t="s">
        <v>73</v>
      </c>
      <c r="M350">
        <v>2023</v>
      </c>
      <c r="N350" t="s">
        <v>100</v>
      </c>
      <c r="O350" t="s">
        <v>19</v>
      </c>
      <c r="P350">
        <v>496</v>
      </c>
      <c r="Q350">
        <f>AVERAGE(Table1[funds_raised_millions])</f>
        <v>470.28289473684208</v>
      </c>
      <c r="R350">
        <f>AVERAGE(Table1[total_laid_off])</f>
        <v>236.96936274509804</v>
      </c>
    </row>
    <row r="351" spans="1:18" x14ac:dyDescent="0.25">
      <c r="A351" s="3" t="s">
        <v>465</v>
      </c>
      <c r="B351" t="s">
        <v>13</v>
      </c>
      <c r="C351" t="s">
        <v>60</v>
      </c>
      <c r="D351">
        <v>45</v>
      </c>
      <c r="E351" t="s">
        <v>15</v>
      </c>
      <c r="F351" s="1" t="str">
        <f>IF(Table1[[#This Row],[percentage_laid_off]]=100%,"1","0")</f>
        <v>0</v>
      </c>
      <c r="G351" t="b">
        <v>0</v>
      </c>
      <c r="H351" s="2">
        <v>44804</v>
      </c>
      <c r="I351" s="2" t="str">
        <f>TEXT(Table1[[#This Row],[date]],"dd")</f>
        <v>31</v>
      </c>
      <c r="J351" s="20">
        <f>DATE(2000,MONTH(Table1[[#This Row],[date]]),1)</f>
        <v>36739</v>
      </c>
      <c r="K351" s="18" t="str">
        <f>TEXT(Table1[[#This Row],[date]],"mm")</f>
        <v>08</v>
      </c>
      <c r="L351" s="16" t="s">
        <v>53</v>
      </c>
      <c r="M351">
        <v>2022</v>
      </c>
      <c r="N351" t="s">
        <v>100</v>
      </c>
      <c r="O351" t="s">
        <v>19</v>
      </c>
      <c r="P351">
        <v>496</v>
      </c>
      <c r="Q351">
        <f>AVERAGE(Table1[funds_raised_millions])</f>
        <v>470.28289473684208</v>
      </c>
      <c r="R351">
        <f>AVERAGE(Table1[total_laid_off])</f>
        <v>236.96936274509804</v>
      </c>
    </row>
    <row r="352" spans="1:18" x14ac:dyDescent="0.25">
      <c r="A352" s="3" t="s">
        <v>466</v>
      </c>
      <c r="B352" t="s">
        <v>13</v>
      </c>
      <c r="C352" t="s">
        <v>14</v>
      </c>
      <c r="D352">
        <v>15</v>
      </c>
      <c r="E352" s="1">
        <v>0.05</v>
      </c>
      <c r="F352" s="1" t="str">
        <f>IF(Table1[[#This Row],[percentage_laid_off]]=100%,"1","0")</f>
        <v>0</v>
      </c>
      <c r="G352" t="s">
        <v>16</v>
      </c>
      <c r="H352" s="2">
        <v>44764</v>
      </c>
      <c r="I352" s="2" t="str">
        <f>TEXT(Table1[[#This Row],[date]],"dd")</f>
        <v>22</v>
      </c>
      <c r="J352" s="20">
        <f>DATE(2000,MONTH(Table1[[#This Row],[date]]),1)</f>
        <v>36708</v>
      </c>
      <c r="K352" s="18" t="str">
        <f>TEXT(Table1[[#This Row],[date]],"mm")</f>
        <v>07</v>
      </c>
      <c r="L352" s="16" t="s">
        <v>17</v>
      </c>
      <c r="M352">
        <v>2022</v>
      </c>
      <c r="N352" t="s">
        <v>43</v>
      </c>
      <c r="O352" t="s">
        <v>19</v>
      </c>
      <c r="P352">
        <v>328</v>
      </c>
      <c r="Q352">
        <f>AVERAGE(Table1[funds_raised_millions])</f>
        <v>470.28289473684208</v>
      </c>
      <c r="R352">
        <f>AVERAGE(Table1[total_laid_off])</f>
        <v>236.96936274509804</v>
      </c>
    </row>
    <row r="353" spans="1:18" x14ac:dyDescent="0.25">
      <c r="A353" s="3" t="s">
        <v>467</v>
      </c>
      <c r="B353" t="s">
        <v>40</v>
      </c>
      <c r="C353" t="s">
        <v>468</v>
      </c>
      <c r="D353">
        <v>154</v>
      </c>
      <c r="E353" s="1">
        <v>0.22</v>
      </c>
      <c r="F353" s="1" t="str">
        <f>IF(Table1[[#This Row],[percentage_laid_off]]=100%,"1","0")</f>
        <v>0</v>
      </c>
      <c r="G353" t="s">
        <v>28</v>
      </c>
      <c r="H353" s="2">
        <v>43865</v>
      </c>
      <c r="I353" s="2" t="str">
        <f>TEXT(Table1[[#This Row],[date]],"dd")</f>
        <v>04</v>
      </c>
      <c r="J353" s="20">
        <f>DATE(2000,MONTH(Table1[[#This Row],[date]]),1)</f>
        <v>36557</v>
      </c>
      <c r="K353" s="18" t="str">
        <f>TEXT(Table1[[#This Row],[date]],"mm")</f>
        <v>02</v>
      </c>
      <c r="L353" s="16" t="s">
        <v>42</v>
      </c>
      <c r="M353">
        <v>2020</v>
      </c>
      <c r="N353" t="s">
        <v>18</v>
      </c>
      <c r="O353" t="s">
        <v>19</v>
      </c>
      <c r="P353">
        <v>549</v>
      </c>
      <c r="Q353">
        <f>AVERAGE(Table1[funds_raised_millions])</f>
        <v>470.28289473684208</v>
      </c>
      <c r="R353">
        <f>AVERAGE(Table1[total_laid_off])</f>
        <v>236.96936274509804</v>
      </c>
    </row>
    <row r="354" spans="1:18" x14ac:dyDescent="0.25">
      <c r="A354" s="3" t="s">
        <v>469</v>
      </c>
      <c r="B354" t="s">
        <v>313</v>
      </c>
      <c r="C354" t="s">
        <v>82</v>
      </c>
      <c r="D354">
        <v>190</v>
      </c>
      <c r="E354" s="1">
        <v>0.2</v>
      </c>
      <c r="F354" s="1" t="str">
        <f>IF(Table1[[#This Row],[percentage_laid_off]]=100%,"1","0")</f>
        <v>0</v>
      </c>
      <c r="G354" t="s">
        <v>28</v>
      </c>
      <c r="H354" s="2">
        <v>44820</v>
      </c>
      <c r="I354" s="2" t="str">
        <f>TEXT(Table1[[#This Row],[date]],"dd")</f>
        <v>16</v>
      </c>
      <c r="J354" s="20">
        <f>DATE(2000,MONTH(Table1[[#This Row],[date]]),1)</f>
        <v>36770</v>
      </c>
      <c r="K354" s="18" t="str">
        <f>TEXT(Table1[[#This Row],[date]],"mm")</f>
        <v>09</v>
      </c>
      <c r="L354" s="16" t="s">
        <v>70</v>
      </c>
      <c r="M354">
        <v>2022</v>
      </c>
      <c r="N354" t="s">
        <v>35</v>
      </c>
      <c r="O354" t="s">
        <v>83</v>
      </c>
      <c r="P354">
        <v>140</v>
      </c>
      <c r="Q354">
        <f>AVERAGE(Table1[funds_raised_millions])</f>
        <v>470.28289473684208</v>
      </c>
      <c r="R354">
        <f>AVERAGE(Table1[total_laid_off])</f>
        <v>236.96936274509804</v>
      </c>
    </row>
    <row r="355" spans="1:18" x14ac:dyDescent="0.25">
      <c r="A355" s="3" t="s">
        <v>470</v>
      </c>
      <c r="B355" t="s">
        <v>471</v>
      </c>
      <c r="C355" t="s">
        <v>174</v>
      </c>
      <c r="D355">
        <v>250</v>
      </c>
      <c r="E355" s="1">
        <v>0.25</v>
      </c>
      <c r="F355" s="1" t="str">
        <f>IF(Table1[[#This Row],[percentage_laid_off]]=100%,"1","0")</f>
        <v>0</v>
      </c>
      <c r="G355" t="s">
        <v>28</v>
      </c>
      <c r="H355" s="2">
        <v>44951</v>
      </c>
      <c r="I355" s="2" t="str">
        <f>TEXT(Table1[[#This Row],[date]],"dd")</f>
        <v>25</v>
      </c>
      <c r="J355" s="20">
        <f>DATE(2000,MONTH(Table1[[#This Row],[date]]),1)</f>
        <v>36526</v>
      </c>
      <c r="K355" s="18" t="str">
        <f>TEXT(Table1[[#This Row],[date]],"mm")</f>
        <v>01</v>
      </c>
      <c r="L355" s="16" t="s">
        <v>29</v>
      </c>
      <c r="M355">
        <v>2023</v>
      </c>
      <c r="N355" t="s">
        <v>47</v>
      </c>
      <c r="O355" t="s">
        <v>19</v>
      </c>
      <c r="P355" t="s">
        <v>15</v>
      </c>
      <c r="Q355">
        <f>AVERAGE(Table1[funds_raised_millions])</f>
        <v>470.28289473684208</v>
      </c>
      <c r="R355">
        <f>AVERAGE(Table1[total_laid_off])</f>
        <v>236.96936274509804</v>
      </c>
    </row>
    <row r="356" spans="1:18" x14ac:dyDescent="0.25">
      <c r="A356" s="3" t="s">
        <v>470</v>
      </c>
      <c r="B356" t="s">
        <v>471</v>
      </c>
      <c r="C356" t="s">
        <v>174</v>
      </c>
      <c r="D356">
        <v>378</v>
      </c>
      <c r="E356" s="1">
        <v>0.27</v>
      </c>
      <c r="F356" s="1" t="str">
        <f>IF(Table1[[#This Row],[percentage_laid_off]]=100%,"1","0")</f>
        <v>0</v>
      </c>
      <c r="G356" t="s">
        <v>28</v>
      </c>
      <c r="H356" s="2">
        <v>44848</v>
      </c>
      <c r="I356" s="2" t="str">
        <f>TEXT(Table1[[#This Row],[date]],"dd")</f>
        <v>14</v>
      </c>
      <c r="J356" s="20">
        <f>DATE(2000,MONTH(Table1[[#This Row],[date]]),1)</f>
        <v>36800</v>
      </c>
      <c r="K356" s="18" t="str">
        <f>TEXT(Table1[[#This Row],[date]],"mm")</f>
        <v>10</v>
      </c>
      <c r="L356" s="16" t="s">
        <v>95</v>
      </c>
      <c r="M356">
        <v>2022</v>
      </c>
      <c r="N356" t="s">
        <v>47</v>
      </c>
      <c r="O356" t="s">
        <v>19</v>
      </c>
      <c r="P356" t="s">
        <v>15</v>
      </c>
      <c r="Q356">
        <f>AVERAGE(Table1[funds_raised_millions])</f>
        <v>470.28289473684208</v>
      </c>
      <c r="R356">
        <f>AVERAGE(Table1[total_laid_off])</f>
        <v>236.96936274509804</v>
      </c>
    </row>
    <row r="357" spans="1:18" x14ac:dyDescent="0.25">
      <c r="A357" s="3" t="s">
        <v>472</v>
      </c>
      <c r="B357" t="s">
        <v>27</v>
      </c>
      <c r="C357" t="s">
        <v>82</v>
      </c>
      <c r="D357">
        <v>17</v>
      </c>
      <c r="E357" s="1">
        <v>0.08</v>
      </c>
      <c r="F357" s="1" t="str">
        <f>IF(Table1[[#This Row],[percentage_laid_off]]=100%,"1","0")</f>
        <v>0</v>
      </c>
      <c r="G357" t="s">
        <v>16</v>
      </c>
      <c r="H357" s="2">
        <v>43934</v>
      </c>
      <c r="I357" s="2" t="str">
        <f>TEXT(Table1[[#This Row],[date]],"dd")</f>
        <v>13</v>
      </c>
      <c r="J357" s="20">
        <f>DATE(2000,MONTH(Table1[[#This Row],[date]]),1)</f>
        <v>36617</v>
      </c>
      <c r="K357" s="18" t="str">
        <f>TEXT(Table1[[#This Row],[date]],"mm")</f>
        <v>04</v>
      </c>
      <c r="L357" s="16" t="s">
        <v>37</v>
      </c>
      <c r="M357">
        <v>2020</v>
      </c>
      <c r="N357" t="s">
        <v>30</v>
      </c>
      <c r="O357" t="s">
        <v>31</v>
      </c>
      <c r="P357">
        <v>119</v>
      </c>
      <c r="Q357">
        <f>AVERAGE(Table1[funds_raised_millions])</f>
        <v>470.28289473684208</v>
      </c>
      <c r="R357">
        <f>AVERAGE(Table1[total_laid_off])</f>
        <v>236.96936274509804</v>
      </c>
    </row>
    <row r="358" spans="1:18" x14ac:dyDescent="0.25">
      <c r="A358" s="3" t="s">
        <v>473</v>
      </c>
      <c r="B358" t="s">
        <v>27</v>
      </c>
      <c r="C358" t="s">
        <v>474</v>
      </c>
      <c r="D358">
        <v>125</v>
      </c>
      <c r="E358" s="1">
        <v>0.25</v>
      </c>
      <c r="F358" s="1" t="str">
        <f>IF(Table1[[#This Row],[percentage_laid_off]]=100%,"1","0")</f>
        <v>0</v>
      </c>
      <c r="G358" t="s">
        <v>28</v>
      </c>
      <c r="H358" s="2">
        <v>44771</v>
      </c>
      <c r="I358" s="2" t="str">
        <f>TEXT(Table1[[#This Row],[date]],"dd")</f>
        <v>29</v>
      </c>
      <c r="J358" s="20">
        <f>DATE(2000,MONTH(Table1[[#This Row],[date]]),1)</f>
        <v>36708</v>
      </c>
      <c r="K358" s="18" t="str">
        <f>TEXT(Table1[[#This Row],[date]],"mm")</f>
        <v>07</v>
      </c>
      <c r="L358" s="16" t="s">
        <v>17</v>
      </c>
      <c r="M358">
        <v>2022</v>
      </c>
      <c r="N358" t="s">
        <v>35</v>
      </c>
      <c r="O358" t="s">
        <v>31</v>
      </c>
      <c r="P358">
        <v>681</v>
      </c>
      <c r="Q358">
        <f>AVERAGE(Table1[funds_raised_millions])</f>
        <v>470.28289473684208</v>
      </c>
      <c r="R358">
        <f>AVERAGE(Table1[total_laid_off])</f>
        <v>236.96936274509804</v>
      </c>
    </row>
    <row r="359" spans="1:18" x14ac:dyDescent="0.25">
      <c r="A359" s="3" t="s">
        <v>475</v>
      </c>
      <c r="B359" t="s">
        <v>27</v>
      </c>
      <c r="C359" t="s">
        <v>82</v>
      </c>
      <c r="D359">
        <v>50</v>
      </c>
      <c r="E359" s="1">
        <v>0.3</v>
      </c>
      <c r="F359" s="1" t="str">
        <f>IF(Table1[[#This Row],[percentage_laid_off]]=100%,"1","0")</f>
        <v>0</v>
      </c>
      <c r="G359" t="s">
        <v>28</v>
      </c>
      <c r="H359" s="2">
        <v>44942</v>
      </c>
      <c r="I359" s="2" t="str">
        <f>TEXT(Table1[[#This Row],[date]],"dd")</f>
        <v>16</v>
      </c>
      <c r="J359" s="20">
        <f>DATE(2000,MONTH(Table1[[#This Row],[date]]),1)</f>
        <v>36526</v>
      </c>
      <c r="K359" s="18" t="str">
        <f>TEXT(Table1[[#This Row],[date]],"mm")</f>
        <v>01</v>
      </c>
      <c r="L359" s="16" t="s">
        <v>29</v>
      </c>
      <c r="M359">
        <v>2023</v>
      </c>
      <c r="N359" t="s">
        <v>35</v>
      </c>
      <c r="O359" t="s">
        <v>31</v>
      </c>
      <c r="P359">
        <v>698</v>
      </c>
      <c r="Q359">
        <f>AVERAGE(Table1[funds_raised_millions])</f>
        <v>470.28289473684208</v>
      </c>
      <c r="R359">
        <f>AVERAGE(Table1[total_laid_off])</f>
        <v>236.96936274509804</v>
      </c>
    </row>
    <row r="360" spans="1:18" x14ac:dyDescent="0.25">
      <c r="A360" s="3" t="s">
        <v>473</v>
      </c>
      <c r="B360" t="s">
        <v>27</v>
      </c>
      <c r="C360" t="s">
        <v>82</v>
      </c>
      <c r="D360">
        <v>60</v>
      </c>
      <c r="E360" t="s">
        <v>15</v>
      </c>
      <c r="F360" s="1" t="str">
        <f>IF(Table1[[#This Row],[percentage_laid_off]]=100%,"1","0")</f>
        <v>0</v>
      </c>
      <c r="G360" t="b">
        <v>0</v>
      </c>
      <c r="H360" s="2">
        <v>44718</v>
      </c>
      <c r="I360" s="2" t="str">
        <f>TEXT(Table1[[#This Row],[date]],"dd")</f>
        <v>06</v>
      </c>
      <c r="J360" s="20">
        <f>DATE(2000,MONTH(Table1[[#This Row],[date]]),1)</f>
        <v>36678</v>
      </c>
      <c r="K360" s="18" t="str">
        <f>TEXT(Table1[[#This Row],[date]],"mm")</f>
        <v>06</v>
      </c>
      <c r="L360" s="16" t="s">
        <v>73</v>
      </c>
      <c r="M360">
        <v>2022</v>
      </c>
      <c r="N360" t="s">
        <v>35</v>
      </c>
      <c r="O360" t="s">
        <v>31</v>
      </c>
      <c r="P360">
        <v>681</v>
      </c>
      <c r="Q360">
        <f>AVERAGE(Table1[funds_raised_millions])</f>
        <v>470.28289473684208</v>
      </c>
      <c r="R360">
        <f>AVERAGE(Table1[total_laid_off])</f>
        <v>236.96936274509804</v>
      </c>
    </row>
    <row r="361" spans="1:18" x14ac:dyDescent="0.25">
      <c r="A361" s="3" t="s">
        <v>476</v>
      </c>
      <c r="B361" t="s">
        <v>81</v>
      </c>
      <c r="C361" t="s">
        <v>22</v>
      </c>
      <c r="D361">
        <v>60</v>
      </c>
      <c r="E361" s="1">
        <v>0.2</v>
      </c>
      <c r="F361" s="1" t="str">
        <f>IF(Table1[[#This Row],[percentage_laid_off]]=100%,"1","0")</f>
        <v>0</v>
      </c>
      <c r="G361" t="s">
        <v>28</v>
      </c>
      <c r="H361" s="2">
        <v>43937</v>
      </c>
      <c r="I361" s="2" t="str">
        <f>TEXT(Table1[[#This Row],[date]],"dd")</f>
        <v>16</v>
      </c>
      <c r="J361" s="20">
        <f>DATE(2000,MONTH(Table1[[#This Row],[date]]),1)</f>
        <v>36617</v>
      </c>
      <c r="K361" s="18" t="str">
        <f>TEXT(Table1[[#This Row],[date]],"mm")</f>
        <v>04</v>
      </c>
      <c r="L361" s="16" t="s">
        <v>37</v>
      </c>
      <c r="M361">
        <v>2020</v>
      </c>
      <c r="N361" t="s">
        <v>35</v>
      </c>
      <c r="O361" t="s">
        <v>83</v>
      </c>
      <c r="P361">
        <v>76</v>
      </c>
      <c r="Q361">
        <f>AVERAGE(Table1[funds_raised_millions])</f>
        <v>470.28289473684208</v>
      </c>
      <c r="R361">
        <f>AVERAGE(Table1[total_laid_off])</f>
        <v>236.96936274509804</v>
      </c>
    </row>
    <row r="362" spans="1:18" x14ac:dyDescent="0.25">
      <c r="A362" s="3" t="s">
        <v>477</v>
      </c>
      <c r="B362" t="s">
        <v>389</v>
      </c>
      <c r="C362" t="s">
        <v>161</v>
      </c>
      <c r="D362">
        <v>60</v>
      </c>
      <c r="E362" s="1">
        <v>7.0000000000000007E-2</v>
      </c>
      <c r="F362" s="1" t="str">
        <f>IF(Table1[[#This Row],[percentage_laid_off]]=100%,"1","0")</f>
        <v>0</v>
      </c>
      <c r="G362" t="s">
        <v>16</v>
      </c>
      <c r="H362" s="2">
        <v>44704</v>
      </c>
      <c r="I362" s="2" t="str">
        <f>TEXT(Table1[[#This Row],[date]],"dd")</f>
        <v>23</v>
      </c>
      <c r="J362" s="20">
        <f>DATE(2000,MONTH(Table1[[#This Row],[date]]),1)</f>
        <v>36647</v>
      </c>
      <c r="K362" s="18" t="str">
        <f>TEXT(Table1[[#This Row],[date]],"mm")</f>
        <v>05</v>
      </c>
      <c r="L362" s="16" t="s">
        <v>86</v>
      </c>
      <c r="M362">
        <v>2022</v>
      </c>
      <c r="N362" t="s">
        <v>35</v>
      </c>
      <c r="O362" t="s">
        <v>19</v>
      </c>
      <c r="P362">
        <v>537</v>
      </c>
      <c r="Q362">
        <f>AVERAGE(Table1[funds_raised_millions])</f>
        <v>470.28289473684208</v>
      </c>
      <c r="R362">
        <f>AVERAGE(Table1[total_laid_off])</f>
        <v>236.96936274509804</v>
      </c>
    </row>
    <row r="363" spans="1:18" x14ac:dyDescent="0.25">
      <c r="A363" s="3" t="s">
        <v>478</v>
      </c>
      <c r="B363" t="s">
        <v>479</v>
      </c>
      <c r="C363" t="s">
        <v>66</v>
      </c>
      <c r="D363">
        <v>40</v>
      </c>
      <c r="E363" s="1">
        <v>0.32</v>
      </c>
      <c r="F363" s="1" t="str">
        <f>IF(Table1[[#This Row],[percentage_laid_off]]=100%,"1","0")</f>
        <v>0</v>
      </c>
      <c r="G363" t="s">
        <v>28</v>
      </c>
      <c r="H363" s="2">
        <v>44078</v>
      </c>
      <c r="I363" s="2" t="str">
        <f>TEXT(Table1[[#This Row],[date]],"dd")</f>
        <v>04</v>
      </c>
      <c r="J363" s="20">
        <f>DATE(2000,MONTH(Table1[[#This Row],[date]]),1)</f>
        <v>36770</v>
      </c>
      <c r="K363" s="18" t="str">
        <f>TEXT(Table1[[#This Row],[date]],"mm")</f>
        <v>09</v>
      </c>
      <c r="L363" s="16" t="s">
        <v>70</v>
      </c>
      <c r="M363">
        <v>2020</v>
      </c>
      <c r="N363" t="s">
        <v>30</v>
      </c>
      <c r="O363" t="s">
        <v>19</v>
      </c>
      <c r="P363">
        <v>59</v>
      </c>
      <c r="Q363">
        <f>AVERAGE(Table1[funds_raised_millions])</f>
        <v>470.28289473684208</v>
      </c>
      <c r="R363">
        <f>AVERAGE(Table1[total_laid_off])</f>
        <v>236.96936274509804</v>
      </c>
    </row>
    <row r="364" spans="1:18" x14ac:dyDescent="0.25">
      <c r="A364" s="3" t="s">
        <v>480</v>
      </c>
      <c r="B364" t="s">
        <v>481</v>
      </c>
      <c r="C364" t="s">
        <v>89</v>
      </c>
      <c r="D364" t="s">
        <v>15</v>
      </c>
      <c r="E364" s="1">
        <v>0.12</v>
      </c>
      <c r="F364" s="1" t="str">
        <f>IF(Table1[[#This Row],[percentage_laid_off]]=100%,"1","0")</f>
        <v>0</v>
      </c>
      <c r="G364" t="s">
        <v>28</v>
      </c>
      <c r="H364" s="2">
        <v>44815</v>
      </c>
      <c r="I364" s="2" t="str">
        <f>TEXT(Table1[[#This Row],[date]],"dd")</f>
        <v>11</v>
      </c>
      <c r="J364" s="20">
        <f>DATE(2000,MONTH(Table1[[#This Row],[date]]),1)</f>
        <v>36770</v>
      </c>
      <c r="K364" s="18" t="str">
        <f>TEXT(Table1[[#This Row],[date]],"mm")</f>
        <v>09</v>
      </c>
      <c r="L364" s="16" t="s">
        <v>70</v>
      </c>
      <c r="M364">
        <v>2022</v>
      </c>
      <c r="N364" t="s">
        <v>117</v>
      </c>
      <c r="O364" t="s">
        <v>482</v>
      </c>
      <c r="P364">
        <v>78</v>
      </c>
      <c r="Q364">
        <f>AVERAGE(Table1[funds_raised_millions])</f>
        <v>470.28289473684208</v>
      </c>
      <c r="R364">
        <f>AVERAGE(Table1[total_laid_off])</f>
        <v>236.96936274509804</v>
      </c>
    </row>
    <row r="365" spans="1:18" x14ac:dyDescent="0.25">
      <c r="A365" s="3" t="s">
        <v>483</v>
      </c>
      <c r="B365" t="s">
        <v>13</v>
      </c>
      <c r="C365" t="s">
        <v>78</v>
      </c>
      <c r="D365">
        <v>40</v>
      </c>
      <c r="E365" s="1">
        <v>0.08</v>
      </c>
      <c r="F365" s="1" t="str">
        <f>IF(Table1[[#This Row],[percentage_laid_off]]=100%,"1","0")</f>
        <v>0</v>
      </c>
      <c r="G365" t="s">
        <v>16</v>
      </c>
      <c r="H365" s="2">
        <v>44879</v>
      </c>
      <c r="I365" s="2" t="str">
        <f>TEXT(Table1[[#This Row],[date]],"dd")</f>
        <v>14</v>
      </c>
      <c r="J365" s="20">
        <f>DATE(2000,MONTH(Table1[[#This Row],[date]]),1)</f>
        <v>36831</v>
      </c>
      <c r="K365" s="18" t="str">
        <f>TEXT(Table1[[#This Row],[date]],"mm")</f>
        <v>11</v>
      </c>
      <c r="L365" s="16" t="s">
        <v>23</v>
      </c>
      <c r="M365">
        <v>2022</v>
      </c>
      <c r="N365" t="s">
        <v>47</v>
      </c>
      <c r="O365" t="s">
        <v>19</v>
      </c>
      <c r="P365">
        <v>100</v>
      </c>
      <c r="Q365">
        <f>AVERAGE(Table1[funds_raised_millions])</f>
        <v>470.28289473684208</v>
      </c>
      <c r="R365">
        <f>AVERAGE(Table1[total_laid_off])</f>
        <v>236.96936274509804</v>
      </c>
    </row>
    <row r="366" spans="1:18" x14ac:dyDescent="0.25">
      <c r="A366" s="3" t="s">
        <v>484</v>
      </c>
      <c r="B366" t="s">
        <v>94</v>
      </c>
      <c r="C366" t="s">
        <v>14</v>
      </c>
      <c r="D366">
        <v>31</v>
      </c>
      <c r="E366" s="1">
        <v>0.31</v>
      </c>
      <c r="F366" s="1" t="str">
        <f>IF(Table1[[#This Row],[percentage_laid_off]]=100%,"1","0")</f>
        <v>0</v>
      </c>
      <c r="G366" t="s">
        <v>28</v>
      </c>
      <c r="H366" s="2">
        <v>44944</v>
      </c>
      <c r="I366" s="2" t="str">
        <f>TEXT(Table1[[#This Row],[date]],"dd")</f>
        <v>18</v>
      </c>
      <c r="J366" s="20">
        <f>DATE(2000,MONTH(Table1[[#This Row],[date]]),1)</f>
        <v>36526</v>
      </c>
      <c r="K366" s="18" t="str">
        <f>TEXT(Table1[[#This Row],[date]],"mm")</f>
        <v>01</v>
      </c>
      <c r="L366" s="16" t="s">
        <v>29</v>
      </c>
      <c r="M366">
        <v>2023</v>
      </c>
      <c r="N366" t="s">
        <v>47</v>
      </c>
      <c r="O366" t="s">
        <v>96</v>
      </c>
      <c r="P366">
        <v>47</v>
      </c>
      <c r="Q366">
        <f>AVERAGE(Table1[funds_raised_millions])</f>
        <v>470.28289473684208</v>
      </c>
      <c r="R366">
        <f>AVERAGE(Table1[total_laid_off])</f>
        <v>236.96936274509804</v>
      </c>
    </row>
    <row r="367" spans="1:18" x14ac:dyDescent="0.25">
      <c r="A367" s="3" t="s">
        <v>485</v>
      </c>
      <c r="B367" t="s">
        <v>27</v>
      </c>
      <c r="C367" t="s">
        <v>69</v>
      </c>
      <c r="D367">
        <v>76</v>
      </c>
      <c r="E367" s="1">
        <v>0.22</v>
      </c>
      <c r="F367" s="1" t="str">
        <f>IF(Table1[[#This Row],[percentage_laid_off]]=100%,"1","0")</f>
        <v>0</v>
      </c>
      <c r="G367" t="s">
        <v>28</v>
      </c>
      <c r="H367" s="2">
        <v>44741</v>
      </c>
      <c r="I367" s="2" t="str">
        <f>TEXT(Table1[[#This Row],[date]],"dd")</f>
        <v>29</v>
      </c>
      <c r="J367" s="20">
        <f>DATE(2000,MONTH(Table1[[#This Row],[date]]),1)</f>
        <v>36678</v>
      </c>
      <c r="K367" s="18" t="str">
        <f>TEXT(Table1[[#This Row],[date]],"mm")</f>
        <v>06</v>
      </c>
      <c r="L367" s="16" t="s">
        <v>73</v>
      </c>
      <c r="M367">
        <v>2022</v>
      </c>
      <c r="N367" t="s">
        <v>30</v>
      </c>
      <c r="O367" t="s">
        <v>31</v>
      </c>
      <c r="P367">
        <v>153</v>
      </c>
      <c r="Q367">
        <f>AVERAGE(Table1[funds_raised_millions])</f>
        <v>470.28289473684208</v>
      </c>
      <c r="R367">
        <f>AVERAGE(Table1[total_laid_off])</f>
        <v>236.96936274509804</v>
      </c>
    </row>
    <row r="368" spans="1:18" x14ac:dyDescent="0.25">
      <c r="A368" s="3" t="s">
        <v>485</v>
      </c>
      <c r="B368" t="s">
        <v>27</v>
      </c>
      <c r="C368" t="s">
        <v>69</v>
      </c>
      <c r="D368">
        <v>150</v>
      </c>
      <c r="E368" t="s">
        <v>15</v>
      </c>
      <c r="F368" s="1" t="str">
        <f>IF(Table1[[#This Row],[percentage_laid_off]]=100%,"1","0")</f>
        <v>0</v>
      </c>
      <c r="G368" t="b">
        <v>0</v>
      </c>
      <c r="H368" s="2">
        <v>44943</v>
      </c>
      <c r="I368" s="2" t="str">
        <f>TEXT(Table1[[#This Row],[date]],"dd")</f>
        <v>17</v>
      </c>
      <c r="J368" s="20">
        <f>DATE(2000,MONTH(Table1[[#This Row],[date]]),1)</f>
        <v>36526</v>
      </c>
      <c r="K368" s="18" t="str">
        <f>TEXT(Table1[[#This Row],[date]],"mm")</f>
        <v>01</v>
      </c>
      <c r="L368" s="16" t="s">
        <v>29</v>
      </c>
      <c r="M368">
        <v>2023</v>
      </c>
      <c r="N368" t="s">
        <v>47</v>
      </c>
      <c r="O368" t="s">
        <v>31</v>
      </c>
      <c r="P368">
        <v>253</v>
      </c>
      <c r="Q368">
        <f>AVERAGE(Table1[funds_raised_millions])</f>
        <v>470.28289473684208</v>
      </c>
      <c r="R368">
        <f>AVERAGE(Table1[total_laid_off])</f>
        <v>236.96936274509804</v>
      </c>
    </row>
    <row r="369" spans="1:18" x14ac:dyDescent="0.25">
      <c r="A369" s="3" t="s">
        <v>486</v>
      </c>
      <c r="B369" t="s">
        <v>33</v>
      </c>
      <c r="C369" t="s">
        <v>34</v>
      </c>
      <c r="D369" t="s">
        <v>15</v>
      </c>
      <c r="E369" s="1">
        <v>0.3</v>
      </c>
      <c r="F369" s="1" t="str">
        <f>IF(Table1[[#This Row],[percentage_laid_off]]=100%,"1","0")</f>
        <v>0</v>
      </c>
      <c r="G369" t="s">
        <v>28</v>
      </c>
      <c r="H369" s="2">
        <v>43915</v>
      </c>
      <c r="I369" s="2" t="str">
        <f>TEXT(Table1[[#This Row],[date]],"dd")</f>
        <v>25</v>
      </c>
      <c r="J369" s="20">
        <f>DATE(2000,MONTH(Table1[[#This Row],[date]]),1)</f>
        <v>36586</v>
      </c>
      <c r="K369" s="18" t="str">
        <f>TEXT(Table1[[#This Row],[date]],"mm")</f>
        <v>03</v>
      </c>
      <c r="L369" s="16" t="s">
        <v>57</v>
      </c>
      <c r="M369">
        <v>2020</v>
      </c>
      <c r="N369" t="s">
        <v>43</v>
      </c>
      <c r="O369" t="s">
        <v>19</v>
      </c>
      <c r="P369">
        <v>296</v>
      </c>
      <c r="Q369">
        <f>AVERAGE(Table1[funds_raised_millions])</f>
        <v>470.28289473684208</v>
      </c>
      <c r="R369">
        <f>AVERAGE(Table1[total_laid_off])</f>
        <v>236.96936274509804</v>
      </c>
    </row>
    <row r="370" spans="1:18" x14ac:dyDescent="0.25">
      <c r="A370" s="3" t="s">
        <v>487</v>
      </c>
      <c r="B370" t="s">
        <v>40</v>
      </c>
      <c r="C370" t="s">
        <v>22</v>
      </c>
      <c r="D370">
        <v>22</v>
      </c>
      <c r="E370" t="s">
        <v>15</v>
      </c>
      <c r="F370" s="1" t="str">
        <f>IF(Table1[[#This Row],[percentage_laid_off]]=100%,"1","0")</f>
        <v>0</v>
      </c>
      <c r="G370" t="b">
        <v>0</v>
      </c>
      <c r="H370" s="2">
        <v>44676</v>
      </c>
      <c r="I370" s="2" t="str">
        <f>TEXT(Table1[[#This Row],[date]],"dd")</f>
        <v>25</v>
      </c>
      <c r="J370" s="20">
        <f>DATE(2000,MONTH(Table1[[#This Row],[date]]),1)</f>
        <v>36617</v>
      </c>
      <c r="K370" s="18" t="str">
        <f>TEXT(Table1[[#This Row],[date]],"mm")</f>
        <v>04</v>
      </c>
      <c r="L370" s="16" t="s">
        <v>37</v>
      </c>
      <c r="M370">
        <v>2022</v>
      </c>
      <c r="N370" t="s">
        <v>30</v>
      </c>
      <c r="O370" t="s">
        <v>19</v>
      </c>
      <c r="P370">
        <v>58</v>
      </c>
      <c r="Q370">
        <f>AVERAGE(Table1[funds_raised_millions])</f>
        <v>470.28289473684208</v>
      </c>
      <c r="R370">
        <f>AVERAGE(Table1[total_laid_off])</f>
        <v>236.96936274509804</v>
      </c>
    </row>
    <row r="371" spans="1:18" x14ac:dyDescent="0.25">
      <c r="A371" s="3" t="s">
        <v>488</v>
      </c>
      <c r="B371" t="s">
        <v>13</v>
      </c>
      <c r="C371" t="s">
        <v>78</v>
      </c>
      <c r="D371">
        <v>12</v>
      </c>
      <c r="E371" s="1">
        <v>0.1</v>
      </c>
      <c r="F371" s="1" t="str">
        <f>IF(Table1[[#This Row],[percentage_laid_off]]=100%,"1","0")</f>
        <v>0</v>
      </c>
      <c r="G371" t="s">
        <v>16</v>
      </c>
      <c r="H371" s="2">
        <v>44960</v>
      </c>
      <c r="I371" s="2" t="str">
        <f>TEXT(Table1[[#This Row],[date]],"dd")</f>
        <v>03</v>
      </c>
      <c r="J371" s="20">
        <f>DATE(2000,MONTH(Table1[[#This Row],[date]]),1)</f>
        <v>36557</v>
      </c>
      <c r="K371" s="18" t="str">
        <f>TEXT(Table1[[#This Row],[date]],"mm")</f>
        <v>02</v>
      </c>
      <c r="L371" s="16" t="s">
        <v>42</v>
      </c>
      <c r="M371">
        <v>2023</v>
      </c>
      <c r="N371" t="s">
        <v>71</v>
      </c>
      <c r="O371" t="s">
        <v>19</v>
      </c>
      <c r="P371">
        <v>20</v>
      </c>
      <c r="Q371">
        <f>AVERAGE(Table1[funds_raised_millions])</f>
        <v>470.28289473684208</v>
      </c>
      <c r="R371">
        <f>AVERAGE(Table1[total_laid_off])</f>
        <v>236.96936274509804</v>
      </c>
    </row>
    <row r="372" spans="1:18" x14ac:dyDescent="0.25">
      <c r="A372" s="3" t="s">
        <v>489</v>
      </c>
      <c r="B372" t="s">
        <v>94</v>
      </c>
      <c r="C372" t="s">
        <v>190</v>
      </c>
      <c r="D372" t="s">
        <v>15</v>
      </c>
      <c r="E372" s="1">
        <v>0.1</v>
      </c>
      <c r="F372" s="1" t="str">
        <f>IF(Table1[[#This Row],[percentage_laid_off]]=100%,"1","0")</f>
        <v>0</v>
      </c>
      <c r="G372" t="s">
        <v>16</v>
      </c>
      <c r="H372" s="2">
        <v>44950</v>
      </c>
      <c r="I372" s="2" t="str">
        <f>TEXT(Table1[[#This Row],[date]],"dd")</f>
        <v>24</v>
      </c>
      <c r="J372" s="20">
        <f>DATE(2000,MONTH(Table1[[#This Row],[date]]),1)</f>
        <v>36526</v>
      </c>
      <c r="K372" s="18" t="str">
        <f>TEXT(Table1[[#This Row],[date]],"mm")</f>
        <v>01</v>
      </c>
      <c r="L372" s="16" t="s">
        <v>29</v>
      </c>
      <c r="M372">
        <v>2023</v>
      </c>
      <c r="N372" t="s">
        <v>35</v>
      </c>
      <c r="O372" t="s">
        <v>96</v>
      </c>
      <c r="P372">
        <v>332</v>
      </c>
      <c r="Q372">
        <f>AVERAGE(Table1[funds_raised_millions])</f>
        <v>470.28289473684208</v>
      </c>
      <c r="R372">
        <f>AVERAGE(Table1[total_laid_off])</f>
        <v>236.96936274509804</v>
      </c>
    </row>
    <row r="373" spans="1:18" x14ac:dyDescent="0.25">
      <c r="A373" s="3" t="s">
        <v>490</v>
      </c>
      <c r="B373" t="s">
        <v>230</v>
      </c>
      <c r="C373" t="s">
        <v>89</v>
      </c>
      <c r="D373">
        <v>25</v>
      </c>
      <c r="E373" s="1">
        <v>0.05</v>
      </c>
      <c r="F373" s="1" t="str">
        <f>IF(Table1[[#This Row],[percentage_laid_off]]=100%,"1","0")</f>
        <v>0</v>
      </c>
      <c r="G373" t="s">
        <v>16</v>
      </c>
      <c r="H373" s="2">
        <v>44078</v>
      </c>
      <c r="I373" s="2" t="str">
        <f>TEXT(Table1[[#This Row],[date]],"dd")</f>
        <v>04</v>
      </c>
      <c r="J373" s="20">
        <f>DATE(2000,MONTH(Table1[[#This Row],[date]]),1)</f>
        <v>36770</v>
      </c>
      <c r="K373" s="18" t="str">
        <f>TEXT(Table1[[#This Row],[date]],"mm")</f>
        <v>09</v>
      </c>
      <c r="L373" s="16" t="s">
        <v>70</v>
      </c>
      <c r="M373">
        <v>2020</v>
      </c>
      <c r="N373" t="s">
        <v>30</v>
      </c>
      <c r="O373" t="s">
        <v>19</v>
      </c>
      <c r="P373">
        <v>138</v>
      </c>
      <c r="Q373">
        <f>AVERAGE(Table1[funds_raised_millions])</f>
        <v>470.28289473684208</v>
      </c>
      <c r="R373">
        <f>AVERAGE(Table1[total_laid_off])</f>
        <v>236.96936274509804</v>
      </c>
    </row>
    <row r="374" spans="1:18" x14ac:dyDescent="0.25">
      <c r="A374" s="3" t="s">
        <v>490</v>
      </c>
      <c r="B374" t="s">
        <v>230</v>
      </c>
      <c r="C374" t="s">
        <v>181</v>
      </c>
      <c r="D374" t="s">
        <v>15</v>
      </c>
      <c r="E374" s="1">
        <v>0.15</v>
      </c>
      <c r="F374" s="1" t="str">
        <f>IF(Table1[[#This Row],[percentage_laid_off]]=100%,"1","0")</f>
        <v>0</v>
      </c>
      <c r="G374" t="s">
        <v>28</v>
      </c>
      <c r="H374" s="2">
        <v>44753</v>
      </c>
      <c r="I374" s="2" t="str">
        <f>TEXT(Table1[[#This Row],[date]],"dd")</f>
        <v>11</v>
      </c>
      <c r="J374" s="20">
        <f>DATE(2000,MONTH(Table1[[#This Row],[date]]),1)</f>
        <v>36708</v>
      </c>
      <c r="K374" s="18" t="str">
        <f>TEXT(Table1[[#This Row],[date]],"mm")</f>
        <v>07</v>
      </c>
      <c r="L374" s="16" t="s">
        <v>17</v>
      </c>
      <c r="M374">
        <v>2022</v>
      </c>
      <c r="N374" t="s">
        <v>47</v>
      </c>
      <c r="O374" t="s">
        <v>19</v>
      </c>
      <c r="P374">
        <v>137</v>
      </c>
      <c r="Q374">
        <f>AVERAGE(Table1[funds_raised_millions])</f>
        <v>470.28289473684208</v>
      </c>
      <c r="R374">
        <f>AVERAGE(Table1[total_laid_off])</f>
        <v>236.96936274509804</v>
      </c>
    </row>
    <row r="375" spans="1:18" x14ac:dyDescent="0.25">
      <c r="A375" s="3" t="s">
        <v>491</v>
      </c>
      <c r="B375" t="s">
        <v>13</v>
      </c>
      <c r="C375" t="s">
        <v>51</v>
      </c>
      <c r="D375">
        <v>8</v>
      </c>
      <c r="E375" t="s">
        <v>15</v>
      </c>
      <c r="F375" s="1" t="str">
        <f>IF(Table1[[#This Row],[percentage_laid_off]]=100%,"1","0")</f>
        <v>0</v>
      </c>
      <c r="G375" t="b">
        <v>0</v>
      </c>
      <c r="H375" s="2">
        <v>44127</v>
      </c>
      <c r="I375" s="2" t="str">
        <f>TEXT(Table1[[#This Row],[date]],"dd")</f>
        <v>23</v>
      </c>
      <c r="J375" s="20">
        <f>DATE(2000,MONTH(Table1[[#This Row],[date]]),1)</f>
        <v>36800</v>
      </c>
      <c r="K375" s="18" t="str">
        <f>TEXT(Table1[[#This Row],[date]],"mm")</f>
        <v>10</v>
      </c>
      <c r="L375" s="16" t="s">
        <v>95</v>
      </c>
      <c r="M375">
        <v>2020</v>
      </c>
      <c r="N375" t="s">
        <v>24</v>
      </c>
      <c r="O375" t="s">
        <v>19</v>
      </c>
      <c r="P375">
        <v>8</v>
      </c>
      <c r="Q375">
        <f>AVERAGE(Table1[funds_raised_millions])</f>
        <v>470.28289473684208</v>
      </c>
      <c r="R375">
        <f>AVERAGE(Table1[total_laid_off])</f>
        <v>236.96936274509804</v>
      </c>
    </row>
    <row r="376" spans="1:18" x14ac:dyDescent="0.25">
      <c r="A376" s="3" t="s">
        <v>492</v>
      </c>
      <c r="B376" t="s">
        <v>13</v>
      </c>
      <c r="C376" t="s">
        <v>14</v>
      </c>
      <c r="D376" t="s">
        <v>15</v>
      </c>
      <c r="E376" s="1">
        <v>0.18</v>
      </c>
      <c r="F376" s="1" t="str">
        <f>IF(Table1[[#This Row],[percentage_laid_off]]=100%,"1","0")</f>
        <v>0</v>
      </c>
      <c r="G376" t="s">
        <v>28</v>
      </c>
      <c r="H376" s="2">
        <v>44894</v>
      </c>
      <c r="I376" s="2" t="str">
        <f>TEXT(Table1[[#This Row],[date]],"dd")</f>
        <v>29</v>
      </c>
      <c r="J376" s="20">
        <f>DATE(2000,MONTH(Table1[[#This Row],[date]]),1)</f>
        <v>36831</v>
      </c>
      <c r="K376" s="18" t="str">
        <f>TEXT(Table1[[#This Row],[date]],"mm")</f>
        <v>11</v>
      </c>
      <c r="L376" s="16" t="s">
        <v>23</v>
      </c>
      <c r="M376">
        <v>2022</v>
      </c>
      <c r="N376" t="s">
        <v>38</v>
      </c>
      <c r="O376" t="s">
        <v>19</v>
      </c>
      <c r="P376">
        <v>162</v>
      </c>
      <c r="Q376">
        <f>AVERAGE(Table1[funds_raised_millions])</f>
        <v>470.28289473684208</v>
      </c>
      <c r="R376">
        <f>AVERAGE(Table1[total_laid_off])</f>
        <v>236.96936274509804</v>
      </c>
    </row>
    <row r="377" spans="1:18" x14ac:dyDescent="0.25">
      <c r="A377" s="3" t="s">
        <v>493</v>
      </c>
      <c r="B377" t="s">
        <v>68</v>
      </c>
      <c r="C377" t="s">
        <v>51</v>
      </c>
      <c r="D377">
        <v>7</v>
      </c>
      <c r="E377" s="1">
        <v>7.0000000000000007E-2</v>
      </c>
      <c r="F377" s="1" t="str">
        <f>IF(Table1[[#This Row],[percentage_laid_off]]=100%,"1","0")</f>
        <v>0</v>
      </c>
      <c r="G377" t="s">
        <v>16</v>
      </c>
      <c r="H377" s="2">
        <v>43865</v>
      </c>
      <c r="I377" s="2" t="str">
        <f>TEXT(Table1[[#This Row],[date]],"dd")</f>
        <v>04</v>
      </c>
      <c r="J377" s="20">
        <f>DATE(2000,MONTH(Table1[[#This Row],[date]]),1)</f>
        <v>36557</v>
      </c>
      <c r="K377" s="18" t="str">
        <f>TEXT(Table1[[#This Row],[date]],"mm")</f>
        <v>02</v>
      </c>
      <c r="L377" s="16" t="s">
        <v>42</v>
      </c>
      <c r="M377">
        <v>2020</v>
      </c>
      <c r="N377" t="s">
        <v>47</v>
      </c>
      <c r="O377" t="s">
        <v>19</v>
      </c>
      <c r="P377">
        <v>2</v>
      </c>
      <c r="Q377">
        <f>AVERAGE(Table1[funds_raised_millions])</f>
        <v>470.28289473684208</v>
      </c>
      <c r="R377">
        <f>AVERAGE(Table1[total_laid_off])</f>
        <v>236.96936274509804</v>
      </c>
    </row>
    <row r="378" spans="1:18" x14ac:dyDescent="0.25">
      <c r="A378" s="3" t="s">
        <v>494</v>
      </c>
      <c r="B378" t="s">
        <v>88</v>
      </c>
      <c r="C378" t="s">
        <v>66</v>
      </c>
      <c r="D378">
        <v>24</v>
      </c>
      <c r="E378" s="1">
        <v>0.14000000000000001</v>
      </c>
      <c r="F378" s="1" t="str">
        <f>IF(Table1[[#This Row],[percentage_laid_off]]=100%,"1","0")</f>
        <v>0</v>
      </c>
      <c r="G378" t="s">
        <v>28</v>
      </c>
      <c r="H378" s="2">
        <v>43986</v>
      </c>
      <c r="I378" s="2" t="str">
        <f>TEXT(Table1[[#This Row],[date]],"dd")</f>
        <v>04</v>
      </c>
      <c r="J378" s="20">
        <f>DATE(2000,MONTH(Table1[[#This Row],[date]]),1)</f>
        <v>36678</v>
      </c>
      <c r="K378" s="18" t="str">
        <f>TEXT(Table1[[#This Row],[date]],"mm")</f>
        <v>06</v>
      </c>
      <c r="L378" s="16" t="s">
        <v>73</v>
      </c>
      <c r="M378">
        <v>2020</v>
      </c>
      <c r="N378" t="s">
        <v>35</v>
      </c>
      <c r="O378" t="s">
        <v>19</v>
      </c>
      <c r="P378">
        <v>92</v>
      </c>
      <c r="Q378">
        <f>AVERAGE(Table1[funds_raised_millions])</f>
        <v>470.28289473684208</v>
      </c>
      <c r="R378">
        <f>AVERAGE(Table1[total_laid_off])</f>
        <v>236.96936274509804</v>
      </c>
    </row>
    <row r="379" spans="1:18" x14ac:dyDescent="0.25">
      <c r="A379" s="3" t="s">
        <v>495</v>
      </c>
      <c r="B379" t="s">
        <v>170</v>
      </c>
      <c r="C379" t="s">
        <v>181</v>
      </c>
      <c r="D379">
        <v>100</v>
      </c>
      <c r="E379" s="1">
        <v>0.05</v>
      </c>
      <c r="F379" s="1" t="str">
        <f>IF(Table1[[#This Row],[percentage_laid_off]]=100%,"1","0")</f>
        <v>0</v>
      </c>
      <c r="G379" t="s">
        <v>16</v>
      </c>
      <c r="H379" s="2">
        <v>44604</v>
      </c>
      <c r="I379" s="2" t="str">
        <f>TEXT(Table1[[#This Row],[date]],"dd")</f>
        <v>12</v>
      </c>
      <c r="J379" s="20">
        <f>DATE(2000,MONTH(Table1[[#This Row],[date]]),1)</f>
        <v>36557</v>
      </c>
      <c r="K379" s="18" t="str">
        <f>TEXT(Table1[[#This Row],[date]],"mm")</f>
        <v>02</v>
      </c>
      <c r="L379" s="16" t="s">
        <v>42</v>
      </c>
      <c r="M379">
        <v>2022</v>
      </c>
      <c r="N379" t="s">
        <v>47</v>
      </c>
      <c r="O379" t="s">
        <v>172</v>
      </c>
      <c r="P379" t="s">
        <v>15</v>
      </c>
      <c r="Q379">
        <f>AVERAGE(Table1[funds_raised_millions])</f>
        <v>470.28289473684208</v>
      </c>
      <c r="R379">
        <f>AVERAGE(Table1[total_laid_off])</f>
        <v>236.96936274509804</v>
      </c>
    </row>
    <row r="380" spans="1:18" x14ac:dyDescent="0.25">
      <c r="A380" s="3" t="s">
        <v>496</v>
      </c>
      <c r="B380" t="s">
        <v>13</v>
      </c>
      <c r="C380" t="s">
        <v>46</v>
      </c>
      <c r="D380">
        <v>60</v>
      </c>
      <c r="E380" t="s">
        <v>15</v>
      </c>
      <c r="F380" s="1" t="str">
        <f>IF(Table1[[#This Row],[percentage_laid_off]]=100%,"1","0")</f>
        <v>0</v>
      </c>
      <c r="G380" t="b">
        <v>0</v>
      </c>
      <c r="H380" s="2">
        <v>44845</v>
      </c>
      <c r="I380" s="2" t="str">
        <f>TEXT(Table1[[#This Row],[date]],"dd")</f>
        <v>11</v>
      </c>
      <c r="J380" s="20">
        <f>DATE(2000,MONTH(Table1[[#This Row],[date]]),1)</f>
        <v>36800</v>
      </c>
      <c r="K380" s="18" t="str">
        <f>TEXT(Table1[[#This Row],[date]],"mm")</f>
        <v>10</v>
      </c>
      <c r="L380" s="16" t="s">
        <v>95</v>
      </c>
      <c r="M380">
        <v>2022</v>
      </c>
      <c r="N380" t="s">
        <v>38</v>
      </c>
      <c r="O380" t="s">
        <v>19</v>
      </c>
      <c r="P380">
        <v>549</v>
      </c>
      <c r="Q380">
        <f>AVERAGE(Table1[funds_raised_millions])</f>
        <v>470.28289473684208</v>
      </c>
      <c r="R380">
        <f>AVERAGE(Table1[total_laid_off])</f>
        <v>236.96936274509804</v>
      </c>
    </row>
    <row r="381" spans="1:18" x14ac:dyDescent="0.25">
      <c r="A381" s="3" t="s">
        <v>496</v>
      </c>
      <c r="B381" t="s">
        <v>13</v>
      </c>
      <c r="C381" t="s">
        <v>46</v>
      </c>
      <c r="D381">
        <v>950</v>
      </c>
      <c r="E381" s="1">
        <v>0.2</v>
      </c>
      <c r="F381" s="1" t="str">
        <f>IF(Table1[[#This Row],[percentage_laid_off]]=100%,"1","0")</f>
        <v>0</v>
      </c>
      <c r="G381" t="s">
        <v>28</v>
      </c>
      <c r="H381" s="2">
        <v>45200</v>
      </c>
      <c r="I381" s="2" t="str">
        <f>TEXT(Table1[[#This Row],[date]],"dd")</f>
        <v>01</v>
      </c>
      <c r="J381" s="20">
        <f>DATE(2000,MONTH(Table1[[#This Row],[date]]),1)</f>
        <v>36800</v>
      </c>
      <c r="K381" s="18" t="str">
        <f>TEXT(Table1[[#This Row],[date]],"mm")</f>
        <v>10</v>
      </c>
      <c r="L381" s="16" t="s">
        <v>95</v>
      </c>
      <c r="M381">
        <v>2023</v>
      </c>
      <c r="N381" t="s">
        <v>38</v>
      </c>
      <c r="O381" t="s">
        <v>19</v>
      </c>
      <c r="P381">
        <v>549</v>
      </c>
      <c r="Q381">
        <f>AVERAGE(Table1[funds_raised_millions])</f>
        <v>470.28289473684208</v>
      </c>
      <c r="R381">
        <f>AVERAGE(Table1[total_laid_off])</f>
        <v>236.96936274509804</v>
      </c>
    </row>
    <row r="382" spans="1:18" x14ac:dyDescent="0.25">
      <c r="A382" s="3" t="s">
        <v>496</v>
      </c>
      <c r="B382" t="s">
        <v>13</v>
      </c>
      <c r="C382" t="s">
        <v>46</v>
      </c>
      <c r="D382">
        <v>1100</v>
      </c>
      <c r="E382" s="1">
        <v>0.18</v>
      </c>
      <c r="F382" s="1" t="str">
        <f>IF(Table1[[#This Row],[percentage_laid_off]]=100%,"1","0")</f>
        <v>0</v>
      </c>
      <c r="G382" t="s">
        <v>28</v>
      </c>
      <c r="H382" s="2">
        <v>44726</v>
      </c>
      <c r="I382" s="2" t="str">
        <f>TEXT(Table1[[#This Row],[date]],"dd")</f>
        <v>14</v>
      </c>
      <c r="J382" s="20">
        <f>DATE(2000,MONTH(Table1[[#This Row],[date]]),1)</f>
        <v>36678</v>
      </c>
      <c r="K382" s="18" t="str">
        <f>TEXT(Table1[[#This Row],[date]],"mm")</f>
        <v>06</v>
      </c>
      <c r="L382" s="16" t="s">
        <v>73</v>
      </c>
      <c r="M382">
        <v>2022</v>
      </c>
      <c r="N382" t="s">
        <v>38</v>
      </c>
      <c r="O382" t="s">
        <v>19</v>
      </c>
      <c r="P382">
        <v>549</v>
      </c>
      <c r="Q382">
        <f>AVERAGE(Table1[funds_raised_millions])</f>
        <v>470.28289473684208</v>
      </c>
      <c r="R382">
        <f>AVERAGE(Table1[total_laid_off])</f>
        <v>236.96936274509804</v>
      </c>
    </row>
    <row r="383" spans="1:18" x14ac:dyDescent="0.25">
      <c r="A383" s="3" t="s">
        <v>497</v>
      </c>
      <c r="B383" t="s">
        <v>81</v>
      </c>
      <c r="C383" t="s">
        <v>46</v>
      </c>
      <c r="D383">
        <v>80</v>
      </c>
      <c r="E383" t="s">
        <v>15</v>
      </c>
      <c r="F383" s="1" t="str">
        <f>IF(Table1[[#This Row],[percentage_laid_off]]=100%,"1","0")</f>
        <v>0</v>
      </c>
      <c r="G383" t="b">
        <v>0</v>
      </c>
      <c r="H383" s="2">
        <v>45231</v>
      </c>
      <c r="I383" s="2" t="str">
        <f>TEXT(Table1[[#This Row],[date]],"dd")</f>
        <v>01</v>
      </c>
      <c r="J383" s="20">
        <f>DATE(2000,MONTH(Table1[[#This Row],[date]]),1)</f>
        <v>36831</v>
      </c>
      <c r="K383" s="18" t="str">
        <f>TEXT(Table1[[#This Row],[date]],"mm")</f>
        <v>11</v>
      </c>
      <c r="L383" s="16" t="s">
        <v>23</v>
      </c>
      <c r="M383">
        <v>2023</v>
      </c>
      <c r="N383" t="s">
        <v>43</v>
      </c>
      <c r="O383" t="s">
        <v>83</v>
      </c>
      <c r="P383">
        <v>244</v>
      </c>
      <c r="Q383">
        <f>AVERAGE(Table1[funds_raised_millions])</f>
        <v>470.28289473684208</v>
      </c>
      <c r="R383">
        <f>AVERAGE(Table1[total_laid_off])</f>
        <v>236.96936274509804</v>
      </c>
    </row>
    <row r="384" spans="1:18" x14ac:dyDescent="0.25">
      <c r="A384" s="3" t="s">
        <v>498</v>
      </c>
      <c r="B384" t="s">
        <v>252</v>
      </c>
      <c r="C384" t="s">
        <v>46</v>
      </c>
      <c r="D384">
        <v>10</v>
      </c>
      <c r="E384" s="1">
        <v>0.2</v>
      </c>
      <c r="F384" s="1" t="str">
        <f>IF(Table1[[#This Row],[percentage_laid_off]]=100%,"1","0")</f>
        <v>0</v>
      </c>
      <c r="G384" t="s">
        <v>28</v>
      </c>
      <c r="H384" s="2">
        <v>44894</v>
      </c>
      <c r="I384" s="2" t="str">
        <f>TEXT(Table1[[#This Row],[date]],"dd")</f>
        <v>29</v>
      </c>
      <c r="J384" s="20">
        <f>DATE(2000,MONTH(Table1[[#This Row],[date]]),1)</f>
        <v>36831</v>
      </c>
      <c r="K384" s="18" t="str">
        <f>TEXT(Table1[[#This Row],[date]],"mm")</f>
        <v>11</v>
      </c>
      <c r="L384" s="16" t="s">
        <v>23</v>
      </c>
      <c r="M384">
        <v>2022</v>
      </c>
      <c r="N384" t="s">
        <v>47</v>
      </c>
      <c r="O384" t="s">
        <v>58</v>
      </c>
      <c r="P384">
        <v>1</v>
      </c>
      <c r="Q384">
        <f>AVERAGE(Table1[funds_raised_millions])</f>
        <v>470.28289473684208</v>
      </c>
      <c r="R384">
        <f>AVERAGE(Table1[total_laid_off])</f>
        <v>236.96936274509804</v>
      </c>
    </row>
    <row r="385" spans="1:18" x14ac:dyDescent="0.25">
      <c r="A385" s="3" t="s">
        <v>499</v>
      </c>
      <c r="B385" t="s">
        <v>27</v>
      </c>
      <c r="C385" t="s">
        <v>46</v>
      </c>
      <c r="D385">
        <v>30</v>
      </c>
      <c r="E385" s="1">
        <v>0.24</v>
      </c>
      <c r="F385" s="1" t="str">
        <f>IF(Table1[[#This Row],[percentage_laid_off]]=100%,"1","0")</f>
        <v>0</v>
      </c>
      <c r="G385" t="s">
        <v>28</v>
      </c>
      <c r="H385" s="2">
        <v>44769</v>
      </c>
      <c r="I385" s="2" t="str">
        <f>TEXT(Table1[[#This Row],[date]],"dd")</f>
        <v>27</v>
      </c>
      <c r="J385" s="20">
        <f>DATE(2000,MONTH(Table1[[#This Row],[date]]),1)</f>
        <v>36708</v>
      </c>
      <c r="K385" s="18" t="str">
        <f>TEXT(Table1[[#This Row],[date]],"mm")</f>
        <v>07</v>
      </c>
      <c r="L385" s="16" t="s">
        <v>17</v>
      </c>
      <c r="M385">
        <v>2022</v>
      </c>
      <c r="N385" t="s">
        <v>47</v>
      </c>
      <c r="O385" t="s">
        <v>31</v>
      </c>
      <c r="P385">
        <v>98</v>
      </c>
      <c r="Q385">
        <f>AVERAGE(Table1[funds_raised_millions])</f>
        <v>470.28289473684208</v>
      </c>
      <c r="R385">
        <f>AVERAGE(Table1[total_laid_off])</f>
        <v>236.96936274509804</v>
      </c>
    </row>
    <row r="386" spans="1:18" x14ac:dyDescent="0.25">
      <c r="A386" s="3" t="s">
        <v>500</v>
      </c>
      <c r="B386" t="s">
        <v>13</v>
      </c>
      <c r="C386" t="s">
        <v>46</v>
      </c>
      <c r="D386">
        <v>19</v>
      </c>
      <c r="E386" t="s">
        <v>15</v>
      </c>
      <c r="F386" s="1" t="str">
        <f>IF(Table1[[#This Row],[percentage_laid_off]]=100%,"1","0")</f>
        <v>0</v>
      </c>
      <c r="G386" t="b">
        <v>0</v>
      </c>
      <c r="H386" s="2">
        <v>44954</v>
      </c>
      <c r="I386" s="2" t="str">
        <f>TEXT(Table1[[#This Row],[date]],"dd")</f>
        <v>28</v>
      </c>
      <c r="J386" s="20">
        <f>DATE(2000,MONTH(Table1[[#This Row],[date]]),1)</f>
        <v>36526</v>
      </c>
      <c r="K386" s="18" t="str">
        <f>TEXT(Table1[[#This Row],[date]],"mm")</f>
        <v>01</v>
      </c>
      <c r="L386" s="16" t="s">
        <v>29</v>
      </c>
      <c r="M386">
        <v>2023</v>
      </c>
      <c r="N386" t="s">
        <v>24</v>
      </c>
      <c r="O386" t="s">
        <v>19</v>
      </c>
      <c r="P386">
        <v>101</v>
      </c>
      <c r="Q386">
        <f>AVERAGE(Table1[funds_raised_millions])</f>
        <v>470.28289473684208</v>
      </c>
      <c r="R386">
        <f>AVERAGE(Table1[total_laid_off])</f>
        <v>236.96936274509804</v>
      </c>
    </row>
    <row r="387" spans="1:18" x14ac:dyDescent="0.25">
      <c r="A387" s="3" t="s">
        <v>501</v>
      </c>
      <c r="B387" t="s">
        <v>13</v>
      </c>
      <c r="C387" t="s">
        <v>14</v>
      </c>
      <c r="D387">
        <v>54</v>
      </c>
      <c r="E387" t="s">
        <v>15</v>
      </c>
      <c r="F387" s="1" t="str">
        <f>IF(Table1[[#This Row],[percentage_laid_off]]=100%,"1","0")</f>
        <v>0</v>
      </c>
      <c r="G387" t="b">
        <v>0</v>
      </c>
      <c r="H387" s="2">
        <v>44970</v>
      </c>
      <c r="I387" s="2" t="str">
        <f>TEXT(Table1[[#This Row],[date]],"dd")</f>
        <v>13</v>
      </c>
      <c r="J387" s="20">
        <f>DATE(2000,MONTH(Table1[[#This Row],[date]]),1)</f>
        <v>36557</v>
      </c>
      <c r="K387" s="18" t="str">
        <f>TEXT(Table1[[#This Row],[date]],"mm")</f>
        <v>02</v>
      </c>
      <c r="L387" s="16" t="s">
        <v>42</v>
      </c>
      <c r="M387">
        <v>2023</v>
      </c>
      <c r="N387" t="s">
        <v>100</v>
      </c>
      <c r="O387" t="s">
        <v>19</v>
      </c>
      <c r="P387">
        <v>719</v>
      </c>
      <c r="Q387">
        <f>AVERAGE(Table1[funds_raised_millions])</f>
        <v>470.28289473684208</v>
      </c>
      <c r="R387">
        <f>AVERAGE(Table1[total_laid_off])</f>
        <v>236.96936274509804</v>
      </c>
    </row>
    <row r="388" spans="1:18" x14ac:dyDescent="0.25">
      <c r="A388" s="3" t="s">
        <v>502</v>
      </c>
      <c r="B388" t="s">
        <v>13</v>
      </c>
      <c r="C388" t="s">
        <v>14</v>
      </c>
      <c r="D388">
        <v>300</v>
      </c>
      <c r="E388" t="s">
        <v>15</v>
      </c>
      <c r="F388" s="1" t="str">
        <f>IF(Table1[[#This Row],[percentage_laid_off]]=100%,"1","0")</f>
        <v>0</v>
      </c>
      <c r="G388" t="b">
        <v>0</v>
      </c>
      <c r="H388" s="2">
        <v>44929</v>
      </c>
      <c r="I388" s="2" t="str">
        <f>TEXT(Table1[[#This Row],[date]],"dd")</f>
        <v>03</v>
      </c>
      <c r="J388" s="20">
        <f>DATE(2000,MONTH(Table1[[#This Row],[date]]),1)</f>
        <v>36526</v>
      </c>
      <c r="K388" s="18" t="str">
        <f>TEXT(Table1[[#This Row],[date]],"mm")</f>
        <v>01</v>
      </c>
      <c r="L388" s="16" t="s">
        <v>29</v>
      </c>
      <c r="M388">
        <v>2023</v>
      </c>
      <c r="N388" t="s">
        <v>18</v>
      </c>
      <c r="O388" t="s">
        <v>19</v>
      </c>
      <c r="P388">
        <v>482</v>
      </c>
      <c r="Q388">
        <f>AVERAGE(Table1[funds_raised_millions])</f>
        <v>470.28289473684208</v>
      </c>
      <c r="R388">
        <f>AVERAGE(Table1[total_laid_off])</f>
        <v>236.96936274509804</v>
      </c>
    </row>
    <row r="389" spans="1:18" x14ac:dyDescent="0.25">
      <c r="A389" s="3" t="s">
        <v>503</v>
      </c>
      <c r="B389" t="s">
        <v>88</v>
      </c>
      <c r="C389" t="s">
        <v>56</v>
      </c>
      <c r="D389">
        <v>97</v>
      </c>
      <c r="E389" t="s">
        <v>15</v>
      </c>
      <c r="F389" s="1" t="str">
        <f>IF(Table1[[#This Row],[percentage_laid_off]]=100%,"1","0")</f>
        <v>0</v>
      </c>
      <c r="G389" t="b">
        <v>0</v>
      </c>
      <c r="H389" s="2">
        <v>44656</v>
      </c>
      <c r="I389" s="2" t="str">
        <f>TEXT(Table1[[#This Row],[date]],"dd")</f>
        <v>05</v>
      </c>
      <c r="J389" s="20">
        <f>DATE(2000,MONTH(Table1[[#This Row],[date]]),1)</f>
        <v>36617</v>
      </c>
      <c r="K389" s="18" t="str">
        <f>TEXT(Table1[[#This Row],[date]],"mm")</f>
        <v>04</v>
      </c>
      <c r="L389" s="16" t="s">
        <v>37</v>
      </c>
      <c r="M389">
        <v>2022</v>
      </c>
      <c r="N389" t="s">
        <v>24</v>
      </c>
      <c r="O389" t="s">
        <v>19</v>
      </c>
      <c r="P389">
        <v>41</v>
      </c>
      <c r="Q389">
        <f>AVERAGE(Table1[funds_raised_millions])</f>
        <v>470.28289473684208</v>
      </c>
      <c r="R389">
        <f>AVERAGE(Table1[total_laid_off])</f>
        <v>236.96936274509804</v>
      </c>
    </row>
    <row r="390" spans="1:18" x14ac:dyDescent="0.25">
      <c r="A390" s="3" t="s">
        <v>504</v>
      </c>
      <c r="B390" t="s">
        <v>505</v>
      </c>
      <c r="C390" t="s">
        <v>41</v>
      </c>
      <c r="D390">
        <v>371</v>
      </c>
      <c r="E390" s="1">
        <v>0.31</v>
      </c>
      <c r="F390" s="1" t="str">
        <f>IF(Table1[[#This Row],[percentage_laid_off]]=100%,"1","0")</f>
        <v>0</v>
      </c>
      <c r="G390" t="s">
        <v>28</v>
      </c>
      <c r="H390" s="2">
        <v>44971</v>
      </c>
      <c r="I390" s="2" t="str">
        <f>TEXT(Table1[[#This Row],[date]],"dd")</f>
        <v>14</v>
      </c>
      <c r="J390" s="20">
        <f>DATE(2000,MONTH(Table1[[#This Row],[date]]),1)</f>
        <v>36557</v>
      </c>
      <c r="K390" s="18" t="str">
        <f>TEXT(Table1[[#This Row],[date]],"mm")</f>
        <v>02</v>
      </c>
      <c r="L390" s="16" t="s">
        <v>42</v>
      </c>
      <c r="M390">
        <v>2023</v>
      </c>
      <c r="N390" t="s">
        <v>71</v>
      </c>
      <c r="O390" t="s">
        <v>19</v>
      </c>
      <c r="P390" t="s">
        <v>15</v>
      </c>
      <c r="Q390">
        <f>AVERAGE(Table1[funds_raised_millions])</f>
        <v>470.28289473684208</v>
      </c>
      <c r="R390">
        <f>AVERAGE(Table1[total_laid_off])</f>
        <v>236.96936274509804</v>
      </c>
    </row>
    <row r="391" spans="1:18" x14ac:dyDescent="0.25">
      <c r="A391" s="3" t="s">
        <v>506</v>
      </c>
      <c r="B391" t="s">
        <v>40</v>
      </c>
      <c r="C391" t="s">
        <v>82</v>
      </c>
      <c r="D391" t="s">
        <v>15</v>
      </c>
      <c r="E391" s="1">
        <v>1</v>
      </c>
      <c r="F391" s="1" t="str">
        <f>IF(Table1[[#This Row],[percentage_laid_off]]=100%,"1","0")</f>
        <v>1</v>
      </c>
      <c r="G391" t="s">
        <v>114</v>
      </c>
      <c r="H391" s="2">
        <v>44813</v>
      </c>
      <c r="I391" s="2" t="str">
        <f>TEXT(Table1[[#This Row],[date]],"dd")</f>
        <v>09</v>
      </c>
      <c r="J391" s="20">
        <f>DATE(2000,MONTH(Table1[[#This Row],[date]]),1)</f>
        <v>36770</v>
      </c>
      <c r="K391" s="18" t="str">
        <f>TEXT(Table1[[#This Row],[date]],"mm")</f>
        <v>09</v>
      </c>
      <c r="L391" s="16" t="s">
        <v>70</v>
      </c>
      <c r="M391">
        <v>2022</v>
      </c>
      <c r="N391" t="s">
        <v>43</v>
      </c>
      <c r="O391" t="s">
        <v>19</v>
      </c>
      <c r="P391">
        <v>125</v>
      </c>
      <c r="Q391">
        <f>AVERAGE(Table1[funds_raised_millions])</f>
        <v>470.28289473684208</v>
      </c>
      <c r="R391">
        <f>AVERAGE(Table1[total_laid_off])</f>
        <v>236.96936274509804</v>
      </c>
    </row>
    <row r="392" spans="1:18" x14ac:dyDescent="0.25">
      <c r="A392" s="3" t="s">
        <v>506</v>
      </c>
      <c r="B392" t="s">
        <v>40</v>
      </c>
      <c r="C392" t="s">
        <v>82</v>
      </c>
      <c r="D392">
        <v>22</v>
      </c>
      <c r="E392" t="s">
        <v>15</v>
      </c>
      <c r="F392" s="1" t="str">
        <f>IF(Table1[[#This Row],[percentage_laid_off]]=100%,"1","0")</f>
        <v>0</v>
      </c>
      <c r="G392" t="b">
        <v>0</v>
      </c>
      <c r="H392" s="2">
        <v>44694</v>
      </c>
      <c r="I392" s="2" t="str">
        <f>TEXT(Table1[[#This Row],[date]],"dd")</f>
        <v>13</v>
      </c>
      <c r="J392" s="20">
        <f>DATE(2000,MONTH(Table1[[#This Row],[date]]),1)</f>
        <v>36647</v>
      </c>
      <c r="K392" s="18" t="str">
        <f>TEXT(Table1[[#This Row],[date]],"mm")</f>
        <v>05</v>
      </c>
      <c r="L392" s="16" t="s">
        <v>86</v>
      </c>
      <c r="M392">
        <v>2022</v>
      </c>
      <c r="N392" t="s">
        <v>43</v>
      </c>
      <c r="O392" t="s">
        <v>19</v>
      </c>
      <c r="P392">
        <v>130</v>
      </c>
      <c r="Q392">
        <f>AVERAGE(Table1[funds_raised_millions])</f>
        <v>470.28289473684208</v>
      </c>
      <c r="R392">
        <f>AVERAGE(Table1[total_laid_off])</f>
        <v>236.96936274509804</v>
      </c>
    </row>
    <row r="393" spans="1:18" x14ac:dyDescent="0.25">
      <c r="A393" s="3" t="s">
        <v>507</v>
      </c>
      <c r="B393" t="s">
        <v>33</v>
      </c>
      <c r="C393" t="s">
        <v>22</v>
      </c>
      <c r="D393">
        <v>40</v>
      </c>
      <c r="E393" s="1">
        <v>0.3</v>
      </c>
      <c r="F393" s="1" t="str">
        <f>IF(Table1[[#This Row],[percentage_laid_off]]=100%,"1","0")</f>
        <v>0</v>
      </c>
      <c r="G393" t="s">
        <v>28</v>
      </c>
      <c r="H393" s="2">
        <v>44733</v>
      </c>
      <c r="I393" s="2" t="str">
        <f>TEXT(Table1[[#This Row],[date]],"dd")</f>
        <v>21</v>
      </c>
      <c r="J393" s="20">
        <f>DATE(2000,MONTH(Table1[[#This Row],[date]]),1)</f>
        <v>36678</v>
      </c>
      <c r="K393" s="18" t="str">
        <f>TEXT(Table1[[#This Row],[date]],"mm")</f>
        <v>06</v>
      </c>
      <c r="L393" s="16" t="s">
        <v>73</v>
      </c>
      <c r="M393">
        <v>2022</v>
      </c>
      <c r="N393" t="s">
        <v>47</v>
      </c>
      <c r="O393" t="s">
        <v>19</v>
      </c>
      <c r="P393">
        <v>40</v>
      </c>
      <c r="Q393">
        <f>AVERAGE(Table1[funds_raised_millions])</f>
        <v>470.28289473684208</v>
      </c>
      <c r="R393">
        <f>AVERAGE(Table1[total_laid_off])</f>
        <v>236.96936274509804</v>
      </c>
    </row>
    <row r="394" spans="1:18" x14ac:dyDescent="0.25">
      <c r="A394" s="3" t="s">
        <v>508</v>
      </c>
      <c r="B394" t="s">
        <v>40</v>
      </c>
      <c r="C394" t="s">
        <v>174</v>
      </c>
      <c r="D394">
        <v>271</v>
      </c>
      <c r="E394" t="s">
        <v>15</v>
      </c>
      <c r="F394" s="1" t="str">
        <f>IF(Table1[[#This Row],[percentage_laid_off]]=100%,"1","0")</f>
        <v>0</v>
      </c>
      <c r="G394" t="b">
        <v>0</v>
      </c>
      <c r="H394" s="2">
        <v>44824</v>
      </c>
      <c r="I394" s="2" t="str">
        <f>TEXT(Table1[[#This Row],[date]],"dd")</f>
        <v>20</v>
      </c>
      <c r="J394" s="20">
        <f>DATE(2000,MONTH(Table1[[#This Row],[date]]),1)</f>
        <v>36770</v>
      </c>
      <c r="K394" s="18" t="str">
        <f>TEXT(Table1[[#This Row],[date]],"mm")</f>
        <v>09</v>
      </c>
      <c r="L394" s="16" t="s">
        <v>70</v>
      </c>
      <c r="M394">
        <v>2022</v>
      </c>
      <c r="N394" t="s">
        <v>38</v>
      </c>
      <c r="O394" t="s">
        <v>19</v>
      </c>
      <c r="P394">
        <v>1600</v>
      </c>
      <c r="Q394">
        <f>AVERAGE(Table1[funds_raised_millions])</f>
        <v>470.28289473684208</v>
      </c>
      <c r="R394">
        <f>AVERAGE(Table1[total_laid_off])</f>
        <v>236.96936274509804</v>
      </c>
    </row>
    <row r="395" spans="1:18" x14ac:dyDescent="0.25">
      <c r="A395" s="3" t="s">
        <v>508</v>
      </c>
      <c r="B395" t="s">
        <v>40</v>
      </c>
      <c r="C395" t="s">
        <v>174</v>
      </c>
      <c r="D395">
        <v>375</v>
      </c>
      <c r="E395" s="1">
        <v>0.15</v>
      </c>
      <c r="F395" s="1" t="str">
        <f>IF(Table1[[#This Row],[percentage_laid_off]]=100%,"1","0")</f>
        <v>0</v>
      </c>
      <c r="G395" t="s">
        <v>28</v>
      </c>
      <c r="H395" s="2">
        <v>43913</v>
      </c>
      <c r="I395" s="2" t="str">
        <f>TEXT(Table1[[#This Row],[date]],"dd")</f>
        <v>23</v>
      </c>
      <c r="J395" s="20">
        <f>DATE(2000,MONTH(Table1[[#This Row],[date]]),1)</f>
        <v>36586</v>
      </c>
      <c r="K395" s="18" t="str">
        <f>TEXT(Table1[[#This Row],[date]],"mm")</f>
        <v>03</v>
      </c>
      <c r="L395" s="16" t="s">
        <v>57</v>
      </c>
      <c r="M395">
        <v>2020</v>
      </c>
      <c r="N395" t="s">
        <v>423</v>
      </c>
      <c r="O395" t="s">
        <v>19</v>
      </c>
      <c r="P395">
        <v>1600</v>
      </c>
      <c r="Q395">
        <f>AVERAGE(Table1[funds_raised_millions])</f>
        <v>470.28289473684208</v>
      </c>
      <c r="R395">
        <f>AVERAGE(Table1[total_laid_off])</f>
        <v>236.96936274509804</v>
      </c>
    </row>
    <row r="396" spans="1:18" x14ac:dyDescent="0.25">
      <c r="A396" s="3" t="s">
        <v>508</v>
      </c>
      <c r="B396" t="s">
        <v>40</v>
      </c>
      <c r="C396" t="s">
        <v>174</v>
      </c>
      <c r="D396">
        <v>450</v>
      </c>
      <c r="E396" s="1">
        <v>0.1</v>
      </c>
      <c r="F396" s="1" t="str">
        <f>IF(Table1[[#This Row],[percentage_laid_off]]=100%,"1","0")</f>
        <v>0</v>
      </c>
      <c r="G396" t="s">
        <v>16</v>
      </c>
      <c r="H396" s="2">
        <v>44726</v>
      </c>
      <c r="I396" s="2" t="str">
        <f>TEXT(Table1[[#This Row],[date]],"dd")</f>
        <v>14</v>
      </c>
      <c r="J396" s="20">
        <f>DATE(2000,MONTH(Table1[[#This Row],[date]]),1)</f>
        <v>36678</v>
      </c>
      <c r="K396" s="18" t="str">
        <f>TEXT(Table1[[#This Row],[date]],"mm")</f>
        <v>06</v>
      </c>
      <c r="L396" s="16" t="s">
        <v>73</v>
      </c>
      <c r="M396">
        <v>2022</v>
      </c>
      <c r="N396" t="s">
        <v>38</v>
      </c>
      <c r="O396" t="s">
        <v>19</v>
      </c>
      <c r="P396">
        <v>1600</v>
      </c>
      <c r="Q396">
        <f>AVERAGE(Table1[funds_raised_millions])</f>
        <v>470.28289473684208</v>
      </c>
      <c r="R396">
        <f>AVERAGE(Table1[total_laid_off])</f>
        <v>236.96936274509804</v>
      </c>
    </row>
    <row r="397" spans="1:18" x14ac:dyDescent="0.25">
      <c r="A397" s="3" t="s">
        <v>509</v>
      </c>
      <c r="B397" t="s">
        <v>170</v>
      </c>
      <c r="C397" t="s">
        <v>190</v>
      </c>
      <c r="D397">
        <v>11</v>
      </c>
      <c r="E397" s="1">
        <v>0.28000000000000003</v>
      </c>
      <c r="F397" s="1" t="str">
        <f>IF(Table1[[#This Row],[percentage_laid_off]]=100%,"1","0")</f>
        <v>0</v>
      </c>
      <c r="G397" t="s">
        <v>28</v>
      </c>
      <c r="H397" s="2">
        <v>44904</v>
      </c>
      <c r="I397" s="2" t="str">
        <f>TEXT(Table1[[#This Row],[date]],"dd")</f>
        <v>09</v>
      </c>
      <c r="J397" s="20">
        <f>DATE(2000,MONTH(Table1[[#This Row],[date]]),1)</f>
        <v>36861</v>
      </c>
      <c r="K397" s="18" t="str">
        <f>TEXT(Table1[[#This Row],[date]],"mm")</f>
        <v>12</v>
      </c>
      <c r="L397" s="16" t="s">
        <v>61</v>
      </c>
      <c r="M397">
        <v>2022</v>
      </c>
      <c r="N397" t="s">
        <v>24</v>
      </c>
      <c r="O397" t="s">
        <v>172</v>
      </c>
      <c r="P397">
        <v>17</v>
      </c>
      <c r="Q397">
        <f>AVERAGE(Table1[funds_raised_millions])</f>
        <v>470.28289473684208</v>
      </c>
      <c r="R397">
        <f>AVERAGE(Table1[total_laid_off])</f>
        <v>236.96936274509804</v>
      </c>
    </row>
    <row r="398" spans="1:18" x14ac:dyDescent="0.25">
      <c r="A398" s="3" t="s">
        <v>510</v>
      </c>
      <c r="B398" t="s">
        <v>13</v>
      </c>
      <c r="C398" t="s">
        <v>89</v>
      </c>
      <c r="D398">
        <v>221</v>
      </c>
      <c r="E398" s="1">
        <v>0.08</v>
      </c>
      <c r="F398" s="1" t="str">
        <f>IF(Table1[[#This Row],[percentage_laid_off]]=100%,"1","0")</f>
        <v>0</v>
      </c>
      <c r="G398" t="s">
        <v>16</v>
      </c>
      <c r="H398" s="2">
        <v>44952</v>
      </c>
      <c r="I398" s="2" t="str">
        <f>TEXT(Table1[[#This Row],[date]],"dd")</f>
        <v>26</v>
      </c>
      <c r="J398" s="20">
        <f>DATE(2000,MONTH(Table1[[#This Row],[date]]),1)</f>
        <v>36526</v>
      </c>
      <c r="K398" s="18" t="str">
        <f>TEXT(Table1[[#This Row],[date]],"mm")</f>
        <v>01</v>
      </c>
      <c r="L398" s="16" t="s">
        <v>29</v>
      </c>
      <c r="M398">
        <v>2023</v>
      </c>
      <c r="N398" t="s">
        <v>38</v>
      </c>
      <c r="O398" t="s">
        <v>19</v>
      </c>
      <c r="P398">
        <v>455</v>
      </c>
      <c r="Q398">
        <f>AVERAGE(Table1[funds_raised_millions])</f>
        <v>470.28289473684208</v>
      </c>
      <c r="R398">
        <f>AVERAGE(Table1[total_laid_off])</f>
        <v>236.96936274509804</v>
      </c>
    </row>
    <row r="399" spans="1:18" x14ac:dyDescent="0.25">
      <c r="A399" s="3" t="s">
        <v>511</v>
      </c>
      <c r="B399" t="s">
        <v>325</v>
      </c>
      <c r="C399" t="s">
        <v>89</v>
      </c>
      <c r="D399" t="s">
        <v>15</v>
      </c>
      <c r="E399" s="1">
        <v>0.11</v>
      </c>
      <c r="F399" s="1" t="str">
        <f>IF(Table1[[#This Row],[percentage_laid_off]]=100%,"1","0")</f>
        <v>0</v>
      </c>
      <c r="G399" t="s">
        <v>28</v>
      </c>
      <c r="H399" s="2">
        <v>43997</v>
      </c>
      <c r="I399" s="2" t="str">
        <f>TEXT(Table1[[#This Row],[date]],"dd")</f>
        <v>15</v>
      </c>
      <c r="J399" s="20">
        <f>DATE(2000,MONTH(Table1[[#This Row],[date]]),1)</f>
        <v>36678</v>
      </c>
      <c r="K399" s="18" t="str">
        <f>TEXT(Table1[[#This Row],[date]],"mm")</f>
        <v>06</v>
      </c>
      <c r="L399" s="16" t="s">
        <v>73</v>
      </c>
      <c r="M399">
        <v>2020</v>
      </c>
      <c r="N399" t="s">
        <v>71</v>
      </c>
      <c r="O399" t="s">
        <v>19</v>
      </c>
      <c r="P399">
        <v>117</v>
      </c>
      <c r="Q399">
        <f>AVERAGE(Table1[funds_raised_millions])</f>
        <v>470.28289473684208</v>
      </c>
      <c r="R399">
        <f>AVERAGE(Table1[total_laid_off])</f>
        <v>236.96936274509804</v>
      </c>
    </row>
    <row r="400" spans="1:18" x14ac:dyDescent="0.25">
      <c r="A400" s="3" t="s">
        <v>512</v>
      </c>
      <c r="B400" t="s">
        <v>27</v>
      </c>
      <c r="C400" t="s">
        <v>123</v>
      </c>
      <c r="D400">
        <v>17</v>
      </c>
      <c r="E400" s="1">
        <v>0.1</v>
      </c>
      <c r="F400" s="1" t="str">
        <f>IF(Table1[[#This Row],[percentage_laid_off]]=100%,"1","0")</f>
        <v>0</v>
      </c>
      <c r="G400" t="s">
        <v>16</v>
      </c>
      <c r="H400" s="2">
        <v>44047</v>
      </c>
      <c r="I400" s="2" t="str">
        <f>TEXT(Table1[[#This Row],[date]],"dd")</f>
        <v>04</v>
      </c>
      <c r="J400" s="20">
        <f>DATE(2000,MONTH(Table1[[#This Row],[date]]),1)</f>
        <v>36739</v>
      </c>
      <c r="K400" s="18" t="str">
        <f>TEXT(Table1[[#This Row],[date]],"mm")</f>
        <v>08</v>
      </c>
      <c r="L400" s="16" t="s">
        <v>53</v>
      </c>
      <c r="M400">
        <v>2020</v>
      </c>
      <c r="N400" t="s">
        <v>47</v>
      </c>
      <c r="O400" t="s">
        <v>31</v>
      </c>
      <c r="P400" t="s">
        <v>15</v>
      </c>
      <c r="Q400">
        <f>AVERAGE(Table1[funds_raised_millions])</f>
        <v>470.28289473684208</v>
      </c>
      <c r="R400">
        <f>AVERAGE(Table1[total_laid_off])</f>
        <v>236.96936274509804</v>
      </c>
    </row>
    <row r="401" spans="1:18" x14ac:dyDescent="0.25">
      <c r="A401" s="3" t="s">
        <v>513</v>
      </c>
      <c r="B401" t="s">
        <v>40</v>
      </c>
      <c r="C401" t="s">
        <v>46</v>
      </c>
      <c r="D401">
        <v>91</v>
      </c>
      <c r="E401" s="1">
        <v>0.14000000000000001</v>
      </c>
      <c r="F401" s="1" t="str">
        <f>IF(Table1[[#This Row],[percentage_laid_off]]=100%,"1","0")</f>
        <v>0</v>
      </c>
      <c r="G401" t="s">
        <v>28</v>
      </c>
      <c r="H401" s="2">
        <v>43941</v>
      </c>
      <c r="I401" s="2" t="str">
        <f>TEXT(Table1[[#This Row],[date]],"dd")</f>
        <v>20</v>
      </c>
      <c r="J401" s="20">
        <f>DATE(2000,MONTH(Table1[[#This Row],[date]]),1)</f>
        <v>36617</v>
      </c>
      <c r="K401" s="18" t="str">
        <f>TEXT(Table1[[#This Row],[date]],"mm")</f>
        <v>04</v>
      </c>
      <c r="L401" s="16" t="s">
        <v>37</v>
      </c>
      <c r="M401">
        <v>2020</v>
      </c>
      <c r="N401" t="s">
        <v>47</v>
      </c>
      <c r="O401" t="s">
        <v>19</v>
      </c>
      <c r="P401">
        <v>10</v>
      </c>
      <c r="Q401">
        <f>AVERAGE(Table1[funds_raised_millions])</f>
        <v>470.28289473684208</v>
      </c>
      <c r="R401">
        <f>AVERAGE(Table1[total_laid_off])</f>
        <v>236.96936274509804</v>
      </c>
    </row>
    <row r="402" spans="1:18" x14ac:dyDescent="0.25">
      <c r="A402" s="3" t="s">
        <v>513</v>
      </c>
      <c r="B402" t="s">
        <v>40</v>
      </c>
      <c r="C402" t="s">
        <v>46</v>
      </c>
      <c r="D402">
        <v>100</v>
      </c>
      <c r="E402" s="1">
        <v>0.11</v>
      </c>
      <c r="F402" s="1" t="str">
        <f>IF(Table1[[#This Row],[percentage_laid_off]]=100%,"1","0")</f>
        <v>0</v>
      </c>
      <c r="G402" t="s">
        <v>28</v>
      </c>
      <c r="H402" s="2">
        <v>45200</v>
      </c>
      <c r="I402" s="2" t="str">
        <f>TEXT(Table1[[#This Row],[date]],"dd")</f>
        <v>01</v>
      </c>
      <c r="J402" s="20">
        <f>DATE(2000,MONTH(Table1[[#This Row],[date]]),1)</f>
        <v>36800</v>
      </c>
      <c r="K402" s="18" t="str">
        <f>TEXT(Table1[[#This Row],[date]],"mm")</f>
        <v>10</v>
      </c>
      <c r="L402" s="16" t="s">
        <v>95</v>
      </c>
      <c r="M402">
        <v>2023</v>
      </c>
      <c r="N402" t="s">
        <v>43</v>
      </c>
      <c r="O402" t="s">
        <v>19</v>
      </c>
      <c r="P402">
        <v>726</v>
      </c>
      <c r="Q402">
        <f>AVERAGE(Table1[funds_raised_millions])</f>
        <v>470.28289473684208</v>
      </c>
      <c r="R402">
        <f>AVERAGE(Table1[total_laid_off])</f>
        <v>236.96936274509804</v>
      </c>
    </row>
    <row r="403" spans="1:18" x14ac:dyDescent="0.25">
      <c r="A403" s="3" t="s">
        <v>514</v>
      </c>
      <c r="B403" t="s">
        <v>13</v>
      </c>
      <c r="C403" t="s">
        <v>161</v>
      </c>
      <c r="D403">
        <v>13</v>
      </c>
      <c r="E403" s="1">
        <v>1</v>
      </c>
      <c r="F403" s="1" t="str">
        <f>IF(Table1[[#This Row],[percentage_laid_off]]=100%,"1","0")</f>
        <v>1</v>
      </c>
      <c r="G403" t="s">
        <v>114</v>
      </c>
      <c r="H403" s="2">
        <v>43916</v>
      </c>
      <c r="I403" s="2" t="str">
        <f>TEXT(Table1[[#This Row],[date]],"dd")</f>
        <v>26</v>
      </c>
      <c r="J403" s="20">
        <f>DATE(2000,MONTH(Table1[[#This Row],[date]]),1)</f>
        <v>36586</v>
      </c>
      <c r="K403" s="18" t="str">
        <f>TEXT(Table1[[#This Row],[date]],"mm")</f>
        <v>03</v>
      </c>
      <c r="L403" s="16" t="s">
        <v>57</v>
      </c>
      <c r="M403">
        <v>2020</v>
      </c>
      <c r="N403" t="s">
        <v>139</v>
      </c>
      <c r="O403" t="s">
        <v>19</v>
      </c>
      <c r="P403">
        <v>5</v>
      </c>
      <c r="Q403">
        <f>AVERAGE(Table1[funds_raised_millions])</f>
        <v>470.28289473684208</v>
      </c>
      <c r="R403">
        <f>AVERAGE(Table1[total_laid_off])</f>
        <v>236.96936274509804</v>
      </c>
    </row>
    <row r="404" spans="1:18" x14ac:dyDescent="0.25">
      <c r="A404" s="3" t="s">
        <v>515</v>
      </c>
      <c r="B404" t="s">
        <v>516</v>
      </c>
      <c r="C404" t="s">
        <v>51</v>
      </c>
      <c r="D404">
        <v>140</v>
      </c>
      <c r="E404" s="1">
        <v>0.35</v>
      </c>
      <c r="F404" s="1" t="str">
        <f>IF(Table1[[#This Row],[percentage_laid_off]]=100%,"1","0")</f>
        <v>0</v>
      </c>
      <c r="G404" t="s">
        <v>28</v>
      </c>
      <c r="H404" s="2">
        <v>43938</v>
      </c>
      <c r="I404" s="2" t="str">
        <f>TEXT(Table1[[#This Row],[date]],"dd")</f>
        <v>17</v>
      </c>
      <c r="J404" s="20">
        <f>DATE(2000,MONTH(Table1[[#This Row],[date]]),1)</f>
        <v>36617</v>
      </c>
      <c r="K404" s="18" t="str">
        <f>TEXT(Table1[[#This Row],[date]],"mm")</f>
        <v>04</v>
      </c>
      <c r="L404" s="16" t="s">
        <v>37</v>
      </c>
      <c r="M404">
        <v>2020</v>
      </c>
      <c r="N404" t="s">
        <v>43</v>
      </c>
      <c r="O404" t="s">
        <v>48</v>
      </c>
      <c r="P404">
        <v>37</v>
      </c>
      <c r="Q404">
        <f>AVERAGE(Table1[funds_raised_millions])</f>
        <v>470.28289473684208</v>
      </c>
      <c r="R404">
        <f>AVERAGE(Table1[total_laid_off])</f>
        <v>236.96936274509804</v>
      </c>
    </row>
    <row r="405" spans="1:18" x14ac:dyDescent="0.25">
      <c r="A405" s="3" t="s">
        <v>517</v>
      </c>
      <c r="B405" t="s">
        <v>40</v>
      </c>
      <c r="C405" t="s">
        <v>14</v>
      </c>
      <c r="D405">
        <v>16</v>
      </c>
      <c r="E405" s="1">
        <v>0.37</v>
      </c>
      <c r="F405" s="1" t="str">
        <f>IF(Table1[[#This Row],[percentage_laid_off]]=100%,"1","0")</f>
        <v>0</v>
      </c>
      <c r="G405" t="s">
        <v>28</v>
      </c>
      <c r="H405" s="2">
        <v>44788</v>
      </c>
      <c r="I405" s="2" t="str">
        <f>TEXT(Table1[[#This Row],[date]],"dd")</f>
        <v>15</v>
      </c>
      <c r="J405" s="20">
        <f>DATE(2000,MONTH(Table1[[#This Row],[date]]),1)</f>
        <v>36739</v>
      </c>
      <c r="K405" s="18" t="str">
        <f>TEXT(Table1[[#This Row],[date]],"mm")</f>
        <v>08</v>
      </c>
      <c r="L405" s="16" t="s">
        <v>53</v>
      </c>
      <c r="M405">
        <v>2022</v>
      </c>
      <c r="N405" t="s">
        <v>38</v>
      </c>
      <c r="O405" t="s">
        <v>19</v>
      </c>
      <c r="P405">
        <v>380</v>
      </c>
      <c r="Q405">
        <f>AVERAGE(Table1[funds_raised_millions])</f>
        <v>470.28289473684208</v>
      </c>
      <c r="R405">
        <f>AVERAGE(Table1[total_laid_off])</f>
        <v>236.96936274509804</v>
      </c>
    </row>
    <row r="406" spans="1:18" x14ac:dyDescent="0.25">
      <c r="A406" s="3" t="s">
        <v>518</v>
      </c>
      <c r="B406" t="s">
        <v>40</v>
      </c>
      <c r="C406" t="s">
        <v>174</v>
      </c>
      <c r="D406">
        <v>150</v>
      </c>
      <c r="E406" s="1">
        <v>0.18</v>
      </c>
      <c r="F406" s="1" t="str">
        <f>IF(Table1[[#This Row],[percentage_laid_off]]=100%,"1","0")</f>
        <v>0</v>
      </c>
      <c r="G406" t="s">
        <v>28</v>
      </c>
      <c r="H406" s="2">
        <v>43913</v>
      </c>
      <c r="I406" s="2" t="str">
        <f>TEXT(Table1[[#This Row],[date]],"dd")</f>
        <v>23</v>
      </c>
      <c r="J406" s="20">
        <f>DATE(2000,MONTH(Table1[[#This Row],[date]]),1)</f>
        <v>36586</v>
      </c>
      <c r="K406" s="18" t="str">
        <f>TEXT(Table1[[#This Row],[date]],"mm")</f>
        <v>03</v>
      </c>
      <c r="L406" s="16" t="s">
        <v>57</v>
      </c>
      <c r="M406">
        <v>2020</v>
      </c>
      <c r="N406" t="s">
        <v>43</v>
      </c>
      <c r="O406" t="s">
        <v>19</v>
      </c>
      <c r="P406">
        <v>280</v>
      </c>
      <c r="Q406">
        <f>AVERAGE(Table1[funds_raised_millions])</f>
        <v>470.28289473684208</v>
      </c>
      <c r="R406">
        <f>AVERAGE(Table1[total_laid_off])</f>
        <v>236.96936274509804</v>
      </c>
    </row>
    <row r="407" spans="1:18" x14ac:dyDescent="0.25">
      <c r="A407" s="3" t="s">
        <v>519</v>
      </c>
      <c r="B407" t="s">
        <v>68</v>
      </c>
      <c r="C407" t="s">
        <v>120</v>
      </c>
      <c r="D407" t="s">
        <v>15</v>
      </c>
      <c r="E407" s="1">
        <v>0.01</v>
      </c>
      <c r="F407" s="1" t="str">
        <f>IF(Table1[[#This Row],[percentage_laid_off]]=100%,"1","0")</f>
        <v>0</v>
      </c>
      <c r="G407" t="s">
        <v>16</v>
      </c>
      <c r="H407" s="2">
        <v>43944</v>
      </c>
      <c r="I407" s="2" t="str">
        <f>TEXT(Table1[[#This Row],[date]],"dd")</f>
        <v>23</v>
      </c>
      <c r="J407" s="20">
        <f>DATE(2000,MONTH(Table1[[#This Row],[date]]),1)</f>
        <v>36617</v>
      </c>
      <c r="K407" s="18" t="str">
        <f>TEXT(Table1[[#This Row],[date]],"mm")</f>
        <v>04</v>
      </c>
      <c r="L407" s="16" t="s">
        <v>37</v>
      </c>
      <c r="M407">
        <v>2020</v>
      </c>
      <c r="N407" t="s">
        <v>43</v>
      </c>
      <c r="O407" t="s">
        <v>19</v>
      </c>
      <c r="P407">
        <v>665</v>
      </c>
      <c r="Q407">
        <f>AVERAGE(Table1[funds_raised_millions])</f>
        <v>470.28289473684208</v>
      </c>
      <c r="R407">
        <f>AVERAGE(Table1[total_laid_off])</f>
        <v>236.96936274509804</v>
      </c>
    </row>
    <row r="408" spans="1:18" x14ac:dyDescent="0.25">
      <c r="A408" s="3" t="s">
        <v>519</v>
      </c>
      <c r="B408" t="s">
        <v>68</v>
      </c>
      <c r="C408" t="s">
        <v>120</v>
      </c>
      <c r="D408">
        <v>90</v>
      </c>
      <c r="E408" s="1">
        <v>7.0000000000000007E-2</v>
      </c>
      <c r="F408" s="1" t="str">
        <f>IF(Table1[[#This Row],[percentage_laid_off]]=100%,"1","0")</f>
        <v>0</v>
      </c>
      <c r="G408" t="s">
        <v>16</v>
      </c>
      <c r="H408" s="2">
        <v>44810</v>
      </c>
      <c r="I408" s="2" t="str">
        <f>TEXT(Table1[[#This Row],[date]],"dd")</f>
        <v>06</v>
      </c>
      <c r="J408" s="20">
        <f>DATE(2000,MONTH(Table1[[#This Row],[date]]),1)</f>
        <v>36770</v>
      </c>
      <c r="K408" s="18" t="str">
        <f>TEXT(Table1[[#This Row],[date]],"mm")</f>
        <v>09</v>
      </c>
      <c r="L408" s="16" t="s">
        <v>70</v>
      </c>
      <c r="M408">
        <v>2022</v>
      </c>
      <c r="N408" t="s">
        <v>18</v>
      </c>
      <c r="O408" t="s">
        <v>19</v>
      </c>
      <c r="P408">
        <v>1100</v>
      </c>
      <c r="Q408">
        <f>AVERAGE(Table1[funds_raised_millions])</f>
        <v>470.28289473684208</v>
      </c>
      <c r="R408">
        <f>AVERAGE(Table1[total_laid_off])</f>
        <v>236.96936274509804</v>
      </c>
    </row>
    <row r="409" spans="1:18" x14ac:dyDescent="0.25">
      <c r="A409" s="3" t="s">
        <v>520</v>
      </c>
      <c r="B409" t="s">
        <v>13</v>
      </c>
      <c r="C409" t="s">
        <v>22</v>
      </c>
      <c r="D409">
        <v>35</v>
      </c>
      <c r="E409" t="s">
        <v>15</v>
      </c>
      <c r="F409" s="1" t="str">
        <f>IF(Table1[[#This Row],[percentage_laid_off]]=100%,"1","0")</f>
        <v>0</v>
      </c>
      <c r="G409" t="b">
        <v>0</v>
      </c>
      <c r="H409" s="2">
        <v>43865</v>
      </c>
      <c r="I409" s="2" t="str">
        <f>TEXT(Table1[[#This Row],[date]],"dd")</f>
        <v>04</v>
      </c>
      <c r="J409" s="20">
        <f>DATE(2000,MONTH(Table1[[#This Row],[date]]),1)</f>
        <v>36557</v>
      </c>
      <c r="K409" s="18" t="str">
        <f>TEXT(Table1[[#This Row],[date]],"mm")</f>
        <v>02</v>
      </c>
      <c r="L409" s="16" t="s">
        <v>42</v>
      </c>
      <c r="M409">
        <v>2020</v>
      </c>
      <c r="N409" t="s">
        <v>35</v>
      </c>
      <c r="O409" t="s">
        <v>19</v>
      </c>
      <c r="P409">
        <v>102</v>
      </c>
      <c r="Q409">
        <f>AVERAGE(Table1[funds_raised_millions])</f>
        <v>470.28289473684208</v>
      </c>
      <c r="R409">
        <f>AVERAGE(Table1[total_laid_off])</f>
        <v>236.96936274509804</v>
      </c>
    </row>
    <row r="410" spans="1:18" x14ac:dyDescent="0.25">
      <c r="A410" s="3" t="s">
        <v>521</v>
      </c>
      <c r="B410" t="s">
        <v>202</v>
      </c>
      <c r="C410" t="s">
        <v>46</v>
      </c>
      <c r="D410" t="s">
        <v>15</v>
      </c>
      <c r="E410" s="1">
        <v>0.1</v>
      </c>
      <c r="F410" s="1" t="str">
        <f>IF(Table1[[#This Row],[percentage_laid_off]]=100%,"1","0")</f>
        <v>0</v>
      </c>
      <c r="G410" t="s">
        <v>16</v>
      </c>
      <c r="H410" s="2">
        <v>44903</v>
      </c>
      <c r="I410" s="2" t="str">
        <f>TEXT(Table1[[#This Row],[date]],"dd")</f>
        <v>08</v>
      </c>
      <c r="J410" s="20">
        <f>DATE(2000,MONTH(Table1[[#This Row],[date]]),1)</f>
        <v>36861</v>
      </c>
      <c r="K410" s="18" t="str">
        <f>TEXT(Table1[[#This Row],[date]],"mm")</f>
        <v>12</v>
      </c>
      <c r="L410" s="16" t="s">
        <v>61</v>
      </c>
      <c r="M410">
        <v>2022</v>
      </c>
      <c r="N410" t="s">
        <v>38</v>
      </c>
      <c r="O410" t="s">
        <v>19</v>
      </c>
      <c r="P410">
        <v>169</v>
      </c>
      <c r="Q410">
        <f>AVERAGE(Table1[funds_raised_millions])</f>
        <v>470.28289473684208</v>
      </c>
      <c r="R410">
        <f>AVERAGE(Table1[total_laid_off])</f>
        <v>236.96936274509804</v>
      </c>
    </row>
    <row r="411" spans="1:18" x14ac:dyDescent="0.25">
      <c r="A411" s="3" t="s">
        <v>522</v>
      </c>
      <c r="B411" t="s">
        <v>88</v>
      </c>
      <c r="C411" t="s">
        <v>82</v>
      </c>
      <c r="D411" t="s">
        <v>15</v>
      </c>
      <c r="E411" s="1">
        <v>0.14000000000000001</v>
      </c>
      <c r="F411" s="1" t="str">
        <f>IF(Table1[[#This Row],[percentage_laid_off]]=100%,"1","0")</f>
        <v>0</v>
      </c>
      <c r="G411" t="s">
        <v>28</v>
      </c>
      <c r="H411" s="2">
        <v>44950</v>
      </c>
      <c r="I411" s="2" t="str">
        <f>TEXT(Table1[[#This Row],[date]],"dd")</f>
        <v>24</v>
      </c>
      <c r="J411" s="20">
        <f>DATE(2000,MONTH(Table1[[#This Row],[date]]),1)</f>
        <v>36526</v>
      </c>
      <c r="K411" s="18" t="str">
        <f>TEXT(Table1[[#This Row],[date]],"mm")</f>
        <v>01</v>
      </c>
      <c r="L411" s="16" t="s">
        <v>29</v>
      </c>
      <c r="M411">
        <v>2023</v>
      </c>
      <c r="N411" t="s">
        <v>35</v>
      </c>
      <c r="O411" t="s">
        <v>19</v>
      </c>
      <c r="P411">
        <v>160</v>
      </c>
      <c r="Q411">
        <f>AVERAGE(Table1[funds_raised_millions])</f>
        <v>470.28289473684208</v>
      </c>
      <c r="R411">
        <f>AVERAGE(Table1[total_laid_off])</f>
        <v>236.96936274509804</v>
      </c>
    </row>
    <row r="412" spans="1:18" x14ac:dyDescent="0.25">
      <c r="A412" s="3" t="s">
        <v>523</v>
      </c>
      <c r="B412" t="s">
        <v>63</v>
      </c>
      <c r="C412" t="s">
        <v>82</v>
      </c>
      <c r="D412">
        <v>30</v>
      </c>
      <c r="E412" s="1">
        <v>0.2</v>
      </c>
      <c r="F412" s="1" t="str">
        <f>IF(Table1[[#This Row],[percentage_laid_off]]=100%,"1","0")</f>
        <v>0</v>
      </c>
      <c r="G412" t="s">
        <v>28</v>
      </c>
      <c r="H412" s="2">
        <v>44706</v>
      </c>
      <c r="I412" s="2" t="str">
        <f>TEXT(Table1[[#This Row],[date]],"dd")</f>
        <v>25</v>
      </c>
      <c r="J412" s="20">
        <f>DATE(2000,MONTH(Table1[[#This Row],[date]]),1)</f>
        <v>36647</v>
      </c>
      <c r="K412" s="18" t="str">
        <f>TEXT(Table1[[#This Row],[date]],"mm")</f>
        <v>05</v>
      </c>
      <c r="L412" s="16" t="s">
        <v>86</v>
      </c>
      <c r="M412">
        <v>2022</v>
      </c>
      <c r="N412" t="s">
        <v>30</v>
      </c>
      <c r="O412" t="s">
        <v>19</v>
      </c>
      <c r="P412">
        <v>70</v>
      </c>
      <c r="Q412">
        <f>AVERAGE(Table1[funds_raised_millions])</f>
        <v>470.28289473684208</v>
      </c>
      <c r="R412">
        <f>AVERAGE(Table1[total_laid_off])</f>
        <v>236.96936274509804</v>
      </c>
    </row>
    <row r="413" spans="1:18" x14ac:dyDescent="0.25">
      <c r="A413" s="3" t="s">
        <v>524</v>
      </c>
      <c r="B413" t="s">
        <v>88</v>
      </c>
      <c r="C413" t="s">
        <v>22</v>
      </c>
      <c r="D413">
        <v>20</v>
      </c>
      <c r="E413" s="1">
        <v>0.2</v>
      </c>
      <c r="F413" s="1" t="str">
        <f>IF(Table1[[#This Row],[percentage_laid_off]]=100%,"1","0")</f>
        <v>0</v>
      </c>
      <c r="G413" t="s">
        <v>28</v>
      </c>
      <c r="H413" s="2">
        <v>43834</v>
      </c>
      <c r="I413" s="2" t="str">
        <f>TEXT(Table1[[#This Row],[date]],"dd")</f>
        <v>04</v>
      </c>
      <c r="J413" s="20">
        <f>DATE(2000,MONTH(Table1[[#This Row],[date]]),1)</f>
        <v>36526</v>
      </c>
      <c r="K413" s="18" t="str">
        <f>TEXT(Table1[[#This Row],[date]],"mm")</f>
        <v>01</v>
      </c>
      <c r="L413" s="16" t="s">
        <v>29</v>
      </c>
      <c r="M413">
        <v>2020</v>
      </c>
      <c r="N413" t="s">
        <v>24</v>
      </c>
      <c r="O413" t="s">
        <v>19</v>
      </c>
      <c r="P413">
        <v>16</v>
      </c>
      <c r="Q413">
        <f>AVERAGE(Table1[funds_raised_millions])</f>
        <v>470.28289473684208</v>
      </c>
      <c r="R413">
        <f>AVERAGE(Table1[total_laid_off])</f>
        <v>236.96936274509804</v>
      </c>
    </row>
    <row r="414" spans="1:18" x14ac:dyDescent="0.25">
      <c r="A414" s="3" t="s">
        <v>525</v>
      </c>
      <c r="B414" t="s">
        <v>13</v>
      </c>
      <c r="C414" t="s">
        <v>82</v>
      </c>
      <c r="D414">
        <v>22</v>
      </c>
      <c r="E414" s="1">
        <v>0.14000000000000001</v>
      </c>
      <c r="F414" s="1" t="str">
        <f>IF(Table1[[#This Row],[percentage_laid_off]]=100%,"1","0")</f>
        <v>0</v>
      </c>
      <c r="G414" t="s">
        <v>28</v>
      </c>
      <c r="H414" s="2">
        <v>43896</v>
      </c>
      <c r="I414" s="2" t="str">
        <f>TEXT(Table1[[#This Row],[date]],"dd")</f>
        <v>06</v>
      </c>
      <c r="J414" s="20">
        <f>DATE(2000,MONTH(Table1[[#This Row],[date]]),1)</f>
        <v>36586</v>
      </c>
      <c r="K414" s="18" t="str">
        <f>TEXT(Table1[[#This Row],[date]],"mm")</f>
        <v>03</v>
      </c>
      <c r="L414" s="16" t="s">
        <v>57</v>
      </c>
      <c r="M414">
        <v>2020</v>
      </c>
      <c r="N414" t="s">
        <v>100</v>
      </c>
      <c r="O414" t="s">
        <v>19</v>
      </c>
      <c r="P414">
        <v>120</v>
      </c>
      <c r="Q414">
        <f>AVERAGE(Table1[funds_raised_millions])</f>
        <v>470.28289473684208</v>
      </c>
      <c r="R414">
        <f>AVERAGE(Table1[total_laid_off])</f>
        <v>236.96936274509804</v>
      </c>
    </row>
    <row r="415" spans="1:18" x14ac:dyDescent="0.25">
      <c r="A415" s="3" t="s">
        <v>526</v>
      </c>
      <c r="B415" t="s">
        <v>45</v>
      </c>
      <c r="C415" t="s">
        <v>82</v>
      </c>
      <c r="D415" t="s">
        <v>15</v>
      </c>
      <c r="E415" s="1">
        <v>0.06</v>
      </c>
      <c r="F415" s="1" t="str">
        <f>IF(Table1[[#This Row],[percentage_laid_off]]=100%,"1","0")</f>
        <v>0</v>
      </c>
      <c r="G415" t="s">
        <v>16</v>
      </c>
      <c r="H415" s="2">
        <v>44047</v>
      </c>
      <c r="I415" s="2" t="str">
        <f>TEXT(Table1[[#This Row],[date]],"dd")</f>
        <v>04</v>
      </c>
      <c r="J415" s="20">
        <f>DATE(2000,MONTH(Table1[[#This Row],[date]]),1)</f>
        <v>36739</v>
      </c>
      <c r="K415" s="18" t="str">
        <f>TEXT(Table1[[#This Row],[date]],"mm")</f>
        <v>08</v>
      </c>
      <c r="L415" s="16" t="s">
        <v>53</v>
      </c>
      <c r="M415">
        <v>2020</v>
      </c>
      <c r="N415" t="s">
        <v>43</v>
      </c>
      <c r="O415" t="s">
        <v>48</v>
      </c>
      <c r="P415">
        <v>314</v>
      </c>
      <c r="Q415">
        <f>AVERAGE(Table1[funds_raised_millions])</f>
        <v>470.28289473684208</v>
      </c>
      <c r="R415">
        <f>AVERAGE(Table1[total_laid_off])</f>
        <v>236.96936274509804</v>
      </c>
    </row>
    <row r="416" spans="1:18" x14ac:dyDescent="0.25">
      <c r="A416" s="3" t="s">
        <v>527</v>
      </c>
      <c r="B416" t="s">
        <v>313</v>
      </c>
      <c r="C416" t="s">
        <v>51</v>
      </c>
      <c r="D416">
        <v>170</v>
      </c>
      <c r="E416" s="1">
        <v>1</v>
      </c>
      <c r="F416" s="1" t="str">
        <f>IF(Table1[[#This Row],[percentage_laid_off]]=100%,"1","0")</f>
        <v>1</v>
      </c>
      <c r="G416" t="s">
        <v>114</v>
      </c>
      <c r="H416" s="2">
        <v>44742</v>
      </c>
      <c r="I416" s="2" t="str">
        <f>TEXT(Table1[[#This Row],[date]],"dd")</f>
        <v>30</v>
      </c>
      <c r="J416" s="20">
        <f>DATE(2000,MONTH(Table1[[#This Row],[date]]),1)</f>
        <v>36678</v>
      </c>
      <c r="K416" s="18" t="str">
        <f>TEXT(Table1[[#This Row],[date]],"mm")</f>
        <v>06</v>
      </c>
      <c r="L416" s="16" t="s">
        <v>73</v>
      </c>
      <c r="M416">
        <v>2022</v>
      </c>
      <c r="N416" t="s">
        <v>139</v>
      </c>
      <c r="O416" t="s">
        <v>83</v>
      </c>
      <c r="P416">
        <v>3</v>
      </c>
      <c r="Q416">
        <f>AVERAGE(Table1[funds_raised_millions])</f>
        <v>470.28289473684208</v>
      </c>
      <c r="R416">
        <f>AVERAGE(Table1[total_laid_off])</f>
        <v>236.96936274509804</v>
      </c>
    </row>
    <row r="417" spans="1:18" x14ac:dyDescent="0.25">
      <c r="A417" s="3" t="s">
        <v>528</v>
      </c>
      <c r="B417" t="s">
        <v>85</v>
      </c>
      <c r="C417" t="s">
        <v>174</v>
      </c>
      <c r="D417">
        <v>24</v>
      </c>
      <c r="E417" s="1">
        <v>0.22</v>
      </c>
      <c r="F417" s="1" t="str">
        <f>IF(Table1[[#This Row],[percentage_laid_off]]=100%,"1","0")</f>
        <v>0</v>
      </c>
      <c r="G417" t="s">
        <v>28</v>
      </c>
      <c r="H417" s="2">
        <v>43836</v>
      </c>
      <c r="I417" s="2" t="str">
        <f>TEXT(Table1[[#This Row],[date]],"dd")</f>
        <v>06</v>
      </c>
      <c r="J417" s="20">
        <f>DATE(2000,MONTH(Table1[[#This Row],[date]]),1)</f>
        <v>36526</v>
      </c>
      <c r="K417" s="18" t="str">
        <f>TEXT(Table1[[#This Row],[date]],"mm")</f>
        <v>01</v>
      </c>
      <c r="L417" s="16" t="s">
        <v>29</v>
      </c>
      <c r="M417">
        <v>2020</v>
      </c>
      <c r="N417" t="s">
        <v>35</v>
      </c>
      <c r="O417" t="s">
        <v>19</v>
      </c>
      <c r="P417">
        <v>24</v>
      </c>
      <c r="Q417">
        <f>AVERAGE(Table1[funds_raised_millions])</f>
        <v>470.28289473684208</v>
      </c>
      <c r="R417">
        <f>AVERAGE(Table1[total_laid_off])</f>
        <v>236.96936274509804</v>
      </c>
    </row>
    <row r="418" spans="1:18" x14ac:dyDescent="0.25">
      <c r="A418" s="3" t="s">
        <v>529</v>
      </c>
      <c r="B418" t="s">
        <v>13</v>
      </c>
      <c r="C418" t="s">
        <v>69</v>
      </c>
      <c r="D418">
        <v>150</v>
      </c>
      <c r="E418" s="1">
        <v>0.08</v>
      </c>
      <c r="F418" s="1" t="str">
        <f>IF(Table1[[#This Row],[percentage_laid_off]]=100%,"1","0")</f>
        <v>0</v>
      </c>
      <c r="G418" t="s">
        <v>16</v>
      </c>
      <c r="H418" s="2">
        <v>43965</v>
      </c>
      <c r="I418" s="2" t="str">
        <f>TEXT(Table1[[#This Row],[date]],"dd")</f>
        <v>14</v>
      </c>
      <c r="J418" s="20">
        <f>DATE(2000,MONTH(Table1[[#This Row],[date]]),1)</f>
        <v>36647</v>
      </c>
      <c r="K418" s="18" t="str">
        <f>TEXT(Table1[[#This Row],[date]],"mm")</f>
        <v>05</v>
      </c>
      <c r="L418" s="16" t="s">
        <v>86</v>
      </c>
      <c r="M418">
        <v>2020</v>
      </c>
      <c r="N418" t="s">
        <v>71</v>
      </c>
      <c r="O418" t="s">
        <v>19</v>
      </c>
      <c r="P418">
        <v>5300</v>
      </c>
      <c r="Q418">
        <f>AVERAGE(Table1[funds_raised_millions])</f>
        <v>470.28289473684208</v>
      </c>
      <c r="R418">
        <f>AVERAGE(Table1[total_laid_off])</f>
        <v>236.96936274509804</v>
      </c>
    </row>
    <row r="419" spans="1:18" x14ac:dyDescent="0.25">
      <c r="A419" s="3" t="s">
        <v>530</v>
      </c>
      <c r="B419" t="s">
        <v>531</v>
      </c>
      <c r="C419" t="s">
        <v>78</v>
      </c>
      <c r="D419">
        <v>85</v>
      </c>
      <c r="E419" t="s">
        <v>15</v>
      </c>
      <c r="F419" s="1" t="str">
        <f>IF(Table1[[#This Row],[percentage_laid_off]]=100%,"1","0")</f>
        <v>0</v>
      </c>
      <c r="G419" t="b">
        <v>0</v>
      </c>
      <c r="H419" s="2">
        <v>44978</v>
      </c>
      <c r="I419" s="2" t="str">
        <f>TEXT(Table1[[#This Row],[date]],"dd")</f>
        <v>21</v>
      </c>
      <c r="J419" s="20">
        <f>DATE(2000,MONTH(Table1[[#This Row],[date]]),1)</f>
        <v>36557</v>
      </c>
      <c r="K419" s="18" t="str">
        <f>TEXT(Table1[[#This Row],[date]],"mm")</f>
        <v>02</v>
      </c>
      <c r="L419" s="16" t="s">
        <v>42</v>
      </c>
      <c r="M419">
        <v>2023</v>
      </c>
      <c r="N419" t="s">
        <v>47</v>
      </c>
      <c r="O419" t="s">
        <v>532</v>
      </c>
      <c r="P419">
        <v>26</v>
      </c>
      <c r="Q419">
        <f>AVERAGE(Table1[funds_raised_millions])</f>
        <v>470.28289473684208</v>
      </c>
      <c r="R419">
        <f>AVERAGE(Table1[total_laid_off])</f>
        <v>236.96936274509804</v>
      </c>
    </row>
    <row r="420" spans="1:18" x14ac:dyDescent="0.25">
      <c r="A420" s="3" t="s">
        <v>533</v>
      </c>
      <c r="B420" t="s">
        <v>111</v>
      </c>
      <c r="C420" t="s">
        <v>46</v>
      </c>
      <c r="D420" t="s">
        <v>15</v>
      </c>
      <c r="E420" s="1">
        <v>0.2</v>
      </c>
      <c r="F420" s="1" t="str">
        <f>IF(Table1[[#This Row],[percentage_laid_off]]=100%,"1","0")</f>
        <v>0</v>
      </c>
      <c r="G420" t="s">
        <v>28</v>
      </c>
      <c r="H420" s="2">
        <v>45261</v>
      </c>
      <c r="I420" s="2" t="str">
        <f>TEXT(Table1[[#This Row],[date]],"dd")</f>
        <v>01</v>
      </c>
      <c r="J420" s="20">
        <f>DATE(2000,MONTH(Table1[[#This Row],[date]]),1)</f>
        <v>36861</v>
      </c>
      <c r="K420" s="18" t="str">
        <f>TEXT(Table1[[#This Row],[date]],"mm")</f>
        <v>12</v>
      </c>
      <c r="L420" s="16" t="s">
        <v>61</v>
      </c>
      <c r="M420">
        <v>2023</v>
      </c>
      <c r="N420" t="s">
        <v>47</v>
      </c>
      <c r="O420" t="s">
        <v>19</v>
      </c>
      <c r="P420" t="s">
        <v>15</v>
      </c>
      <c r="Q420">
        <f>AVERAGE(Table1[funds_raised_millions])</f>
        <v>470.28289473684208</v>
      </c>
      <c r="R420">
        <f>AVERAGE(Table1[total_laid_off])</f>
        <v>236.96936274509804</v>
      </c>
    </row>
    <row r="421" spans="1:18" x14ac:dyDescent="0.25">
      <c r="A421" s="3" t="s">
        <v>533</v>
      </c>
      <c r="B421" t="s">
        <v>111</v>
      </c>
      <c r="C421" t="s">
        <v>46</v>
      </c>
      <c r="D421">
        <v>260</v>
      </c>
      <c r="E421" s="1">
        <v>0.05</v>
      </c>
      <c r="F421" s="1" t="str">
        <f>IF(Table1[[#This Row],[percentage_laid_off]]=100%,"1","0")</f>
        <v>0</v>
      </c>
      <c r="G421" t="s">
        <v>16</v>
      </c>
      <c r="H421" s="2">
        <v>44840</v>
      </c>
      <c r="I421" s="2" t="str">
        <f>TEXT(Table1[[#This Row],[date]],"dd")</f>
        <v>06</v>
      </c>
      <c r="J421" s="20">
        <f>DATE(2000,MONTH(Table1[[#This Row],[date]]),1)</f>
        <v>36800</v>
      </c>
      <c r="K421" s="18" t="str">
        <f>TEXT(Table1[[#This Row],[date]],"mm")</f>
        <v>10</v>
      </c>
      <c r="L421" s="16" t="s">
        <v>95</v>
      </c>
      <c r="M421">
        <v>2022</v>
      </c>
      <c r="N421" t="s">
        <v>47</v>
      </c>
      <c r="O421" t="s">
        <v>111</v>
      </c>
      <c r="P421">
        <v>156</v>
      </c>
      <c r="Q421">
        <f>AVERAGE(Table1[funds_raised_millions])</f>
        <v>470.28289473684208</v>
      </c>
      <c r="R421">
        <f>AVERAGE(Table1[total_laid_off])</f>
        <v>236.96936274509804</v>
      </c>
    </row>
    <row r="422" spans="1:18" x14ac:dyDescent="0.25">
      <c r="A422" s="3" t="s">
        <v>533</v>
      </c>
      <c r="B422" t="s">
        <v>111</v>
      </c>
      <c r="C422" t="s">
        <v>46</v>
      </c>
      <c r="D422">
        <v>2000</v>
      </c>
      <c r="E422" s="1">
        <v>0.3</v>
      </c>
      <c r="F422" s="1" t="str">
        <f>IF(Table1[[#This Row],[percentage_laid_off]]=100%,"1","0")</f>
        <v>0</v>
      </c>
      <c r="G422" t="s">
        <v>28</v>
      </c>
      <c r="H422" s="2">
        <v>44722</v>
      </c>
      <c r="I422" s="2" t="str">
        <f>TEXT(Table1[[#This Row],[date]],"dd")</f>
        <v>10</v>
      </c>
      <c r="J422" s="20">
        <f>DATE(2000,MONTH(Table1[[#This Row],[date]]),1)</f>
        <v>36678</v>
      </c>
      <c r="K422" s="18" t="str">
        <f>TEXT(Table1[[#This Row],[date]],"mm")</f>
        <v>06</v>
      </c>
      <c r="L422" s="16" t="s">
        <v>73</v>
      </c>
      <c r="M422">
        <v>2022</v>
      </c>
      <c r="N422" t="s">
        <v>47</v>
      </c>
      <c r="O422" t="s">
        <v>111</v>
      </c>
      <c r="P422">
        <v>156</v>
      </c>
      <c r="Q422">
        <f>AVERAGE(Table1[funds_raised_millions])</f>
        <v>470.28289473684208</v>
      </c>
      <c r="R422">
        <f>AVERAGE(Table1[total_laid_off])</f>
        <v>236.96936274509804</v>
      </c>
    </row>
    <row r="423" spans="1:18" x14ac:dyDescent="0.25">
      <c r="A423" s="3" t="s">
        <v>534</v>
      </c>
      <c r="B423" t="s">
        <v>202</v>
      </c>
      <c r="C423" t="s">
        <v>535</v>
      </c>
      <c r="D423">
        <v>62</v>
      </c>
      <c r="E423" s="1">
        <v>0.09</v>
      </c>
      <c r="F423" s="1" t="str">
        <f>IF(Table1[[#This Row],[percentage_laid_off]]=100%,"1","0")</f>
        <v>0</v>
      </c>
      <c r="G423" t="s">
        <v>16</v>
      </c>
      <c r="H423" s="2">
        <v>44945</v>
      </c>
      <c r="I423" s="2" t="str">
        <f>TEXT(Table1[[#This Row],[date]],"dd")</f>
        <v>19</v>
      </c>
      <c r="J423" s="20">
        <f>DATE(2000,MONTH(Table1[[#This Row],[date]]),1)</f>
        <v>36526</v>
      </c>
      <c r="K423" s="18" t="str">
        <f>TEXT(Table1[[#This Row],[date]],"mm")</f>
        <v>01</v>
      </c>
      <c r="L423" s="16" t="s">
        <v>29</v>
      </c>
      <c r="M423">
        <v>2023</v>
      </c>
      <c r="N423" t="s">
        <v>38</v>
      </c>
      <c r="O423" t="s">
        <v>19</v>
      </c>
      <c r="P423">
        <v>233</v>
      </c>
      <c r="Q423">
        <f>AVERAGE(Table1[funds_raised_millions])</f>
        <v>470.28289473684208</v>
      </c>
      <c r="R423">
        <f>AVERAGE(Table1[total_laid_off])</f>
        <v>236.96936274509804</v>
      </c>
    </row>
    <row r="424" spans="1:18" x14ac:dyDescent="0.25">
      <c r="A424" s="3" t="s">
        <v>536</v>
      </c>
      <c r="B424" t="s">
        <v>75</v>
      </c>
      <c r="C424" t="s">
        <v>134</v>
      </c>
      <c r="D424">
        <v>30</v>
      </c>
      <c r="E424" s="1">
        <v>0.5</v>
      </c>
      <c r="F424" s="1" t="str">
        <f>IF(Table1[[#This Row],[percentage_laid_off]]=100%,"1","0")</f>
        <v>0</v>
      </c>
      <c r="G424" t="s">
        <v>28</v>
      </c>
      <c r="H424" s="2">
        <v>43910</v>
      </c>
      <c r="I424" s="2" t="str">
        <f>TEXT(Table1[[#This Row],[date]],"dd")</f>
        <v>20</v>
      </c>
      <c r="J424" s="20">
        <f>DATE(2000,MONTH(Table1[[#This Row],[date]]),1)</f>
        <v>36586</v>
      </c>
      <c r="K424" s="18" t="str">
        <f>TEXT(Table1[[#This Row],[date]],"mm")</f>
        <v>03</v>
      </c>
      <c r="L424" s="16" t="s">
        <v>57</v>
      </c>
      <c r="M424">
        <v>2020</v>
      </c>
      <c r="N424" t="s">
        <v>139</v>
      </c>
      <c r="O424" t="s">
        <v>31</v>
      </c>
      <c r="P424">
        <v>7</v>
      </c>
      <c r="Q424">
        <f>AVERAGE(Table1[funds_raised_millions])</f>
        <v>470.28289473684208</v>
      </c>
      <c r="R424">
        <f>AVERAGE(Table1[total_laid_off])</f>
        <v>236.96936274509804</v>
      </c>
    </row>
    <row r="425" spans="1:18" x14ac:dyDescent="0.25">
      <c r="A425" s="3" t="s">
        <v>537</v>
      </c>
      <c r="B425" t="s">
        <v>389</v>
      </c>
      <c r="C425" t="s">
        <v>14</v>
      </c>
      <c r="D425">
        <v>170</v>
      </c>
      <c r="E425" t="s">
        <v>15</v>
      </c>
      <c r="F425" s="1" t="str">
        <f>IF(Table1[[#This Row],[percentage_laid_off]]=100%,"1","0")</f>
        <v>0</v>
      </c>
      <c r="G425" t="b">
        <v>0</v>
      </c>
      <c r="H425" s="2">
        <v>44739</v>
      </c>
      <c r="I425" s="2" t="str">
        <f>TEXT(Table1[[#This Row],[date]],"dd")</f>
        <v>27</v>
      </c>
      <c r="J425" s="20">
        <f>DATE(2000,MONTH(Table1[[#This Row],[date]]),1)</f>
        <v>36678</v>
      </c>
      <c r="K425" s="18" t="str">
        <f>TEXT(Table1[[#This Row],[date]],"mm")</f>
        <v>06</v>
      </c>
      <c r="L425" s="16" t="s">
        <v>73</v>
      </c>
      <c r="M425">
        <v>2022</v>
      </c>
      <c r="N425" t="s">
        <v>38</v>
      </c>
      <c r="O425" t="s">
        <v>19</v>
      </c>
      <c r="P425">
        <v>999</v>
      </c>
      <c r="Q425">
        <f>AVERAGE(Table1[funds_raised_millions])</f>
        <v>470.28289473684208</v>
      </c>
      <c r="R425">
        <f>AVERAGE(Table1[total_laid_off])</f>
        <v>236.96936274509804</v>
      </c>
    </row>
    <row r="426" spans="1:18" x14ac:dyDescent="0.25">
      <c r="A426" s="3" t="s">
        <v>537</v>
      </c>
      <c r="B426" t="s">
        <v>389</v>
      </c>
      <c r="C426" t="s">
        <v>14</v>
      </c>
      <c r="D426">
        <v>388</v>
      </c>
      <c r="E426" t="s">
        <v>15</v>
      </c>
      <c r="F426" s="1" t="str">
        <f>IF(Table1[[#This Row],[percentage_laid_off]]=100%,"1","0")</f>
        <v>0</v>
      </c>
      <c r="G426" t="b">
        <v>0</v>
      </c>
      <c r="H426" s="2">
        <v>45047</v>
      </c>
      <c r="I426" s="2" t="str">
        <f>TEXT(Table1[[#This Row],[date]],"dd")</f>
        <v>01</v>
      </c>
      <c r="J426" s="20">
        <f>DATE(2000,MONTH(Table1[[#This Row],[date]]),1)</f>
        <v>36647</v>
      </c>
      <c r="K426" s="18" t="str">
        <f>TEXT(Table1[[#This Row],[date]],"mm")</f>
        <v>05</v>
      </c>
      <c r="L426" s="16" t="s">
        <v>86</v>
      </c>
      <c r="M426">
        <v>2023</v>
      </c>
      <c r="N426" t="s">
        <v>38</v>
      </c>
      <c r="O426" t="s">
        <v>19</v>
      </c>
      <c r="P426">
        <v>999</v>
      </c>
      <c r="Q426">
        <f>AVERAGE(Table1[funds_raised_millions])</f>
        <v>470.28289473684208</v>
      </c>
      <c r="R426">
        <f>AVERAGE(Table1[total_laid_off])</f>
        <v>236.96936274509804</v>
      </c>
    </row>
    <row r="427" spans="1:18" x14ac:dyDescent="0.25">
      <c r="A427" s="3" t="s">
        <v>538</v>
      </c>
      <c r="B427" t="s">
        <v>252</v>
      </c>
      <c r="C427" t="s">
        <v>190</v>
      </c>
      <c r="D427">
        <v>36</v>
      </c>
      <c r="E427" s="1">
        <v>0.08</v>
      </c>
      <c r="F427" s="1" t="str">
        <f>IF(Table1[[#This Row],[percentage_laid_off]]=100%,"1","0")</f>
        <v>0</v>
      </c>
      <c r="G427" t="s">
        <v>16</v>
      </c>
      <c r="H427" s="2">
        <v>43979</v>
      </c>
      <c r="I427" s="2" t="str">
        <f>TEXT(Table1[[#This Row],[date]],"dd")</f>
        <v>28</v>
      </c>
      <c r="J427" s="20">
        <f>DATE(2000,MONTH(Table1[[#This Row],[date]]),1)</f>
        <v>36647</v>
      </c>
      <c r="K427" s="18" t="str">
        <f>TEXT(Table1[[#This Row],[date]],"mm")</f>
        <v>05</v>
      </c>
      <c r="L427" s="16" t="s">
        <v>86</v>
      </c>
      <c r="M427">
        <v>2020</v>
      </c>
      <c r="N427" t="s">
        <v>18</v>
      </c>
      <c r="O427" t="s">
        <v>58</v>
      </c>
      <c r="P427">
        <v>157</v>
      </c>
      <c r="Q427">
        <f>AVERAGE(Table1[funds_raised_millions])</f>
        <v>470.28289473684208</v>
      </c>
      <c r="R427">
        <f>AVERAGE(Table1[total_laid_off])</f>
        <v>236.96936274509804</v>
      </c>
    </row>
    <row r="428" spans="1:18" x14ac:dyDescent="0.25">
      <c r="A428" s="3" t="s">
        <v>539</v>
      </c>
      <c r="B428" t="s">
        <v>199</v>
      </c>
      <c r="C428" t="s">
        <v>78</v>
      </c>
      <c r="D428">
        <v>95</v>
      </c>
      <c r="E428" s="1">
        <v>0.32</v>
      </c>
      <c r="F428" s="1" t="str">
        <f>IF(Table1[[#This Row],[percentage_laid_off]]=100%,"1","0")</f>
        <v>0</v>
      </c>
      <c r="G428" t="s">
        <v>28</v>
      </c>
      <c r="H428" s="2">
        <v>43835</v>
      </c>
      <c r="I428" s="2" t="str">
        <f>TEXT(Table1[[#This Row],[date]],"dd")</f>
        <v>05</v>
      </c>
      <c r="J428" s="20">
        <f>DATE(2000,MONTH(Table1[[#This Row],[date]]),1)</f>
        <v>36526</v>
      </c>
      <c r="K428" s="18" t="str">
        <f>TEXT(Table1[[#This Row],[date]],"mm")</f>
        <v>01</v>
      </c>
      <c r="L428" s="16" t="s">
        <v>29</v>
      </c>
      <c r="M428">
        <v>2020</v>
      </c>
      <c r="N428" t="s">
        <v>30</v>
      </c>
      <c r="O428" t="s">
        <v>200</v>
      </c>
      <c r="P428">
        <v>102</v>
      </c>
      <c r="Q428">
        <f>AVERAGE(Table1[funds_raised_millions])</f>
        <v>470.28289473684208</v>
      </c>
      <c r="R428">
        <f>AVERAGE(Table1[total_laid_off])</f>
        <v>236.96936274509804</v>
      </c>
    </row>
    <row r="429" spans="1:18" x14ac:dyDescent="0.25">
      <c r="A429" s="3" t="s">
        <v>540</v>
      </c>
      <c r="B429" t="s">
        <v>33</v>
      </c>
      <c r="C429" t="s">
        <v>14</v>
      </c>
      <c r="D429">
        <v>109</v>
      </c>
      <c r="E429" t="s">
        <v>15</v>
      </c>
      <c r="F429" s="1" t="str">
        <f>IF(Table1[[#This Row],[percentage_laid_off]]=100%,"1","0")</f>
        <v>0</v>
      </c>
      <c r="G429" t="b">
        <v>0</v>
      </c>
      <c r="H429" s="2">
        <v>44824</v>
      </c>
      <c r="I429" s="2" t="str">
        <f>TEXT(Table1[[#This Row],[date]],"dd")</f>
        <v>20</v>
      </c>
      <c r="J429" s="20">
        <f>DATE(2000,MONTH(Table1[[#This Row],[date]]),1)</f>
        <v>36770</v>
      </c>
      <c r="K429" s="18" t="str">
        <f>TEXT(Table1[[#This Row],[date]],"mm")</f>
        <v>09</v>
      </c>
      <c r="L429" s="16" t="s">
        <v>70</v>
      </c>
      <c r="M429">
        <v>2022</v>
      </c>
      <c r="N429" t="s">
        <v>139</v>
      </c>
      <c r="O429" t="s">
        <v>19</v>
      </c>
      <c r="P429">
        <v>8</v>
      </c>
      <c r="Q429">
        <f>AVERAGE(Table1[funds_raised_millions])</f>
        <v>470.28289473684208</v>
      </c>
      <c r="R429">
        <f>AVERAGE(Table1[total_laid_off])</f>
        <v>236.96936274509804</v>
      </c>
    </row>
    <row r="430" spans="1:18" x14ac:dyDescent="0.25">
      <c r="A430" s="3" t="s">
        <v>541</v>
      </c>
      <c r="B430" t="s">
        <v>313</v>
      </c>
      <c r="C430" t="s">
        <v>468</v>
      </c>
      <c r="D430">
        <v>120</v>
      </c>
      <c r="E430" t="s">
        <v>15</v>
      </c>
      <c r="F430" s="1" t="str">
        <f>IF(Table1[[#This Row],[percentage_laid_off]]=100%,"1","0")</f>
        <v>0</v>
      </c>
      <c r="G430" t="b">
        <v>0</v>
      </c>
      <c r="H430" s="2">
        <v>44029</v>
      </c>
      <c r="I430" s="2" t="str">
        <f>TEXT(Table1[[#This Row],[date]],"dd")</f>
        <v>17</v>
      </c>
      <c r="J430" s="20">
        <f>DATE(2000,MONTH(Table1[[#This Row],[date]]),1)</f>
        <v>36708</v>
      </c>
      <c r="K430" s="18" t="str">
        <f>TEXT(Table1[[#This Row],[date]],"mm")</f>
        <v>07</v>
      </c>
      <c r="L430" s="16" t="s">
        <v>17</v>
      </c>
      <c r="M430">
        <v>2020</v>
      </c>
      <c r="N430" t="s">
        <v>43</v>
      </c>
      <c r="O430" t="s">
        <v>83</v>
      </c>
      <c r="P430">
        <v>405</v>
      </c>
      <c r="Q430">
        <f>AVERAGE(Table1[funds_raised_millions])</f>
        <v>470.28289473684208</v>
      </c>
      <c r="R430">
        <f>AVERAGE(Table1[total_laid_off])</f>
        <v>236.96936274509804</v>
      </c>
    </row>
    <row r="431" spans="1:18" x14ac:dyDescent="0.25">
      <c r="A431" s="3" t="s">
        <v>542</v>
      </c>
      <c r="B431" t="s">
        <v>313</v>
      </c>
      <c r="C431" t="s">
        <v>468</v>
      </c>
      <c r="D431">
        <v>800</v>
      </c>
      <c r="E431" s="1">
        <v>0.16</v>
      </c>
      <c r="F431" s="1" t="str">
        <f>IF(Table1[[#This Row],[percentage_laid_off]]=100%,"1","0")</f>
        <v>0</v>
      </c>
      <c r="G431" t="s">
        <v>28</v>
      </c>
      <c r="H431" s="2">
        <v>43926</v>
      </c>
      <c r="I431" s="2" t="str">
        <f>TEXT(Table1[[#This Row],[date]],"dd")</f>
        <v>05</v>
      </c>
      <c r="J431" s="20">
        <f>DATE(2000,MONTH(Table1[[#This Row],[date]]),1)</f>
        <v>36617</v>
      </c>
      <c r="K431" s="18" t="str">
        <f>TEXT(Table1[[#This Row],[date]],"mm")</f>
        <v>04</v>
      </c>
      <c r="L431" s="16" t="s">
        <v>37</v>
      </c>
      <c r="M431">
        <v>2020</v>
      </c>
      <c r="N431" t="s">
        <v>43</v>
      </c>
      <c r="O431" t="s">
        <v>83</v>
      </c>
      <c r="P431">
        <v>404</v>
      </c>
      <c r="Q431">
        <f>AVERAGE(Table1[funds_raised_millions])</f>
        <v>470.28289473684208</v>
      </c>
      <c r="R431">
        <f>AVERAGE(Table1[total_laid_off])</f>
        <v>236.96936274509804</v>
      </c>
    </row>
    <row r="432" spans="1:18" x14ac:dyDescent="0.25">
      <c r="A432" s="3" t="s">
        <v>543</v>
      </c>
      <c r="B432" t="s">
        <v>13</v>
      </c>
      <c r="C432" t="s">
        <v>14</v>
      </c>
      <c r="D432">
        <v>150</v>
      </c>
      <c r="E432" t="s">
        <v>15</v>
      </c>
      <c r="F432" s="1" t="str">
        <f>IF(Table1[[#This Row],[percentage_laid_off]]=100%,"1","0")</f>
        <v>0</v>
      </c>
      <c r="G432" t="b">
        <v>0</v>
      </c>
      <c r="H432" s="2">
        <v>44636</v>
      </c>
      <c r="I432" s="2" t="str">
        <f>TEXT(Table1[[#This Row],[date]],"dd")</f>
        <v>16</v>
      </c>
      <c r="J432" s="20">
        <f>DATE(2000,MONTH(Table1[[#This Row],[date]]),1)</f>
        <v>36586</v>
      </c>
      <c r="K432" s="18" t="str">
        <f>TEXT(Table1[[#This Row],[date]],"mm")</f>
        <v>03</v>
      </c>
      <c r="L432" s="16" t="s">
        <v>57</v>
      </c>
      <c r="M432">
        <v>2022</v>
      </c>
      <c r="N432" t="s">
        <v>43</v>
      </c>
      <c r="O432" t="s">
        <v>19</v>
      </c>
      <c r="P432">
        <v>19</v>
      </c>
      <c r="Q432">
        <f>AVERAGE(Table1[funds_raised_millions])</f>
        <v>470.28289473684208</v>
      </c>
      <c r="R432">
        <f>AVERAGE(Table1[total_laid_off])</f>
        <v>236.96936274509804</v>
      </c>
    </row>
    <row r="433" spans="1:18" x14ac:dyDescent="0.25">
      <c r="A433" s="3" t="s">
        <v>544</v>
      </c>
      <c r="B433" t="s">
        <v>199</v>
      </c>
      <c r="C433" t="s">
        <v>82</v>
      </c>
      <c r="D433">
        <v>65</v>
      </c>
      <c r="E433" s="1">
        <v>0.1</v>
      </c>
      <c r="F433" s="1" t="str">
        <f>IF(Table1[[#This Row],[percentage_laid_off]]=100%,"1","0")</f>
        <v>0</v>
      </c>
      <c r="G433" t="s">
        <v>16</v>
      </c>
      <c r="H433" s="2">
        <v>44567</v>
      </c>
      <c r="I433" s="2" t="str">
        <f>TEXT(Table1[[#This Row],[date]],"dd")</f>
        <v>06</v>
      </c>
      <c r="J433" s="20">
        <f>DATE(2000,MONTH(Table1[[#This Row],[date]]),1)</f>
        <v>36526</v>
      </c>
      <c r="K433" s="18" t="str">
        <f>TEXT(Table1[[#This Row],[date]],"mm")</f>
        <v>01</v>
      </c>
      <c r="L433" s="16" t="s">
        <v>29</v>
      </c>
      <c r="M433">
        <v>2022</v>
      </c>
      <c r="N433" t="s">
        <v>35</v>
      </c>
      <c r="O433" t="s">
        <v>200</v>
      </c>
      <c r="P433">
        <v>182</v>
      </c>
      <c r="Q433">
        <f>AVERAGE(Table1[funds_raised_millions])</f>
        <v>470.28289473684208</v>
      </c>
      <c r="R433">
        <f>AVERAGE(Table1[total_laid_off])</f>
        <v>236.96936274509804</v>
      </c>
    </row>
    <row r="434" spans="1:18" x14ac:dyDescent="0.25">
      <c r="A434" s="3" t="s">
        <v>545</v>
      </c>
      <c r="B434" t="s">
        <v>50</v>
      </c>
      <c r="C434" t="s">
        <v>22</v>
      </c>
      <c r="D434">
        <v>400</v>
      </c>
      <c r="E434" s="1">
        <v>0.1</v>
      </c>
      <c r="F434" s="1" t="str">
        <f>IF(Table1[[#This Row],[percentage_laid_off]]=100%,"1","0")</f>
        <v>0</v>
      </c>
      <c r="G434" t="s">
        <v>16</v>
      </c>
      <c r="H434" s="2">
        <v>43972</v>
      </c>
      <c r="I434" s="2" t="str">
        <f>TEXT(Table1[[#This Row],[date]],"dd")</f>
        <v>21</v>
      </c>
      <c r="J434" s="20">
        <f>DATE(2000,MONTH(Table1[[#This Row],[date]]),1)</f>
        <v>36647</v>
      </c>
      <c r="K434" s="18" t="str">
        <f>TEXT(Table1[[#This Row],[date]],"mm")</f>
        <v>05</v>
      </c>
      <c r="L434" s="16" t="s">
        <v>86</v>
      </c>
      <c r="M434">
        <v>2020</v>
      </c>
      <c r="N434" t="s">
        <v>71</v>
      </c>
      <c r="O434" t="s">
        <v>19</v>
      </c>
      <c r="P434">
        <v>146</v>
      </c>
      <c r="Q434">
        <f>AVERAGE(Table1[funds_raised_millions])</f>
        <v>470.28289473684208</v>
      </c>
      <c r="R434">
        <f>AVERAGE(Table1[total_laid_off])</f>
        <v>236.96936274509804</v>
      </c>
    </row>
    <row r="435" spans="1:18" x14ac:dyDescent="0.25">
      <c r="A435" s="3" t="s">
        <v>546</v>
      </c>
      <c r="B435" t="s">
        <v>88</v>
      </c>
      <c r="C435" t="s">
        <v>181</v>
      </c>
      <c r="D435">
        <v>100</v>
      </c>
      <c r="E435" s="1">
        <v>0.06</v>
      </c>
      <c r="F435" s="1" t="str">
        <f>IF(Table1[[#This Row],[percentage_laid_off]]=100%,"1","0")</f>
        <v>0</v>
      </c>
      <c r="G435" t="s">
        <v>16</v>
      </c>
      <c r="H435" s="2">
        <v>44567</v>
      </c>
      <c r="I435" s="2" t="str">
        <f>TEXT(Table1[[#This Row],[date]],"dd")</f>
        <v>06</v>
      </c>
      <c r="J435" s="20">
        <f>DATE(2000,MONTH(Table1[[#This Row],[date]]),1)</f>
        <v>36526</v>
      </c>
      <c r="K435" s="18" t="str">
        <f>TEXT(Table1[[#This Row],[date]],"mm")</f>
        <v>01</v>
      </c>
      <c r="L435" s="16" t="s">
        <v>29</v>
      </c>
      <c r="M435">
        <v>2022</v>
      </c>
      <c r="N435" t="s">
        <v>100</v>
      </c>
      <c r="O435" t="s">
        <v>19</v>
      </c>
      <c r="P435">
        <v>750</v>
      </c>
      <c r="Q435">
        <f>AVERAGE(Table1[funds_raised_millions])</f>
        <v>470.28289473684208</v>
      </c>
      <c r="R435">
        <f>AVERAGE(Table1[total_laid_off])</f>
        <v>236.96936274509804</v>
      </c>
    </row>
    <row r="436" spans="1:18" x14ac:dyDescent="0.25">
      <c r="A436" s="3" t="s">
        <v>546</v>
      </c>
      <c r="B436" t="s">
        <v>88</v>
      </c>
      <c r="C436" t="s">
        <v>181</v>
      </c>
      <c r="D436">
        <v>200</v>
      </c>
      <c r="E436" s="1">
        <v>0.17</v>
      </c>
      <c r="F436" s="1" t="str">
        <f>IF(Table1[[#This Row],[percentage_laid_off]]=100%,"1","0")</f>
        <v>0</v>
      </c>
      <c r="G436" t="s">
        <v>28</v>
      </c>
      <c r="H436" s="2">
        <v>44860</v>
      </c>
      <c r="I436" s="2" t="str">
        <f>TEXT(Table1[[#This Row],[date]],"dd")</f>
        <v>26</v>
      </c>
      <c r="J436" s="20">
        <f>DATE(2000,MONTH(Table1[[#This Row],[date]]),1)</f>
        <v>36800</v>
      </c>
      <c r="K436" s="18" t="str">
        <f>TEXT(Table1[[#This Row],[date]],"mm")</f>
        <v>10</v>
      </c>
      <c r="L436" s="16" t="s">
        <v>95</v>
      </c>
      <c r="M436">
        <v>2022</v>
      </c>
      <c r="N436" t="s">
        <v>100</v>
      </c>
      <c r="O436" t="s">
        <v>19</v>
      </c>
      <c r="P436">
        <v>750</v>
      </c>
      <c r="Q436">
        <f>AVERAGE(Table1[funds_raised_millions])</f>
        <v>470.28289473684208</v>
      </c>
      <c r="R436">
        <f>AVERAGE(Table1[total_laid_off])</f>
        <v>236.96936274509804</v>
      </c>
    </row>
    <row r="437" spans="1:18" x14ac:dyDescent="0.25">
      <c r="A437" s="3" t="s">
        <v>547</v>
      </c>
      <c r="B437" t="s">
        <v>13</v>
      </c>
      <c r="C437" t="s">
        <v>181</v>
      </c>
      <c r="D437">
        <v>30</v>
      </c>
      <c r="E437" s="1">
        <v>0.15</v>
      </c>
      <c r="F437" s="1" t="str">
        <f>IF(Table1[[#This Row],[percentage_laid_off]]=100%,"1","0")</f>
        <v>0</v>
      </c>
      <c r="G437" t="s">
        <v>28</v>
      </c>
      <c r="H437" s="2">
        <v>44785</v>
      </c>
      <c r="I437" s="2" t="str">
        <f>TEXT(Table1[[#This Row],[date]],"dd")</f>
        <v>12</v>
      </c>
      <c r="J437" s="20">
        <f>DATE(2000,MONTH(Table1[[#This Row],[date]]),1)</f>
        <v>36739</v>
      </c>
      <c r="K437" s="18" t="str">
        <f>TEXT(Table1[[#This Row],[date]],"mm")</f>
        <v>08</v>
      </c>
      <c r="L437" s="16" t="s">
        <v>53</v>
      </c>
      <c r="M437">
        <v>2022</v>
      </c>
      <c r="N437" t="s">
        <v>35</v>
      </c>
      <c r="O437" t="s">
        <v>19</v>
      </c>
      <c r="P437">
        <v>153</v>
      </c>
      <c r="Q437">
        <f>AVERAGE(Table1[funds_raised_millions])</f>
        <v>470.28289473684208</v>
      </c>
      <c r="R437">
        <f>AVERAGE(Table1[total_laid_off])</f>
        <v>236.96936274509804</v>
      </c>
    </row>
    <row r="438" spans="1:18" x14ac:dyDescent="0.25">
      <c r="A438" s="3" t="s">
        <v>548</v>
      </c>
      <c r="B438" t="s">
        <v>50</v>
      </c>
      <c r="C438" t="s">
        <v>181</v>
      </c>
      <c r="D438">
        <v>121</v>
      </c>
      <c r="E438" t="s">
        <v>15</v>
      </c>
      <c r="F438" s="1" t="str">
        <f>IF(Table1[[#This Row],[percentage_laid_off]]=100%,"1","0")</f>
        <v>0</v>
      </c>
      <c r="G438" t="b">
        <v>0</v>
      </c>
      <c r="H438" s="2">
        <v>44928</v>
      </c>
      <c r="I438" s="2" t="str">
        <f>TEXT(Table1[[#This Row],[date]],"dd")</f>
        <v>02</v>
      </c>
      <c r="J438" s="20">
        <f>DATE(2000,MONTH(Table1[[#This Row],[date]]),1)</f>
        <v>36526</v>
      </c>
      <c r="K438" s="18" t="str">
        <f>TEXT(Table1[[#This Row],[date]],"mm")</f>
        <v>01</v>
      </c>
      <c r="L438" s="16" t="s">
        <v>29</v>
      </c>
      <c r="M438">
        <v>2023</v>
      </c>
      <c r="N438" t="s">
        <v>38</v>
      </c>
      <c r="O438" t="s">
        <v>19</v>
      </c>
      <c r="P438">
        <v>161</v>
      </c>
      <c r="Q438">
        <f>AVERAGE(Table1[funds_raised_millions])</f>
        <v>470.28289473684208</v>
      </c>
      <c r="R438">
        <f>AVERAGE(Table1[total_laid_off])</f>
        <v>236.96936274509804</v>
      </c>
    </row>
    <row r="439" spans="1:18" x14ac:dyDescent="0.25">
      <c r="A439" s="3" t="s">
        <v>549</v>
      </c>
      <c r="B439" t="s">
        <v>88</v>
      </c>
      <c r="C439" t="s">
        <v>14</v>
      </c>
      <c r="D439" t="s">
        <v>15</v>
      </c>
      <c r="E439" s="1">
        <v>0.7</v>
      </c>
      <c r="F439" s="1" t="str">
        <f>IF(Table1[[#This Row],[percentage_laid_off]]=100%,"1","0")</f>
        <v>0</v>
      </c>
      <c r="G439" t="s">
        <v>130</v>
      </c>
      <c r="H439" s="2">
        <v>44946</v>
      </c>
      <c r="I439" s="2" t="str">
        <f>TEXT(Table1[[#This Row],[date]],"dd")</f>
        <v>20</v>
      </c>
      <c r="J439" s="20">
        <f>DATE(2000,MONTH(Table1[[#This Row],[date]]),1)</f>
        <v>36526</v>
      </c>
      <c r="K439" s="18" t="str">
        <f>TEXT(Table1[[#This Row],[date]],"mm")</f>
        <v>01</v>
      </c>
      <c r="L439" s="16" t="s">
        <v>29</v>
      </c>
      <c r="M439">
        <v>2023</v>
      </c>
      <c r="N439" t="s">
        <v>35</v>
      </c>
      <c r="O439" t="s">
        <v>19</v>
      </c>
      <c r="P439">
        <v>156</v>
      </c>
      <c r="Q439">
        <f>AVERAGE(Table1[funds_raised_millions])</f>
        <v>470.28289473684208</v>
      </c>
      <c r="R439">
        <f>AVERAGE(Table1[total_laid_off])</f>
        <v>236.96936274509804</v>
      </c>
    </row>
    <row r="440" spans="1:18" x14ac:dyDescent="0.25">
      <c r="A440" s="3" t="s">
        <v>550</v>
      </c>
      <c r="B440" t="s">
        <v>13</v>
      </c>
      <c r="C440" t="s">
        <v>134</v>
      </c>
      <c r="D440">
        <v>34</v>
      </c>
      <c r="E440" s="1">
        <v>0.13</v>
      </c>
      <c r="F440" s="1" t="str">
        <f>IF(Table1[[#This Row],[percentage_laid_off]]=100%,"1","0")</f>
        <v>0</v>
      </c>
      <c r="G440" t="s">
        <v>28</v>
      </c>
      <c r="H440" s="2">
        <v>43894</v>
      </c>
      <c r="I440" s="2" t="str">
        <f>TEXT(Table1[[#This Row],[date]],"dd")</f>
        <v>04</v>
      </c>
      <c r="J440" s="20">
        <f>DATE(2000,MONTH(Table1[[#This Row],[date]]),1)</f>
        <v>36586</v>
      </c>
      <c r="K440" s="18" t="str">
        <f>TEXT(Table1[[#This Row],[date]],"mm")</f>
        <v>03</v>
      </c>
      <c r="L440" s="16" t="s">
        <v>57</v>
      </c>
      <c r="M440">
        <v>2020</v>
      </c>
      <c r="N440" t="s">
        <v>43</v>
      </c>
      <c r="O440" t="s">
        <v>19</v>
      </c>
      <c r="P440">
        <v>247</v>
      </c>
      <c r="Q440">
        <f>AVERAGE(Table1[funds_raised_millions])</f>
        <v>470.28289473684208</v>
      </c>
      <c r="R440">
        <f>AVERAGE(Table1[total_laid_off])</f>
        <v>236.96936274509804</v>
      </c>
    </row>
    <row r="441" spans="1:18" x14ac:dyDescent="0.25">
      <c r="A441" s="3" t="s">
        <v>551</v>
      </c>
      <c r="B441" t="s">
        <v>185</v>
      </c>
      <c r="C441" t="s">
        <v>51</v>
      </c>
      <c r="D441" t="s">
        <v>15</v>
      </c>
      <c r="E441" s="1">
        <v>0.05</v>
      </c>
      <c r="F441" s="1" t="str">
        <f>IF(Table1[[#This Row],[percentage_laid_off]]=100%,"1","0")</f>
        <v>0</v>
      </c>
      <c r="G441" t="s">
        <v>16</v>
      </c>
      <c r="H441" s="2">
        <v>44881</v>
      </c>
      <c r="I441" s="2" t="str">
        <f>TEXT(Table1[[#This Row],[date]],"dd")</f>
        <v>16</v>
      </c>
      <c r="J441" s="20">
        <f>DATE(2000,MONTH(Table1[[#This Row],[date]]),1)</f>
        <v>36831</v>
      </c>
      <c r="K441" s="18" t="str">
        <f>TEXT(Table1[[#This Row],[date]],"mm")</f>
        <v>11</v>
      </c>
      <c r="L441" s="16" t="s">
        <v>23</v>
      </c>
      <c r="M441">
        <v>2022</v>
      </c>
      <c r="N441" t="s">
        <v>38</v>
      </c>
      <c r="O441" t="s">
        <v>31</v>
      </c>
      <c r="P441">
        <v>168</v>
      </c>
      <c r="Q441">
        <f>AVERAGE(Table1[funds_raised_millions])</f>
        <v>470.28289473684208</v>
      </c>
      <c r="R441">
        <f>AVERAGE(Table1[total_laid_off])</f>
        <v>236.96936274509804</v>
      </c>
    </row>
    <row r="442" spans="1:18" x14ac:dyDescent="0.25">
      <c r="A442" s="3" t="s">
        <v>552</v>
      </c>
      <c r="B442" t="s">
        <v>40</v>
      </c>
      <c r="C442" t="s">
        <v>64</v>
      </c>
      <c r="D442" t="s">
        <v>15</v>
      </c>
      <c r="E442" s="1">
        <v>0.15</v>
      </c>
      <c r="F442" s="1" t="str">
        <f>IF(Table1[[#This Row],[percentage_laid_off]]=100%,"1","0")</f>
        <v>0</v>
      </c>
      <c r="G442" t="s">
        <v>28</v>
      </c>
      <c r="H442" s="2">
        <v>44781</v>
      </c>
      <c r="I442" s="2" t="str">
        <f>TEXT(Table1[[#This Row],[date]],"dd")</f>
        <v>08</v>
      </c>
      <c r="J442" s="20">
        <f>DATE(2000,MONTH(Table1[[#This Row],[date]]),1)</f>
        <v>36739</v>
      </c>
      <c r="K442" s="18" t="str">
        <f>TEXT(Table1[[#This Row],[date]],"mm")</f>
        <v>08</v>
      </c>
      <c r="L442" s="16" t="s">
        <v>53</v>
      </c>
      <c r="M442">
        <v>2022</v>
      </c>
      <c r="N442" t="s">
        <v>43</v>
      </c>
      <c r="O442" t="s">
        <v>19</v>
      </c>
      <c r="P442">
        <v>120</v>
      </c>
      <c r="Q442">
        <f>AVERAGE(Table1[funds_raised_millions])</f>
        <v>470.28289473684208</v>
      </c>
      <c r="R442">
        <f>AVERAGE(Table1[total_laid_off])</f>
        <v>236.96936274509804</v>
      </c>
    </row>
    <row r="443" spans="1:18" x14ac:dyDescent="0.25">
      <c r="A443" s="3" t="s">
        <v>552</v>
      </c>
      <c r="B443" t="s">
        <v>40</v>
      </c>
      <c r="C443" t="s">
        <v>64</v>
      </c>
      <c r="D443">
        <v>60</v>
      </c>
      <c r="E443" s="1">
        <v>0.2</v>
      </c>
      <c r="F443" s="1" t="str">
        <f>IF(Table1[[#This Row],[percentage_laid_off]]=100%,"1","0")</f>
        <v>0</v>
      </c>
      <c r="G443" t="s">
        <v>28</v>
      </c>
      <c r="H443" s="2">
        <v>44836</v>
      </c>
      <c r="I443" s="2" t="str">
        <f>TEXT(Table1[[#This Row],[date]],"dd")</f>
        <v>02</v>
      </c>
      <c r="J443" s="20">
        <f>DATE(2000,MONTH(Table1[[#This Row],[date]]),1)</f>
        <v>36800</v>
      </c>
      <c r="K443" s="18" t="str">
        <f>TEXT(Table1[[#This Row],[date]],"mm")</f>
        <v>10</v>
      </c>
      <c r="L443" s="16" t="s">
        <v>95</v>
      </c>
      <c r="M443">
        <v>2022</v>
      </c>
      <c r="N443" t="s">
        <v>43</v>
      </c>
      <c r="O443" t="s">
        <v>19</v>
      </c>
      <c r="P443">
        <v>120</v>
      </c>
      <c r="Q443">
        <f>AVERAGE(Table1[funds_raised_millions])</f>
        <v>470.28289473684208</v>
      </c>
      <c r="R443">
        <f>AVERAGE(Table1[total_laid_off])</f>
        <v>236.96936274509804</v>
      </c>
    </row>
    <row r="444" spans="1:18" x14ac:dyDescent="0.25">
      <c r="A444" s="3" t="s">
        <v>553</v>
      </c>
      <c r="B444" t="s">
        <v>40</v>
      </c>
      <c r="C444" t="s">
        <v>82</v>
      </c>
      <c r="D444" t="s">
        <v>15</v>
      </c>
      <c r="E444" s="1">
        <v>0.15</v>
      </c>
      <c r="F444" s="1" t="str">
        <f>IF(Table1[[#This Row],[percentage_laid_off]]=100%,"1","0")</f>
        <v>0</v>
      </c>
      <c r="G444" t="s">
        <v>28</v>
      </c>
      <c r="H444" s="2">
        <v>44812</v>
      </c>
      <c r="I444" s="2" t="str">
        <f>TEXT(Table1[[#This Row],[date]],"dd")</f>
        <v>08</v>
      </c>
      <c r="J444" s="20">
        <f>DATE(2000,MONTH(Table1[[#This Row],[date]]),1)</f>
        <v>36770</v>
      </c>
      <c r="K444" s="18" t="str">
        <f>TEXT(Table1[[#This Row],[date]],"mm")</f>
        <v>09</v>
      </c>
      <c r="L444" s="16" t="s">
        <v>70</v>
      </c>
      <c r="M444">
        <v>2022</v>
      </c>
      <c r="N444" t="s">
        <v>47</v>
      </c>
      <c r="O444" t="s">
        <v>19</v>
      </c>
      <c r="P444">
        <v>814</v>
      </c>
      <c r="Q444">
        <f>AVERAGE(Table1[funds_raised_millions])</f>
        <v>470.28289473684208</v>
      </c>
      <c r="R444">
        <f>AVERAGE(Table1[total_laid_off])</f>
        <v>236.96936274509804</v>
      </c>
    </row>
    <row r="445" spans="1:18" x14ac:dyDescent="0.25">
      <c r="A445" s="3" t="s">
        <v>554</v>
      </c>
      <c r="B445" t="s">
        <v>354</v>
      </c>
      <c r="C445" t="s">
        <v>89</v>
      </c>
      <c r="D445">
        <v>40</v>
      </c>
      <c r="E445" t="s">
        <v>15</v>
      </c>
      <c r="F445" s="1" t="str">
        <f>IF(Table1[[#This Row],[percentage_laid_off]]=100%,"1","0")</f>
        <v>0</v>
      </c>
      <c r="G445" t="b">
        <v>0</v>
      </c>
      <c r="H445" s="2">
        <v>44708</v>
      </c>
      <c r="I445" s="2" t="str">
        <f>TEXT(Table1[[#This Row],[date]],"dd")</f>
        <v>27</v>
      </c>
      <c r="J445" s="20">
        <f>DATE(2000,MONTH(Table1[[#This Row],[date]]),1)</f>
        <v>36647</v>
      </c>
      <c r="K445" s="18" t="str">
        <f>TEXT(Table1[[#This Row],[date]],"mm")</f>
        <v>05</v>
      </c>
      <c r="L445" s="16" t="s">
        <v>86</v>
      </c>
      <c r="M445">
        <v>2022</v>
      </c>
      <c r="N445" t="s">
        <v>24</v>
      </c>
      <c r="O445" t="s">
        <v>83</v>
      </c>
      <c r="P445">
        <v>23</v>
      </c>
      <c r="Q445">
        <f>AVERAGE(Table1[funds_raised_millions])</f>
        <v>470.28289473684208</v>
      </c>
      <c r="R445">
        <f>AVERAGE(Table1[total_laid_off])</f>
        <v>236.96936274509804</v>
      </c>
    </row>
    <row r="446" spans="1:18" x14ac:dyDescent="0.25">
      <c r="A446" s="3" t="s">
        <v>555</v>
      </c>
      <c r="B446" t="s">
        <v>94</v>
      </c>
      <c r="C446" t="s">
        <v>69</v>
      </c>
      <c r="D446" t="s">
        <v>15</v>
      </c>
      <c r="E446" s="1">
        <v>0.16</v>
      </c>
      <c r="F446" s="1" t="str">
        <f>IF(Table1[[#This Row],[percentage_laid_off]]=100%,"1","0")</f>
        <v>0</v>
      </c>
      <c r="G446" t="s">
        <v>28</v>
      </c>
      <c r="H446" s="2">
        <v>44881</v>
      </c>
      <c r="I446" s="2" t="str">
        <f>TEXT(Table1[[#This Row],[date]],"dd")</f>
        <v>16</v>
      </c>
      <c r="J446" s="20">
        <f>DATE(2000,MONTH(Table1[[#This Row],[date]]),1)</f>
        <v>36831</v>
      </c>
      <c r="K446" s="18" t="str">
        <f>TEXT(Table1[[#This Row],[date]],"mm")</f>
        <v>11</v>
      </c>
      <c r="L446" s="16" t="s">
        <v>23</v>
      </c>
      <c r="M446">
        <v>2022</v>
      </c>
      <c r="N446" t="s">
        <v>47</v>
      </c>
      <c r="O446" t="s">
        <v>96</v>
      </c>
      <c r="P446">
        <v>63</v>
      </c>
      <c r="Q446">
        <f>AVERAGE(Table1[funds_raised_millions])</f>
        <v>470.28289473684208</v>
      </c>
      <c r="R446">
        <f>AVERAGE(Table1[total_laid_off])</f>
        <v>236.96936274509804</v>
      </c>
    </row>
    <row r="447" spans="1:18" x14ac:dyDescent="0.25">
      <c r="A447" s="3" t="s">
        <v>556</v>
      </c>
      <c r="B447" t="s">
        <v>77</v>
      </c>
      <c r="C447" t="s">
        <v>41</v>
      </c>
      <c r="D447">
        <v>200</v>
      </c>
      <c r="E447" s="1">
        <v>0.15</v>
      </c>
      <c r="F447" s="1" t="str">
        <f>IF(Table1[[#This Row],[percentage_laid_off]]=100%,"1","0")</f>
        <v>0</v>
      </c>
      <c r="G447" t="s">
        <v>28</v>
      </c>
      <c r="H447" s="2">
        <v>44810</v>
      </c>
      <c r="I447" s="2" t="str">
        <f>TEXT(Table1[[#This Row],[date]],"dd")</f>
        <v>06</v>
      </c>
      <c r="J447" s="20">
        <f>DATE(2000,MONTH(Table1[[#This Row],[date]]),1)</f>
        <v>36770</v>
      </c>
      <c r="K447" s="18" t="str">
        <f>TEXT(Table1[[#This Row],[date]],"mm")</f>
        <v>09</v>
      </c>
      <c r="L447" s="16" t="s">
        <v>70</v>
      </c>
      <c r="M447">
        <v>2022</v>
      </c>
      <c r="N447" t="s">
        <v>47</v>
      </c>
      <c r="O447" t="s">
        <v>79</v>
      </c>
      <c r="P447" t="s">
        <v>15</v>
      </c>
      <c r="Q447">
        <f>AVERAGE(Table1[funds_raised_millions])</f>
        <v>470.28289473684208</v>
      </c>
      <c r="R447">
        <f>AVERAGE(Table1[total_laid_off])</f>
        <v>236.96936274509804</v>
      </c>
    </row>
    <row r="448" spans="1:18" x14ac:dyDescent="0.25">
      <c r="A448" s="3" t="s">
        <v>557</v>
      </c>
      <c r="B448" t="s">
        <v>75</v>
      </c>
      <c r="C448" t="s">
        <v>46</v>
      </c>
      <c r="D448" t="s">
        <v>15</v>
      </c>
      <c r="E448" s="1">
        <v>0.2</v>
      </c>
      <c r="F448" s="1" t="str">
        <f>IF(Table1[[#This Row],[percentage_laid_off]]=100%,"1","0")</f>
        <v>0</v>
      </c>
      <c r="G448" t="s">
        <v>28</v>
      </c>
      <c r="H448" s="2">
        <v>44980</v>
      </c>
      <c r="I448" s="2" t="str">
        <f>TEXT(Table1[[#This Row],[date]],"dd")</f>
        <v>23</v>
      </c>
      <c r="J448" s="20">
        <f>DATE(2000,MONTH(Table1[[#This Row],[date]]),1)</f>
        <v>36557</v>
      </c>
      <c r="K448" s="18" t="str">
        <f>TEXT(Table1[[#This Row],[date]],"mm")</f>
        <v>02</v>
      </c>
      <c r="L448" s="16" t="s">
        <v>42</v>
      </c>
      <c r="M448">
        <v>2023</v>
      </c>
      <c r="N448" t="s">
        <v>43</v>
      </c>
      <c r="O448" t="s">
        <v>19</v>
      </c>
      <c r="P448">
        <v>607</v>
      </c>
      <c r="Q448">
        <f>AVERAGE(Table1[funds_raised_millions])</f>
        <v>470.28289473684208</v>
      </c>
      <c r="R448">
        <f>AVERAGE(Table1[total_laid_off])</f>
        <v>236.96936274509804</v>
      </c>
    </row>
    <row r="449" spans="1:18" x14ac:dyDescent="0.25">
      <c r="A449" s="3" t="s">
        <v>557</v>
      </c>
      <c r="B449" t="s">
        <v>75</v>
      </c>
      <c r="C449" t="s">
        <v>46</v>
      </c>
      <c r="D449">
        <v>134</v>
      </c>
      <c r="E449" s="1">
        <v>0.22</v>
      </c>
      <c r="F449" s="1" t="str">
        <f>IF(Table1[[#This Row],[percentage_laid_off]]=100%,"1","0")</f>
        <v>0</v>
      </c>
      <c r="G449" t="s">
        <v>28</v>
      </c>
      <c r="H449" s="2">
        <v>44603</v>
      </c>
      <c r="I449" s="2" t="str">
        <f>TEXT(Table1[[#This Row],[date]],"dd")</f>
        <v>11</v>
      </c>
      <c r="J449" s="20">
        <f>DATE(2000,MONTH(Table1[[#This Row],[date]]),1)</f>
        <v>36557</v>
      </c>
      <c r="K449" s="18" t="str">
        <f>TEXT(Table1[[#This Row],[date]],"mm")</f>
        <v>02</v>
      </c>
      <c r="L449" s="16" t="s">
        <v>42</v>
      </c>
      <c r="M449">
        <v>2022</v>
      </c>
      <c r="N449" t="s">
        <v>43</v>
      </c>
      <c r="O449" t="s">
        <v>19</v>
      </c>
      <c r="P449">
        <v>607</v>
      </c>
      <c r="Q449">
        <f>AVERAGE(Table1[funds_raised_millions])</f>
        <v>470.28289473684208</v>
      </c>
      <c r="R449">
        <f>AVERAGE(Table1[total_laid_off])</f>
        <v>236.96936274509804</v>
      </c>
    </row>
    <row r="450" spans="1:18" x14ac:dyDescent="0.25">
      <c r="A450" s="3" t="s">
        <v>558</v>
      </c>
      <c r="B450" t="s">
        <v>111</v>
      </c>
      <c r="C450" t="s">
        <v>41</v>
      </c>
      <c r="D450" t="s">
        <v>15</v>
      </c>
      <c r="E450" s="1">
        <v>0.11</v>
      </c>
      <c r="F450" s="1" t="str">
        <f>IF(Table1[[#This Row],[percentage_laid_off]]=100%,"1","0")</f>
        <v>0</v>
      </c>
      <c r="G450" t="s">
        <v>28</v>
      </c>
      <c r="H450" s="2">
        <v>45079</v>
      </c>
      <c r="I450" s="2" t="str">
        <f>TEXT(Table1[[#This Row],[date]],"dd")</f>
        <v>02</v>
      </c>
      <c r="J450" s="20">
        <f>DATE(2000,MONTH(Table1[[#This Row],[date]]),1)</f>
        <v>36678</v>
      </c>
      <c r="K450" s="18" t="str">
        <f>TEXT(Table1[[#This Row],[date]],"mm")</f>
        <v>06</v>
      </c>
      <c r="L450" s="16" t="s">
        <v>73</v>
      </c>
      <c r="M450">
        <v>2023</v>
      </c>
      <c r="N450" t="s">
        <v>47</v>
      </c>
      <c r="O450" t="s">
        <v>111</v>
      </c>
      <c r="P450" t="s">
        <v>15</v>
      </c>
      <c r="Q450">
        <f>AVERAGE(Table1[funds_raised_millions])</f>
        <v>470.28289473684208</v>
      </c>
      <c r="R450">
        <f>AVERAGE(Table1[total_laid_off])</f>
        <v>236.96936274509804</v>
      </c>
    </row>
    <row r="451" spans="1:18" x14ac:dyDescent="0.25">
      <c r="A451" s="3" t="s">
        <v>559</v>
      </c>
      <c r="B451" t="s">
        <v>13</v>
      </c>
      <c r="C451" t="s">
        <v>123</v>
      </c>
      <c r="D451">
        <v>6</v>
      </c>
      <c r="E451" s="1">
        <v>1</v>
      </c>
      <c r="F451" s="1" t="str">
        <f>IF(Table1[[#This Row],[percentage_laid_off]]=100%,"1","0")</f>
        <v>1</v>
      </c>
      <c r="G451" t="s">
        <v>114</v>
      </c>
      <c r="H451" s="2">
        <v>44005</v>
      </c>
      <c r="I451" s="2" t="str">
        <f>TEXT(Table1[[#This Row],[date]],"dd")</f>
        <v>23</v>
      </c>
      <c r="J451" s="20">
        <f>DATE(2000,MONTH(Table1[[#This Row],[date]]),1)</f>
        <v>36678</v>
      </c>
      <c r="K451" s="18" t="str">
        <f>TEXT(Table1[[#This Row],[date]],"mm")</f>
        <v>06</v>
      </c>
      <c r="L451" s="16" t="s">
        <v>73</v>
      </c>
      <c r="M451">
        <v>2020</v>
      </c>
      <c r="N451" t="s">
        <v>139</v>
      </c>
      <c r="O451" t="s">
        <v>19</v>
      </c>
      <c r="P451">
        <v>3</v>
      </c>
      <c r="Q451">
        <f>AVERAGE(Table1[funds_raised_millions])</f>
        <v>470.28289473684208</v>
      </c>
      <c r="R451">
        <f>AVERAGE(Table1[total_laid_off])</f>
        <v>236.96936274509804</v>
      </c>
    </row>
    <row r="452" spans="1:18" x14ac:dyDescent="0.25">
      <c r="A452" s="3" t="s">
        <v>560</v>
      </c>
      <c r="B452" t="s">
        <v>170</v>
      </c>
      <c r="C452" t="s">
        <v>82</v>
      </c>
      <c r="D452">
        <v>30</v>
      </c>
      <c r="E452" s="1">
        <v>0.18</v>
      </c>
      <c r="F452" s="1" t="str">
        <f>IF(Table1[[#This Row],[percentage_laid_off]]=100%,"1","0")</f>
        <v>0</v>
      </c>
      <c r="G452" t="s">
        <v>28</v>
      </c>
      <c r="H452" s="2">
        <v>44693</v>
      </c>
      <c r="I452" s="2" t="str">
        <f>TEXT(Table1[[#This Row],[date]],"dd")</f>
        <v>12</v>
      </c>
      <c r="J452" s="20">
        <f>DATE(2000,MONTH(Table1[[#This Row],[date]]),1)</f>
        <v>36647</v>
      </c>
      <c r="K452" s="18" t="str">
        <f>TEXT(Table1[[#This Row],[date]],"mm")</f>
        <v>05</v>
      </c>
      <c r="L452" s="16" t="s">
        <v>86</v>
      </c>
      <c r="M452">
        <v>2022</v>
      </c>
      <c r="N452" t="s">
        <v>30</v>
      </c>
      <c r="O452" t="s">
        <v>172</v>
      </c>
      <c r="P452">
        <v>103</v>
      </c>
      <c r="Q452">
        <f>AVERAGE(Table1[funds_raised_millions])</f>
        <v>470.28289473684208</v>
      </c>
      <c r="R452">
        <f>AVERAGE(Table1[total_laid_off])</f>
        <v>236.96936274509804</v>
      </c>
    </row>
    <row r="453" spans="1:18" x14ac:dyDescent="0.25">
      <c r="A453" s="3" t="s">
        <v>561</v>
      </c>
      <c r="B453" t="s">
        <v>88</v>
      </c>
      <c r="C453" t="s">
        <v>89</v>
      </c>
      <c r="D453" t="s">
        <v>15</v>
      </c>
      <c r="E453" s="1">
        <v>0.26</v>
      </c>
      <c r="F453" s="1" t="str">
        <f>IF(Table1[[#This Row],[percentage_laid_off]]=100%,"1","0")</f>
        <v>0</v>
      </c>
      <c r="G453" t="s">
        <v>28</v>
      </c>
      <c r="H453" s="2">
        <v>44796</v>
      </c>
      <c r="I453" s="2" t="str">
        <f>TEXT(Table1[[#This Row],[date]],"dd")</f>
        <v>23</v>
      </c>
      <c r="J453" s="20">
        <f>DATE(2000,MONTH(Table1[[#This Row],[date]]),1)</f>
        <v>36739</v>
      </c>
      <c r="K453" s="18" t="str">
        <f>TEXT(Table1[[#This Row],[date]],"mm")</f>
        <v>08</v>
      </c>
      <c r="L453" s="16" t="s">
        <v>53</v>
      </c>
      <c r="M453">
        <v>2022</v>
      </c>
      <c r="N453" t="s">
        <v>423</v>
      </c>
      <c r="O453" t="s">
        <v>19</v>
      </c>
      <c r="P453">
        <v>1000</v>
      </c>
      <c r="Q453">
        <f>AVERAGE(Table1[funds_raised_millions])</f>
        <v>470.28289473684208</v>
      </c>
      <c r="R453">
        <f>AVERAGE(Table1[total_laid_off])</f>
        <v>236.96936274509804</v>
      </c>
    </row>
    <row r="454" spans="1:18" x14ac:dyDescent="0.25">
      <c r="A454" s="3" t="s">
        <v>561</v>
      </c>
      <c r="B454" t="s">
        <v>88</v>
      </c>
      <c r="C454" t="s">
        <v>89</v>
      </c>
      <c r="D454">
        <v>70</v>
      </c>
      <c r="E454" s="1">
        <v>7.0000000000000007E-2</v>
      </c>
      <c r="F454" s="1" t="str">
        <f>IF(Table1[[#This Row],[percentage_laid_off]]=100%,"1","0")</f>
        <v>0</v>
      </c>
      <c r="G454" t="s">
        <v>16</v>
      </c>
      <c r="H454" s="2">
        <v>44870</v>
      </c>
      <c r="I454" s="2" t="str">
        <f>TEXT(Table1[[#This Row],[date]],"dd")</f>
        <v>05</v>
      </c>
      <c r="J454" s="20">
        <f>DATE(2000,MONTH(Table1[[#This Row],[date]]),1)</f>
        <v>36831</v>
      </c>
      <c r="K454" s="18" t="str">
        <f>TEXT(Table1[[#This Row],[date]],"mm")</f>
        <v>11</v>
      </c>
      <c r="L454" s="16" t="s">
        <v>23</v>
      </c>
      <c r="M454">
        <v>2022</v>
      </c>
      <c r="N454" t="s">
        <v>423</v>
      </c>
      <c r="O454" t="s">
        <v>19</v>
      </c>
      <c r="P454">
        <v>1000</v>
      </c>
      <c r="Q454">
        <f>AVERAGE(Table1[funds_raised_millions])</f>
        <v>470.28289473684208</v>
      </c>
      <c r="R454">
        <f>AVERAGE(Table1[total_laid_off])</f>
        <v>236.96936274509804</v>
      </c>
    </row>
    <row r="455" spans="1:18" x14ac:dyDescent="0.25">
      <c r="A455" s="3" t="s">
        <v>561</v>
      </c>
      <c r="B455" t="s">
        <v>88</v>
      </c>
      <c r="C455" t="s">
        <v>89</v>
      </c>
      <c r="D455">
        <v>200</v>
      </c>
      <c r="E455" t="s">
        <v>15</v>
      </c>
      <c r="F455" s="1" t="str">
        <f>IF(Table1[[#This Row],[percentage_laid_off]]=100%,"1","0")</f>
        <v>0</v>
      </c>
      <c r="G455" t="b">
        <v>0</v>
      </c>
      <c r="H455" s="2">
        <v>43917</v>
      </c>
      <c r="I455" s="2" t="str">
        <f>TEXT(Table1[[#This Row],[date]],"dd")</f>
        <v>27</v>
      </c>
      <c r="J455" s="20">
        <f>DATE(2000,MONTH(Table1[[#This Row],[date]]),1)</f>
        <v>36586</v>
      </c>
      <c r="K455" s="18" t="str">
        <f>TEXT(Table1[[#This Row],[date]],"mm")</f>
        <v>03</v>
      </c>
      <c r="L455" s="16" t="s">
        <v>57</v>
      </c>
      <c r="M455">
        <v>2020</v>
      </c>
      <c r="N455" t="s">
        <v>18</v>
      </c>
      <c r="O455" t="s">
        <v>19</v>
      </c>
      <c r="P455">
        <v>430</v>
      </c>
      <c r="Q455">
        <f>AVERAGE(Table1[funds_raised_millions])</f>
        <v>470.28289473684208</v>
      </c>
      <c r="R455">
        <f>AVERAGE(Table1[total_laid_off])</f>
        <v>236.96936274509804</v>
      </c>
    </row>
    <row r="456" spans="1:18" x14ac:dyDescent="0.25">
      <c r="A456" s="3" t="s">
        <v>562</v>
      </c>
      <c r="B456" t="s">
        <v>13</v>
      </c>
      <c r="C456" t="s">
        <v>89</v>
      </c>
      <c r="D456">
        <v>15</v>
      </c>
      <c r="E456" t="s">
        <v>15</v>
      </c>
      <c r="F456" s="1" t="str">
        <f>IF(Table1[[#This Row],[percentage_laid_off]]=100%,"1","0")</f>
        <v>0</v>
      </c>
      <c r="G456" t="b">
        <v>0</v>
      </c>
      <c r="H456" s="2">
        <v>43935</v>
      </c>
      <c r="I456" s="2" t="str">
        <f>TEXT(Table1[[#This Row],[date]],"dd")</f>
        <v>14</v>
      </c>
      <c r="J456" s="20">
        <f>DATE(2000,MONTH(Table1[[#This Row],[date]]),1)</f>
        <v>36617</v>
      </c>
      <c r="K456" s="18" t="str">
        <f>TEXT(Table1[[#This Row],[date]],"mm")</f>
        <v>04</v>
      </c>
      <c r="L456" s="16" t="s">
        <v>37</v>
      </c>
      <c r="M456">
        <v>2020</v>
      </c>
      <c r="N456" t="s">
        <v>18</v>
      </c>
      <c r="O456" t="s">
        <v>19</v>
      </c>
      <c r="P456">
        <v>190</v>
      </c>
      <c r="Q456">
        <f>AVERAGE(Table1[funds_raised_millions])</f>
        <v>470.28289473684208</v>
      </c>
      <c r="R456">
        <f>AVERAGE(Table1[total_laid_off])</f>
        <v>236.96936274509804</v>
      </c>
    </row>
    <row r="457" spans="1:18" x14ac:dyDescent="0.25">
      <c r="A457" s="3" t="s">
        <v>563</v>
      </c>
      <c r="B457" t="s">
        <v>13</v>
      </c>
      <c r="C457" t="s">
        <v>134</v>
      </c>
      <c r="D457" t="s">
        <v>15</v>
      </c>
      <c r="E457" s="1">
        <v>0.1</v>
      </c>
      <c r="F457" s="1" t="str">
        <f>IF(Table1[[#This Row],[percentage_laid_off]]=100%,"1","0")</f>
        <v>0</v>
      </c>
      <c r="G457" t="s">
        <v>16</v>
      </c>
      <c r="H457" s="2">
        <v>43969</v>
      </c>
      <c r="I457" s="2" t="str">
        <f>TEXT(Table1[[#This Row],[date]],"dd")</f>
        <v>18</v>
      </c>
      <c r="J457" s="20">
        <f>DATE(2000,MONTH(Table1[[#This Row],[date]]),1)</f>
        <v>36647</v>
      </c>
      <c r="K457" s="18" t="str">
        <f>TEXT(Table1[[#This Row],[date]],"mm")</f>
        <v>05</v>
      </c>
      <c r="L457" s="16" t="s">
        <v>86</v>
      </c>
      <c r="M457">
        <v>2020</v>
      </c>
      <c r="N457" t="s">
        <v>35</v>
      </c>
      <c r="O457" t="s">
        <v>19</v>
      </c>
      <c r="P457">
        <v>63</v>
      </c>
      <c r="Q457">
        <f>AVERAGE(Table1[funds_raised_millions])</f>
        <v>470.28289473684208</v>
      </c>
      <c r="R457">
        <f>AVERAGE(Table1[total_laid_off])</f>
        <v>236.96936274509804</v>
      </c>
    </row>
    <row r="458" spans="1:18" x14ac:dyDescent="0.25">
      <c r="A458" s="3" t="s">
        <v>564</v>
      </c>
      <c r="B458" t="s">
        <v>199</v>
      </c>
      <c r="C458" t="s">
        <v>34</v>
      </c>
      <c r="D458">
        <v>50</v>
      </c>
      <c r="E458" s="1">
        <v>0.02</v>
      </c>
      <c r="F458" s="1" t="str">
        <f>IF(Table1[[#This Row],[percentage_laid_off]]=100%,"1","0")</f>
        <v>0</v>
      </c>
      <c r="G458" t="s">
        <v>16</v>
      </c>
      <c r="H458" s="2">
        <v>44707</v>
      </c>
      <c r="I458" s="2" t="str">
        <f>TEXT(Table1[[#This Row],[date]],"dd")</f>
        <v>26</v>
      </c>
      <c r="J458" s="20">
        <f>DATE(2000,MONTH(Table1[[#This Row],[date]]),1)</f>
        <v>36647</v>
      </c>
      <c r="K458" s="18" t="str">
        <f>TEXT(Table1[[#This Row],[date]],"mm")</f>
        <v>05</v>
      </c>
      <c r="L458" s="16" t="s">
        <v>86</v>
      </c>
      <c r="M458">
        <v>2022</v>
      </c>
      <c r="N458" t="s">
        <v>47</v>
      </c>
      <c r="O458" t="s">
        <v>200</v>
      </c>
      <c r="P458" t="s">
        <v>15</v>
      </c>
      <c r="Q458">
        <f>AVERAGE(Table1[funds_raised_millions])</f>
        <v>470.28289473684208</v>
      </c>
      <c r="R458">
        <f>AVERAGE(Table1[total_laid_off])</f>
        <v>236.96936274509804</v>
      </c>
    </row>
    <row r="459" spans="1:18" x14ac:dyDescent="0.25">
      <c r="A459" s="3" t="s">
        <v>565</v>
      </c>
      <c r="B459" t="s">
        <v>313</v>
      </c>
      <c r="C459" t="s">
        <v>41</v>
      </c>
      <c r="D459">
        <v>100</v>
      </c>
      <c r="E459" s="1">
        <v>0.06</v>
      </c>
      <c r="F459" s="1" t="str">
        <f>IF(Table1[[#This Row],[percentage_laid_off]]=100%,"1","0")</f>
        <v>0</v>
      </c>
      <c r="G459" t="s">
        <v>16</v>
      </c>
      <c r="H459" s="2">
        <v>44953</v>
      </c>
      <c r="I459" s="2" t="str">
        <f>TEXT(Table1[[#This Row],[date]],"dd")</f>
        <v>27</v>
      </c>
      <c r="J459" s="20">
        <f>DATE(2000,MONTH(Table1[[#This Row],[date]]),1)</f>
        <v>36526</v>
      </c>
      <c r="K459" s="18" t="str">
        <f>TEXT(Table1[[#This Row],[date]],"mm")</f>
        <v>01</v>
      </c>
      <c r="L459" s="16" t="s">
        <v>29</v>
      </c>
      <c r="M459">
        <v>2023</v>
      </c>
      <c r="N459" t="s">
        <v>18</v>
      </c>
      <c r="O459" t="s">
        <v>83</v>
      </c>
      <c r="P459">
        <v>390</v>
      </c>
      <c r="Q459">
        <f>AVERAGE(Table1[funds_raised_millions])</f>
        <v>470.28289473684208</v>
      </c>
      <c r="R459">
        <f>AVERAGE(Table1[total_laid_off])</f>
        <v>236.96936274509804</v>
      </c>
    </row>
    <row r="460" spans="1:18" x14ac:dyDescent="0.25">
      <c r="A460" s="3" t="s">
        <v>566</v>
      </c>
      <c r="B460" t="s">
        <v>40</v>
      </c>
      <c r="C460" t="s">
        <v>181</v>
      </c>
      <c r="D460" t="s">
        <v>15</v>
      </c>
      <c r="E460" s="1">
        <v>0.1</v>
      </c>
      <c r="F460" s="1" t="str">
        <f>IF(Table1[[#This Row],[percentage_laid_off]]=100%,"1","0")</f>
        <v>0</v>
      </c>
      <c r="G460" t="s">
        <v>16</v>
      </c>
      <c r="H460" s="2">
        <v>44718</v>
      </c>
      <c r="I460" s="2" t="str">
        <f>TEXT(Table1[[#This Row],[date]],"dd")</f>
        <v>06</v>
      </c>
      <c r="J460" s="20">
        <f>DATE(2000,MONTH(Table1[[#This Row],[date]]),1)</f>
        <v>36678</v>
      </c>
      <c r="K460" s="18" t="str">
        <f>TEXT(Table1[[#This Row],[date]],"mm")</f>
        <v>06</v>
      </c>
      <c r="L460" s="16" t="s">
        <v>73</v>
      </c>
      <c r="M460">
        <v>2022</v>
      </c>
      <c r="N460" t="s">
        <v>43</v>
      </c>
      <c r="O460" t="s">
        <v>19</v>
      </c>
      <c r="P460">
        <v>259</v>
      </c>
      <c r="Q460">
        <f>AVERAGE(Table1[funds_raised_millions])</f>
        <v>470.28289473684208</v>
      </c>
      <c r="R460">
        <f>AVERAGE(Table1[total_laid_off])</f>
        <v>236.96936274509804</v>
      </c>
    </row>
    <row r="461" spans="1:18" x14ac:dyDescent="0.25">
      <c r="A461" s="3" t="s">
        <v>567</v>
      </c>
      <c r="B461" t="s">
        <v>88</v>
      </c>
      <c r="C461" t="s">
        <v>14</v>
      </c>
      <c r="D461">
        <v>55</v>
      </c>
      <c r="E461" s="1">
        <v>0.06</v>
      </c>
      <c r="F461" s="1" t="str">
        <f>IF(Table1[[#This Row],[percentage_laid_off]]=100%,"1","0")</f>
        <v>0</v>
      </c>
      <c r="G461" t="s">
        <v>16</v>
      </c>
      <c r="H461" s="2">
        <v>45261</v>
      </c>
      <c r="I461" s="2" t="str">
        <f>TEXT(Table1[[#This Row],[date]],"dd")</f>
        <v>01</v>
      </c>
      <c r="J461" s="20">
        <f>DATE(2000,MONTH(Table1[[#This Row],[date]]),1)</f>
        <v>36861</v>
      </c>
      <c r="K461" s="18" t="str">
        <f>TEXT(Table1[[#This Row],[date]],"mm")</f>
        <v>12</v>
      </c>
      <c r="L461" s="16" t="s">
        <v>61</v>
      </c>
      <c r="M461">
        <v>2023</v>
      </c>
      <c r="N461" t="s">
        <v>38</v>
      </c>
      <c r="O461" t="s">
        <v>19</v>
      </c>
      <c r="P461" t="s">
        <v>15</v>
      </c>
      <c r="Q461">
        <f>AVERAGE(Table1[funds_raised_millions])</f>
        <v>470.28289473684208</v>
      </c>
      <c r="R461">
        <f>AVERAGE(Table1[total_laid_off])</f>
        <v>236.96936274509804</v>
      </c>
    </row>
    <row r="462" spans="1:18" x14ac:dyDescent="0.25">
      <c r="A462" s="3" t="s">
        <v>568</v>
      </c>
      <c r="B462" t="s">
        <v>13</v>
      </c>
      <c r="C462" t="s">
        <v>51</v>
      </c>
      <c r="D462" t="s">
        <v>15</v>
      </c>
      <c r="E462" s="1">
        <v>0.15</v>
      </c>
      <c r="F462" s="1" t="str">
        <f>IF(Table1[[#This Row],[percentage_laid_off]]=100%,"1","0")</f>
        <v>0</v>
      </c>
      <c r="G462" t="s">
        <v>28</v>
      </c>
      <c r="H462" s="2">
        <v>44741</v>
      </c>
      <c r="I462" s="2" t="str">
        <f>TEXT(Table1[[#This Row],[date]],"dd")</f>
        <v>29</v>
      </c>
      <c r="J462" s="20">
        <f>DATE(2000,MONTH(Table1[[#This Row],[date]]),1)</f>
        <v>36678</v>
      </c>
      <c r="K462" s="18" t="str">
        <f>TEXT(Table1[[#This Row],[date]],"mm")</f>
        <v>06</v>
      </c>
      <c r="L462" s="16" t="s">
        <v>73</v>
      </c>
      <c r="M462">
        <v>2022</v>
      </c>
      <c r="N462" t="s">
        <v>43</v>
      </c>
      <c r="O462" t="s">
        <v>19</v>
      </c>
      <c r="P462">
        <v>411</v>
      </c>
      <c r="Q462">
        <f>AVERAGE(Table1[funds_raised_millions])</f>
        <v>470.28289473684208</v>
      </c>
      <c r="R462">
        <f>AVERAGE(Table1[total_laid_off])</f>
        <v>236.96936274509804</v>
      </c>
    </row>
    <row r="463" spans="1:18" x14ac:dyDescent="0.25">
      <c r="A463" s="3" t="s">
        <v>569</v>
      </c>
      <c r="B463" t="s">
        <v>570</v>
      </c>
      <c r="C463" t="s">
        <v>64</v>
      </c>
      <c r="D463" t="s">
        <v>15</v>
      </c>
      <c r="E463" s="1">
        <v>0.05</v>
      </c>
      <c r="F463" s="1" t="str">
        <f>IF(Table1[[#This Row],[percentage_laid_off]]=100%,"1","0")</f>
        <v>0</v>
      </c>
      <c r="G463" t="s">
        <v>16</v>
      </c>
      <c r="H463" s="2">
        <v>44941</v>
      </c>
      <c r="I463" s="2" t="str">
        <f>TEXT(Table1[[#This Row],[date]],"dd")</f>
        <v>15</v>
      </c>
      <c r="J463" s="20">
        <f>DATE(2000,MONTH(Table1[[#This Row],[date]]),1)</f>
        <v>36526</v>
      </c>
      <c r="K463" s="18" t="str">
        <f>TEXT(Table1[[#This Row],[date]],"mm")</f>
        <v>01</v>
      </c>
      <c r="L463" s="16" t="s">
        <v>29</v>
      </c>
      <c r="M463">
        <v>2023</v>
      </c>
      <c r="N463" t="s">
        <v>18</v>
      </c>
      <c r="O463" t="s">
        <v>83</v>
      </c>
      <c r="P463">
        <v>254</v>
      </c>
      <c r="Q463">
        <f>AVERAGE(Table1[funds_raised_millions])</f>
        <v>470.28289473684208</v>
      </c>
      <c r="R463">
        <f>AVERAGE(Table1[total_laid_off])</f>
        <v>236.96936274509804</v>
      </c>
    </row>
    <row r="464" spans="1:18" x14ac:dyDescent="0.25">
      <c r="A464" s="3" t="s">
        <v>571</v>
      </c>
      <c r="B464" t="s">
        <v>13</v>
      </c>
      <c r="C464" t="s">
        <v>41</v>
      </c>
      <c r="D464">
        <v>669</v>
      </c>
      <c r="E464" s="1">
        <v>1</v>
      </c>
      <c r="F464" s="1" t="str">
        <f>IF(Table1[[#This Row],[percentage_laid_off]]=100%,"1","0")</f>
        <v>1</v>
      </c>
      <c r="G464" t="s">
        <v>114</v>
      </c>
      <c r="H464" s="2">
        <v>43964</v>
      </c>
      <c r="I464" s="2" t="str">
        <f>TEXT(Table1[[#This Row],[date]],"dd")</f>
        <v>13</v>
      </c>
      <c r="J464" s="20">
        <f>DATE(2000,MONTH(Table1[[#This Row],[date]]),1)</f>
        <v>36647</v>
      </c>
      <c r="K464" s="18" t="str">
        <f>TEXT(Table1[[#This Row],[date]],"mm")</f>
        <v>05</v>
      </c>
      <c r="L464" s="16" t="s">
        <v>86</v>
      </c>
      <c r="M464">
        <v>2020</v>
      </c>
      <c r="N464" t="s">
        <v>35</v>
      </c>
      <c r="O464" t="s">
        <v>19</v>
      </c>
      <c r="P464">
        <v>80</v>
      </c>
      <c r="Q464">
        <f>AVERAGE(Table1[funds_raised_millions])</f>
        <v>470.28289473684208</v>
      </c>
      <c r="R464">
        <f>AVERAGE(Table1[total_laid_off])</f>
        <v>236.96936274509804</v>
      </c>
    </row>
    <row r="465" spans="1:18" x14ac:dyDescent="0.25">
      <c r="A465" s="3" t="s">
        <v>572</v>
      </c>
      <c r="B465" t="s">
        <v>199</v>
      </c>
      <c r="C465" t="s">
        <v>64</v>
      </c>
      <c r="D465">
        <v>350</v>
      </c>
      <c r="E465" s="1">
        <v>0.09</v>
      </c>
      <c r="F465" s="1" t="str">
        <f>IF(Table1[[#This Row],[percentage_laid_off]]=100%,"1","0")</f>
        <v>0</v>
      </c>
      <c r="G465" t="s">
        <v>16</v>
      </c>
      <c r="H465" s="2">
        <v>45171</v>
      </c>
      <c r="I465" s="2" t="str">
        <f>TEXT(Table1[[#This Row],[date]],"dd")</f>
        <v>02</v>
      </c>
      <c r="J465" s="20">
        <f>DATE(2000,MONTH(Table1[[#This Row],[date]]),1)</f>
        <v>36770</v>
      </c>
      <c r="K465" s="18" t="str">
        <f>TEXT(Table1[[#This Row],[date]],"mm")</f>
        <v>09</v>
      </c>
      <c r="L465" s="16" t="s">
        <v>70</v>
      </c>
      <c r="M465">
        <v>2023</v>
      </c>
      <c r="N465" t="s">
        <v>38</v>
      </c>
      <c r="O465" t="s">
        <v>200</v>
      </c>
      <c r="P465">
        <v>1700</v>
      </c>
      <c r="Q465">
        <f>AVERAGE(Table1[funds_raised_millions])</f>
        <v>470.28289473684208</v>
      </c>
      <c r="R465">
        <f>AVERAGE(Table1[total_laid_off])</f>
        <v>236.96936274509804</v>
      </c>
    </row>
    <row r="466" spans="1:18" x14ac:dyDescent="0.25">
      <c r="A466" s="3" t="s">
        <v>572</v>
      </c>
      <c r="B466" t="s">
        <v>199</v>
      </c>
      <c r="C466" t="s">
        <v>64</v>
      </c>
      <c r="D466">
        <v>367</v>
      </c>
      <c r="E466" s="1">
        <v>0.15</v>
      </c>
      <c r="F466" s="1" t="str">
        <f>IF(Table1[[#This Row],[percentage_laid_off]]=100%,"1","0")</f>
        <v>0</v>
      </c>
      <c r="G466" t="s">
        <v>28</v>
      </c>
      <c r="H466" s="2">
        <v>43949</v>
      </c>
      <c r="I466" s="2" t="str">
        <f>TEXT(Table1[[#This Row],[date]],"dd")</f>
        <v>28</v>
      </c>
      <c r="J466" s="20">
        <f>DATE(2000,MONTH(Table1[[#This Row],[date]]),1)</f>
        <v>36617</v>
      </c>
      <c r="K466" s="18" t="str">
        <f>TEXT(Table1[[#This Row],[date]],"mm")</f>
        <v>04</v>
      </c>
      <c r="L466" s="16" t="s">
        <v>37</v>
      </c>
      <c r="M466">
        <v>2020</v>
      </c>
      <c r="N466" t="s">
        <v>423</v>
      </c>
      <c r="O466" t="s">
        <v>200</v>
      </c>
      <c r="P466">
        <v>1500</v>
      </c>
      <c r="Q466">
        <f>AVERAGE(Table1[funds_raised_millions])</f>
        <v>470.28289473684208</v>
      </c>
      <c r="R466">
        <f>AVERAGE(Table1[total_laid_off])</f>
        <v>236.96936274509804</v>
      </c>
    </row>
    <row r="467" spans="1:18" x14ac:dyDescent="0.25">
      <c r="A467" s="3" t="s">
        <v>573</v>
      </c>
      <c r="B467" t="s">
        <v>252</v>
      </c>
      <c r="C467" t="s">
        <v>64</v>
      </c>
      <c r="D467">
        <v>120</v>
      </c>
      <c r="E467" s="1">
        <v>1</v>
      </c>
      <c r="F467" s="1" t="str">
        <f>IF(Table1[[#This Row],[percentage_laid_off]]=100%,"1","0")</f>
        <v>1</v>
      </c>
      <c r="G467" t="s">
        <v>114</v>
      </c>
      <c r="H467" s="2">
        <v>44880</v>
      </c>
      <c r="I467" s="2" t="str">
        <f>TEXT(Table1[[#This Row],[date]],"dd")</f>
        <v>15</v>
      </c>
      <c r="J467" s="20">
        <f>DATE(2000,MONTH(Table1[[#This Row],[date]]),1)</f>
        <v>36831</v>
      </c>
      <c r="K467" s="18" t="str">
        <f>TEXT(Table1[[#This Row],[date]],"mm")</f>
        <v>11</v>
      </c>
      <c r="L467" s="16" t="s">
        <v>23</v>
      </c>
      <c r="M467">
        <v>2022</v>
      </c>
      <c r="N467" t="s">
        <v>38</v>
      </c>
      <c r="O467" t="s">
        <v>58</v>
      </c>
      <c r="P467">
        <v>1700</v>
      </c>
      <c r="Q467">
        <f>AVERAGE(Table1[funds_raised_millions])</f>
        <v>470.28289473684208</v>
      </c>
      <c r="R467">
        <f>AVERAGE(Table1[total_laid_off])</f>
        <v>236.96936274509804</v>
      </c>
    </row>
    <row r="468" spans="1:18" x14ac:dyDescent="0.25">
      <c r="A468" s="3" t="s">
        <v>574</v>
      </c>
      <c r="B468" t="s">
        <v>94</v>
      </c>
      <c r="C468" t="s">
        <v>64</v>
      </c>
      <c r="D468">
        <v>100</v>
      </c>
      <c r="E468" t="s">
        <v>15</v>
      </c>
      <c r="F468" s="1" t="str">
        <f>IF(Table1[[#This Row],[percentage_laid_off]]=100%,"1","0")</f>
        <v>0</v>
      </c>
      <c r="G468" t="b">
        <v>0</v>
      </c>
      <c r="H468" s="2">
        <v>44631</v>
      </c>
      <c r="I468" s="2" t="str">
        <f>TEXT(Table1[[#This Row],[date]],"dd")</f>
        <v>11</v>
      </c>
      <c r="J468" s="20">
        <f>DATE(2000,MONTH(Table1[[#This Row],[date]]),1)</f>
        <v>36586</v>
      </c>
      <c r="K468" s="18" t="str">
        <f>TEXT(Table1[[#This Row],[date]],"mm")</f>
        <v>03</v>
      </c>
      <c r="L468" s="16" t="s">
        <v>57</v>
      </c>
      <c r="M468">
        <v>2022</v>
      </c>
      <c r="N468" t="s">
        <v>38</v>
      </c>
      <c r="O468" t="s">
        <v>96</v>
      </c>
      <c r="P468">
        <v>8300</v>
      </c>
      <c r="Q468">
        <f>AVERAGE(Table1[funds_raised_millions])</f>
        <v>470.28289473684208</v>
      </c>
      <c r="R468">
        <f>AVERAGE(Table1[total_laid_off])</f>
        <v>236.96936274509804</v>
      </c>
    </row>
    <row r="469" spans="1:18" x14ac:dyDescent="0.25">
      <c r="A469" s="3" t="s">
        <v>574</v>
      </c>
      <c r="B469" t="s">
        <v>94</v>
      </c>
      <c r="C469" t="s">
        <v>64</v>
      </c>
      <c r="D469">
        <v>156</v>
      </c>
      <c r="E469" s="1">
        <v>0.04</v>
      </c>
      <c r="F469" s="1" t="str">
        <f>IF(Table1[[#This Row],[percentage_laid_off]]=100%,"1","0")</f>
        <v>0</v>
      </c>
      <c r="G469" t="s">
        <v>16</v>
      </c>
      <c r="H469" s="2">
        <v>44956</v>
      </c>
      <c r="I469" s="2" t="str">
        <f>TEXT(Table1[[#This Row],[date]],"dd")</f>
        <v>30</v>
      </c>
      <c r="J469" s="20">
        <f>DATE(2000,MONTH(Table1[[#This Row],[date]]),1)</f>
        <v>36526</v>
      </c>
      <c r="K469" s="18" t="str">
        <f>TEXT(Table1[[#This Row],[date]],"mm")</f>
        <v>01</v>
      </c>
      <c r="L469" s="16" t="s">
        <v>29</v>
      </c>
      <c r="M469">
        <v>2023</v>
      </c>
      <c r="N469" t="s">
        <v>38</v>
      </c>
      <c r="O469" t="s">
        <v>96</v>
      </c>
      <c r="P469">
        <v>9900</v>
      </c>
      <c r="Q469">
        <f>AVERAGE(Table1[funds_raised_millions])</f>
        <v>470.28289473684208</v>
      </c>
      <c r="R469">
        <f>AVERAGE(Table1[total_laid_off])</f>
        <v>236.96936274509804</v>
      </c>
    </row>
    <row r="470" spans="1:18" x14ac:dyDescent="0.25">
      <c r="A470" s="3" t="s">
        <v>574</v>
      </c>
      <c r="B470" t="s">
        <v>94</v>
      </c>
      <c r="C470" t="s">
        <v>64</v>
      </c>
      <c r="D470">
        <v>300</v>
      </c>
      <c r="E470" t="s">
        <v>15</v>
      </c>
      <c r="F470" s="1" t="str">
        <f>IF(Table1[[#This Row],[percentage_laid_off]]=100%,"1","0")</f>
        <v>0</v>
      </c>
      <c r="G470" t="b">
        <v>0</v>
      </c>
      <c r="H470" s="2">
        <v>44552</v>
      </c>
      <c r="I470" s="2" t="str">
        <f>TEXT(Table1[[#This Row],[date]],"dd")</f>
        <v>22</v>
      </c>
      <c r="J470" s="20">
        <f>DATE(2000,MONTH(Table1[[#This Row],[date]]),1)</f>
        <v>36861</v>
      </c>
      <c r="K470" s="18" t="str">
        <f>TEXT(Table1[[#This Row],[date]],"mm")</f>
        <v>12</v>
      </c>
      <c r="L470" s="16" t="s">
        <v>61</v>
      </c>
      <c r="M470">
        <v>2021</v>
      </c>
      <c r="N470" t="s">
        <v>38</v>
      </c>
      <c r="O470" t="s">
        <v>96</v>
      </c>
      <c r="P470">
        <v>8300</v>
      </c>
      <c r="Q470">
        <f>AVERAGE(Table1[funds_raised_millions])</f>
        <v>470.28289473684208</v>
      </c>
      <c r="R470">
        <f>AVERAGE(Table1[total_laid_off])</f>
        <v>236.96936274509804</v>
      </c>
    </row>
    <row r="471" spans="1:18" x14ac:dyDescent="0.25">
      <c r="A471" s="3" t="s">
        <v>575</v>
      </c>
      <c r="B471" t="s">
        <v>202</v>
      </c>
      <c r="C471" t="s">
        <v>309</v>
      </c>
      <c r="D471">
        <v>6650</v>
      </c>
      <c r="E471" s="1">
        <v>0.05</v>
      </c>
      <c r="F471" s="1" t="str">
        <f>IF(Table1[[#This Row],[percentage_laid_off]]=100%,"1","0")</f>
        <v>0</v>
      </c>
      <c r="G471" t="s">
        <v>16</v>
      </c>
      <c r="H471" s="2">
        <v>45079</v>
      </c>
      <c r="I471" s="2" t="str">
        <f>TEXT(Table1[[#This Row],[date]],"dd")</f>
        <v>02</v>
      </c>
      <c r="J471" s="20">
        <f>DATE(2000,MONTH(Table1[[#This Row],[date]]),1)</f>
        <v>36678</v>
      </c>
      <c r="K471" s="18" t="str">
        <f>TEXT(Table1[[#This Row],[date]],"mm")</f>
        <v>06</v>
      </c>
      <c r="L471" s="16" t="s">
        <v>73</v>
      </c>
      <c r="M471">
        <v>2023</v>
      </c>
      <c r="N471" t="s">
        <v>38</v>
      </c>
      <c r="O471" t="s">
        <v>19</v>
      </c>
      <c r="P471" t="s">
        <v>15</v>
      </c>
      <c r="Q471">
        <f>AVERAGE(Table1[funds_raised_millions])</f>
        <v>470.28289473684208</v>
      </c>
      <c r="R471">
        <f>AVERAGE(Table1[total_laid_off])</f>
        <v>236.96936274509804</v>
      </c>
    </row>
    <row r="472" spans="1:18" x14ac:dyDescent="0.25">
      <c r="A472" s="3" t="s">
        <v>576</v>
      </c>
      <c r="B472" t="s">
        <v>13</v>
      </c>
      <c r="C472" t="s">
        <v>60</v>
      </c>
      <c r="D472">
        <v>27</v>
      </c>
      <c r="E472" s="1">
        <v>0.03</v>
      </c>
      <c r="F472" s="1" t="str">
        <f>IF(Table1[[#This Row],[percentage_laid_off]]=100%,"1","0")</f>
        <v>0</v>
      </c>
      <c r="G472" t="s">
        <v>16</v>
      </c>
      <c r="H472" s="2">
        <v>44751</v>
      </c>
      <c r="I472" s="2" t="str">
        <f>TEXT(Table1[[#This Row],[date]],"dd")</f>
        <v>09</v>
      </c>
      <c r="J472" s="20">
        <f>DATE(2000,MONTH(Table1[[#This Row],[date]]),1)</f>
        <v>36708</v>
      </c>
      <c r="K472" s="18" t="str">
        <f>TEXT(Table1[[#This Row],[date]],"mm")</f>
        <v>07</v>
      </c>
      <c r="L472" s="16" t="s">
        <v>17</v>
      </c>
      <c r="M472">
        <v>2022</v>
      </c>
      <c r="N472" t="s">
        <v>396</v>
      </c>
      <c r="O472" t="s">
        <v>19</v>
      </c>
      <c r="P472">
        <v>143</v>
      </c>
      <c r="Q472">
        <f>AVERAGE(Table1[funds_raised_millions])</f>
        <v>470.28289473684208</v>
      </c>
      <c r="R472">
        <f>AVERAGE(Table1[total_laid_off])</f>
        <v>236.96936274509804</v>
      </c>
    </row>
    <row r="473" spans="1:18" x14ac:dyDescent="0.25">
      <c r="A473" s="3" t="s">
        <v>577</v>
      </c>
      <c r="B473" t="s">
        <v>55</v>
      </c>
      <c r="C473" t="s">
        <v>190</v>
      </c>
      <c r="D473">
        <v>60</v>
      </c>
      <c r="E473" s="1">
        <v>0.3</v>
      </c>
      <c r="F473" s="1" t="str">
        <f>IF(Table1[[#This Row],[percentage_laid_off]]=100%,"1","0")</f>
        <v>0</v>
      </c>
      <c r="G473" t="s">
        <v>28</v>
      </c>
      <c r="H473" s="2">
        <v>43926</v>
      </c>
      <c r="I473" s="2" t="str">
        <f>TEXT(Table1[[#This Row],[date]],"dd")</f>
        <v>05</v>
      </c>
      <c r="J473" s="20">
        <f>DATE(2000,MONTH(Table1[[#This Row],[date]]),1)</f>
        <v>36617</v>
      </c>
      <c r="K473" s="18" t="str">
        <f>TEXT(Table1[[#This Row],[date]],"mm")</f>
        <v>04</v>
      </c>
      <c r="L473" s="16" t="s">
        <v>37</v>
      </c>
      <c r="M473">
        <v>2020</v>
      </c>
      <c r="N473" t="s">
        <v>30</v>
      </c>
      <c r="O473" t="s">
        <v>58</v>
      </c>
      <c r="P473">
        <v>106</v>
      </c>
      <c r="Q473">
        <f>AVERAGE(Table1[funds_raised_millions])</f>
        <v>470.28289473684208</v>
      </c>
      <c r="R473">
        <f>AVERAGE(Table1[total_laid_off])</f>
        <v>236.96936274509804</v>
      </c>
    </row>
    <row r="474" spans="1:18" x14ac:dyDescent="0.25">
      <c r="A474" s="3" t="s">
        <v>578</v>
      </c>
      <c r="B474" t="s">
        <v>579</v>
      </c>
      <c r="C474" t="s">
        <v>89</v>
      </c>
      <c r="D474">
        <v>12</v>
      </c>
      <c r="E474" s="1">
        <v>0.16</v>
      </c>
      <c r="F474" s="1" t="str">
        <f>IF(Table1[[#This Row],[percentage_laid_off]]=100%,"1","0")</f>
        <v>0</v>
      </c>
      <c r="G474" t="s">
        <v>28</v>
      </c>
      <c r="H474" s="2">
        <v>43867</v>
      </c>
      <c r="I474" s="2" t="str">
        <f>TEXT(Table1[[#This Row],[date]],"dd")</f>
        <v>06</v>
      </c>
      <c r="J474" s="20">
        <f>DATE(2000,MONTH(Table1[[#This Row],[date]]),1)</f>
        <v>36557</v>
      </c>
      <c r="K474" s="18" t="str">
        <f>TEXT(Table1[[#This Row],[date]],"mm")</f>
        <v>02</v>
      </c>
      <c r="L474" s="16" t="s">
        <v>42</v>
      </c>
      <c r="M474">
        <v>2020</v>
      </c>
      <c r="N474" t="s">
        <v>30</v>
      </c>
      <c r="O474" t="s">
        <v>19</v>
      </c>
      <c r="P474">
        <v>58</v>
      </c>
      <c r="Q474">
        <f>AVERAGE(Table1[funds_raised_millions])</f>
        <v>470.28289473684208</v>
      </c>
      <c r="R474">
        <f>AVERAGE(Table1[total_laid_off])</f>
        <v>236.96936274509804</v>
      </c>
    </row>
    <row r="475" spans="1:18" x14ac:dyDescent="0.25">
      <c r="A475" s="3" t="s">
        <v>580</v>
      </c>
      <c r="B475" t="s">
        <v>88</v>
      </c>
      <c r="C475" t="s">
        <v>161</v>
      </c>
      <c r="D475" t="s">
        <v>15</v>
      </c>
      <c r="E475" s="1">
        <v>0.12</v>
      </c>
      <c r="F475" s="1" t="str">
        <f>IF(Table1[[#This Row],[percentage_laid_off]]=100%,"1","0")</f>
        <v>0</v>
      </c>
      <c r="G475" t="s">
        <v>28</v>
      </c>
      <c r="H475" s="2">
        <v>44725</v>
      </c>
      <c r="I475" s="2" t="str">
        <f>TEXT(Table1[[#This Row],[date]],"dd")</f>
        <v>13</v>
      </c>
      <c r="J475" s="20">
        <f>DATE(2000,MONTH(Table1[[#This Row],[date]]),1)</f>
        <v>36678</v>
      </c>
      <c r="K475" s="18" t="str">
        <f>TEXT(Table1[[#This Row],[date]],"mm")</f>
        <v>06</v>
      </c>
      <c r="L475" s="16" t="s">
        <v>73</v>
      </c>
      <c r="M475">
        <v>2022</v>
      </c>
      <c r="N475" t="s">
        <v>38</v>
      </c>
      <c r="O475" t="s">
        <v>19</v>
      </c>
      <c r="P475">
        <v>811</v>
      </c>
      <c r="Q475">
        <f>AVERAGE(Table1[funds_raised_millions])</f>
        <v>470.28289473684208</v>
      </c>
      <c r="R475">
        <f>AVERAGE(Table1[total_laid_off])</f>
        <v>236.96936274509804</v>
      </c>
    </row>
    <row r="476" spans="1:18" x14ac:dyDescent="0.25">
      <c r="A476" s="3" t="s">
        <v>581</v>
      </c>
      <c r="B476" t="s">
        <v>88</v>
      </c>
      <c r="C476" t="s">
        <v>181</v>
      </c>
      <c r="D476" t="s">
        <v>15</v>
      </c>
      <c r="E476" s="1">
        <v>0.15</v>
      </c>
      <c r="F476" s="1" t="str">
        <f>IF(Table1[[#This Row],[percentage_laid_off]]=100%,"1","0")</f>
        <v>0</v>
      </c>
      <c r="G476" t="s">
        <v>28</v>
      </c>
      <c r="H476" s="2">
        <v>44886</v>
      </c>
      <c r="I476" s="2" t="str">
        <f>TEXT(Table1[[#This Row],[date]],"dd")</f>
        <v>21</v>
      </c>
      <c r="J476" s="20">
        <f>DATE(2000,MONTH(Table1[[#This Row],[date]]),1)</f>
        <v>36831</v>
      </c>
      <c r="K476" s="18" t="str">
        <f>TEXT(Table1[[#This Row],[date]],"mm")</f>
        <v>11</v>
      </c>
      <c r="L476" s="16" t="s">
        <v>23</v>
      </c>
      <c r="M476">
        <v>2022</v>
      </c>
      <c r="N476" t="s">
        <v>100</v>
      </c>
      <c r="O476" t="s">
        <v>19</v>
      </c>
      <c r="P476">
        <v>481</v>
      </c>
      <c r="Q476">
        <f>AVERAGE(Table1[funds_raised_millions])</f>
        <v>470.28289473684208</v>
      </c>
      <c r="R476">
        <f>AVERAGE(Table1[total_laid_off])</f>
        <v>236.96936274509804</v>
      </c>
    </row>
    <row r="477" spans="1:18" x14ac:dyDescent="0.25">
      <c r="A477" s="3" t="s">
        <v>582</v>
      </c>
      <c r="B477" t="s">
        <v>583</v>
      </c>
      <c r="C477" t="s">
        <v>22</v>
      </c>
      <c r="D477">
        <v>5</v>
      </c>
      <c r="E477" s="1">
        <v>0.14000000000000001</v>
      </c>
      <c r="F477" s="1" t="str">
        <f>IF(Table1[[#This Row],[percentage_laid_off]]=100%,"1","0")</f>
        <v>0</v>
      </c>
      <c r="G477" t="s">
        <v>28</v>
      </c>
      <c r="H477" s="2">
        <v>43921</v>
      </c>
      <c r="I477" s="2" t="str">
        <f>TEXT(Table1[[#This Row],[date]],"dd")</f>
        <v>31</v>
      </c>
      <c r="J477" s="20">
        <f>DATE(2000,MONTH(Table1[[#This Row],[date]]),1)</f>
        <v>36586</v>
      </c>
      <c r="K477" s="18" t="str">
        <f>TEXT(Table1[[#This Row],[date]],"mm")</f>
        <v>03</v>
      </c>
      <c r="L477" s="16" t="s">
        <v>57</v>
      </c>
      <c r="M477">
        <v>2020</v>
      </c>
      <c r="N477" t="s">
        <v>30</v>
      </c>
      <c r="O477" t="s">
        <v>19</v>
      </c>
      <c r="P477">
        <v>26</v>
      </c>
      <c r="Q477">
        <f>AVERAGE(Table1[funds_raised_millions])</f>
        <v>470.28289473684208</v>
      </c>
      <c r="R477">
        <f>AVERAGE(Table1[total_laid_off])</f>
        <v>236.96936274509804</v>
      </c>
    </row>
    <row r="478" spans="1:18" x14ac:dyDescent="0.25">
      <c r="A478" s="3" t="s">
        <v>584</v>
      </c>
      <c r="B478" t="s">
        <v>585</v>
      </c>
      <c r="C478" t="s">
        <v>46</v>
      </c>
      <c r="D478">
        <v>10</v>
      </c>
      <c r="E478" s="1">
        <v>0.13</v>
      </c>
      <c r="F478" s="1" t="str">
        <f>IF(Table1[[#This Row],[percentage_laid_off]]=100%,"1","0")</f>
        <v>0</v>
      </c>
      <c r="G478" t="s">
        <v>28</v>
      </c>
      <c r="H478" s="2">
        <v>44603</v>
      </c>
      <c r="I478" s="2" t="str">
        <f>TEXT(Table1[[#This Row],[date]],"dd")</f>
        <v>11</v>
      </c>
      <c r="J478" s="20">
        <f>DATE(2000,MONTH(Table1[[#This Row],[date]]),1)</f>
        <v>36557</v>
      </c>
      <c r="K478" s="18" t="str">
        <f>TEXT(Table1[[#This Row],[date]],"mm")</f>
        <v>02</v>
      </c>
      <c r="L478" s="16" t="s">
        <v>42</v>
      </c>
      <c r="M478">
        <v>2022</v>
      </c>
      <c r="N478" t="s">
        <v>47</v>
      </c>
      <c r="O478" t="s">
        <v>19</v>
      </c>
      <c r="P478" t="s">
        <v>15</v>
      </c>
      <c r="Q478">
        <f>AVERAGE(Table1[funds_raised_millions])</f>
        <v>470.28289473684208</v>
      </c>
      <c r="R478">
        <f>AVERAGE(Table1[total_laid_off])</f>
        <v>236.96936274509804</v>
      </c>
    </row>
    <row r="479" spans="1:18" x14ac:dyDescent="0.25">
      <c r="A479" s="3" t="s">
        <v>586</v>
      </c>
      <c r="B479" t="s">
        <v>192</v>
      </c>
      <c r="C479" t="s">
        <v>46</v>
      </c>
      <c r="D479" t="s">
        <v>15</v>
      </c>
      <c r="E479" s="1">
        <v>1</v>
      </c>
      <c r="F479" s="1" t="str">
        <f>IF(Table1[[#This Row],[percentage_laid_off]]=100%,"1","0")</f>
        <v>1</v>
      </c>
      <c r="G479" t="s">
        <v>114</v>
      </c>
      <c r="H479" s="2">
        <v>44816</v>
      </c>
      <c r="I479" s="2" t="str">
        <f>TEXT(Table1[[#This Row],[date]],"dd")</f>
        <v>12</v>
      </c>
      <c r="J479" s="20">
        <f>DATE(2000,MONTH(Table1[[#This Row],[date]]),1)</f>
        <v>36770</v>
      </c>
      <c r="K479" s="18" t="str">
        <f>TEXT(Table1[[#This Row],[date]],"mm")</f>
        <v>09</v>
      </c>
      <c r="L479" s="16" t="s">
        <v>70</v>
      </c>
      <c r="M479">
        <v>2022</v>
      </c>
      <c r="N479" t="s">
        <v>47</v>
      </c>
      <c r="O479" t="s">
        <v>58</v>
      </c>
      <c r="P479" t="s">
        <v>15</v>
      </c>
      <c r="Q479">
        <f>AVERAGE(Table1[funds_raised_millions])</f>
        <v>470.28289473684208</v>
      </c>
      <c r="R479">
        <f>AVERAGE(Table1[total_laid_off])</f>
        <v>236.96936274509804</v>
      </c>
    </row>
    <row r="480" spans="1:18" x14ac:dyDescent="0.25">
      <c r="A480" s="3" t="s">
        <v>587</v>
      </c>
      <c r="B480" t="s">
        <v>40</v>
      </c>
      <c r="C480" t="s">
        <v>134</v>
      </c>
      <c r="D480">
        <v>200</v>
      </c>
      <c r="E480" s="1">
        <v>0.11</v>
      </c>
      <c r="F480" s="1" t="str">
        <f>IF(Table1[[#This Row],[percentage_laid_off]]=100%,"1","0")</f>
        <v>0</v>
      </c>
      <c r="G480" t="s">
        <v>28</v>
      </c>
      <c r="H480" s="2">
        <v>44972</v>
      </c>
      <c r="I480" s="2" t="str">
        <f>TEXT(Table1[[#This Row],[date]],"dd")</f>
        <v>15</v>
      </c>
      <c r="J480" s="20">
        <f>DATE(2000,MONTH(Table1[[#This Row],[date]]),1)</f>
        <v>36557</v>
      </c>
      <c r="K480" s="18" t="str">
        <f>TEXT(Table1[[#This Row],[date]],"mm")</f>
        <v>02</v>
      </c>
      <c r="L480" s="16" t="s">
        <v>42</v>
      </c>
      <c r="M480">
        <v>2023</v>
      </c>
      <c r="N480" t="s">
        <v>38</v>
      </c>
      <c r="O480" t="s">
        <v>19</v>
      </c>
      <c r="P480">
        <v>491</v>
      </c>
      <c r="Q480">
        <f>AVERAGE(Table1[funds_raised_millions])</f>
        <v>470.28289473684208</v>
      </c>
      <c r="R480">
        <f>AVERAGE(Table1[total_laid_off])</f>
        <v>236.96936274509804</v>
      </c>
    </row>
    <row r="481" spans="1:18" x14ac:dyDescent="0.25">
      <c r="A481" s="3" t="s">
        <v>588</v>
      </c>
      <c r="B481" t="s">
        <v>202</v>
      </c>
      <c r="C481" t="s">
        <v>535</v>
      </c>
      <c r="D481">
        <v>75</v>
      </c>
      <c r="E481" t="s">
        <v>15</v>
      </c>
      <c r="F481" s="1" t="str">
        <f>IF(Table1[[#This Row],[percentage_laid_off]]=100%,"1","0")</f>
        <v>0</v>
      </c>
      <c r="G481" t="b">
        <v>0</v>
      </c>
      <c r="H481" s="2">
        <v>43917</v>
      </c>
      <c r="I481" s="2" t="str">
        <f>TEXT(Table1[[#This Row],[date]],"dd")</f>
        <v>27</v>
      </c>
      <c r="J481" s="20">
        <f>DATE(2000,MONTH(Table1[[#This Row],[date]]),1)</f>
        <v>36586</v>
      </c>
      <c r="K481" s="18" t="str">
        <f>TEXT(Table1[[#This Row],[date]],"mm")</f>
        <v>03</v>
      </c>
      <c r="L481" s="16" t="s">
        <v>57</v>
      </c>
      <c r="M481">
        <v>2020</v>
      </c>
      <c r="N481" t="s">
        <v>18</v>
      </c>
      <c r="O481" t="s">
        <v>19</v>
      </c>
      <c r="P481">
        <v>133</v>
      </c>
      <c r="Q481">
        <f>AVERAGE(Table1[funds_raised_millions])</f>
        <v>470.28289473684208</v>
      </c>
      <c r="R481">
        <f>AVERAGE(Table1[total_laid_off])</f>
        <v>236.96936274509804</v>
      </c>
    </row>
    <row r="482" spans="1:18" x14ac:dyDescent="0.25">
      <c r="A482" s="3" t="s">
        <v>589</v>
      </c>
      <c r="B482" t="s">
        <v>88</v>
      </c>
      <c r="C482" t="s">
        <v>161</v>
      </c>
      <c r="D482" t="s">
        <v>15</v>
      </c>
      <c r="E482" s="1">
        <v>0.38</v>
      </c>
      <c r="F482" s="1" t="str">
        <f>IF(Table1[[#This Row],[percentage_laid_off]]=100%,"1","0")</f>
        <v>0</v>
      </c>
      <c r="G482" t="s">
        <v>28</v>
      </c>
      <c r="H482" s="2">
        <v>43938</v>
      </c>
      <c r="I482" s="2" t="str">
        <f>TEXT(Table1[[#This Row],[date]],"dd")</f>
        <v>17</v>
      </c>
      <c r="J482" s="20">
        <f>DATE(2000,MONTH(Table1[[#This Row],[date]]),1)</f>
        <v>36617</v>
      </c>
      <c r="K482" s="18" t="str">
        <f>TEXT(Table1[[#This Row],[date]],"mm")</f>
        <v>04</v>
      </c>
      <c r="L482" s="16" t="s">
        <v>37</v>
      </c>
      <c r="M482">
        <v>2020</v>
      </c>
      <c r="N482" t="s">
        <v>24</v>
      </c>
      <c r="O482" t="s">
        <v>19</v>
      </c>
      <c r="P482">
        <v>18</v>
      </c>
      <c r="Q482">
        <f>AVERAGE(Table1[funds_raised_millions])</f>
        <v>470.28289473684208</v>
      </c>
      <c r="R482">
        <f>AVERAGE(Table1[total_laid_off])</f>
        <v>236.96936274509804</v>
      </c>
    </row>
    <row r="483" spans="1:18" x14ac:dyDescent="0.25">
      <c r="A483" s="3" t="s">
        <v>590</v>
      </c>
      <c r="B483" t="s">
        <v>33</v>
      </c>
      <c r="C483" t="s">
        <v>69</v>
      </c>
      <c r="D483">
        <v>57</v>
      </c>
      <c r="E483" s="1">
        <v>0.36</v>
      </c>
      <c r="F483" s="1" t="str">
        <f>IF(Table1[[#This Row],[percentage_laid_off]]=100%,"1","0")</f>
        <v>0</v>
      </c>
      <c r="G483" t="s">
        <v>28</v>
      </c>
      <c r="H483" s="2">
        <v>43945</v>
      </c>
      <c r="I483" s="2" t="str">
        <f>TEXT(Table1[[#This Row],[date]],"dd")</f>
        <v>24</v>
      </c>
      <c r="J483" s="20">
        <f>DATE(2000,MONTH(Table1[[#This Row],[date]]),1)</f>
        <v>36617</v>
      </c>
      <c r="K483" s="18" t="str">
        <f>TEXT(Table1[[#This Row],[date]],"mm")</f>
        <v>04</v>
      </c>
      <c r="L483" s="16" t="s">
        <v>37</v>
      </c>
      <c r="M483">
        <v>2020</v>
      </c>
      <c r="N483" t="s">
        <v>30</v>
      </c>
      <c r="O483" t="s">
        <v>19</v>
      </c>
      <c r="P483">
        <v>88</v>
      </c>
      <c r="Q483">
        <f>AVERAGE(Table1[funds_raised_millions])</f>
        <v>470.28289473684208</v>
      </c>
      <c r="R483">
        <f>AVERAGE(Table1[total_laid_off])</f>
        <v>236.96936274509804</v>
      </c>
    </row>
    <row r="484" spans="1:18" x14ac:dyDescent="0.25">
      <c r="A484" s="3" t="s">
        <v>591</v>
      </c>
      <c r="B484" t="s">
        <v>13</v>
      </c>
      <c r="C484" t="s">
        <v>174</v>
      </c>
      <c r="D484" t="s">
        <v>15</v>
      </c>
      <c r="E484" s="1">
        <v>0.08</v>
      </c>
      <c r="F484" s="1" t="str">
        <f>IF(Table1[[#This Row],[percentage_laid_off]]=100%,"1","0")</f>
        <v>0</v>
      </c>
      <c r="G484" t="s">
        <v>16</v>
      </c>
      <c r="H484" s="2">
        <v>43915</v>
      </c>
      <c r="I484" s="2" t="str">
        <f>TEXT(Table1[[#This Row],[date]],"dd")</f>
        <v>25</v>
      </c>
      <c r="J484" s="20">
        <f>DATE(2000,MONTH(Table1[[#This Row],[date]]),1)</f>
        <v>36586</v>
      </c>
      <c r="K484" s="18" t="str">
        <f>TEXT(Table1[[#This Row],[date]],"mm")</f>
        <v>03</v>
      </c>
      <c r="L484" s="16" t="s">
        <v>57</v>
      </c>
      <c r="M484">
        <v>2020</v>
      </c>
      <c r="N484" t="s">
        <v>30</v>
      </c>
      <c r="O484" t="s">
        <v>19</v>
      </c>
      <c r="P484">
        <v>180</v>
      </c>
      <c r="Q484">
        <f>AVERAGE(Table1[funds_raised_millions])</f>
        <v>470.28289473684208</v>
      </c>
      <c r="R484">
        <f>AVERAGE(Table1[total_laid_off])</f>
        <v>236.96936274509804</v>
      </c>
    </row>
    <row r="485" spans="1:18" x14ac:dyDescent="0.25">
      <c r="A485" s="3" t="s">
        <v>591</v>
      </c>
      <c r="B485" t="s">
        <v>13</v>
      </c>
      <c r="C485" t="s">
        <v>174</v>
      </c>
      <c r="D485">
        <v>40</v>
      </c>
      <c r="E485" s="1">
        <v>0.12</v>
      </c>
      <c r="F485" s="1" t="str">
        <f>IF(Table1[[#This Row],[percentage_laid_off]]=100%,"1","0")</f>
        <v>0</v>
      </c>
      <c r="G485" t="s">
        <v>28</v>
      </c>
      <c r="H485" s="2">
        <v>44831</v>
      </c>
      <c r="I485" s="2" t="str">
        <f>TEXT(Table1[[#This Row],[date]],"dd")</f>
        <v>27</v>
      </c>
      <c r="J485" s="20">
        <f>DATE(2000,MONTH(Table1[[#This Row],[date]]),1)</f>
        <v>36770</v>
      </c>
      <c r="K485" s="18" t="str">
        <f>TEXT(Table1[[#This Row],[date]],"mm")</f>
        <v>09</v>
      </c>
      <c r="L485" s="16" t="s">
        <v>70</v>
      </c>
      <c r="M485">
        <v>2022</v>
      </c>
      <c r="N485" t="s">
        <v>30</v>
      </c>
      <c r="O485" t="s">
        <v>19</v>
      </c>
      <c r="P485">
        <v>180</v>
      </c>
      <c r="Q485">
        <f>AVERAGE(Table1[funds_raised_millions])</f>
        <v>470.28289473684208</v>
      </c>
      <c r="R485">
        <f>AVERAGE(Table1[total_laid_off])</f>
        <v>236.96936274509804</v>
      </c>
    </row>
    <row r="486" spans="1:18" x14ac:dyDescent="0.25">
      <c r="A486" s="3" t="s">
        <v>592</v>
      </c>
      <c r="B486" t="s">
        <v>593</v>
      </c>
      <c r="C486" t="s">
        <v>14</v>
      </c>
      <c r="D486">
        <v>62</v>
      </c>
      <c r="E486" t="s">
        <v>15</v>
      </c>
      <c r="F486" s="1" t="str">
        <f>IF(Table1[[#This Row],[percentage_laid_off]]=100%,"1","0")</f>
        <v>0</v>
      </c>
      <c r="G486" t="b">
        <v>0</v>
      </c>
      <c r="H486" s="2">
        <v>44717</v>
      </c>
      <c r="I486" s="2" t="str">
        <f>TEXT(Table1[[#This Row],[date]],"dd")</f>
        <v>05</v>
      </c>
      <c r="J486" s="20">
        <f>DATE(2000,MONTH(Table1[[#This Row],[date]]),1)</f>
        <v>36678</v>
      </c>
      <c r="K486" s="18" t="str">
        <f>TEXT(Table1[[#This Row],[date]],"mm")</f>
        <v>06</v>
      </c>
      <c r="L486" s="16" t="s">
        <v>73</v>
      </c>
      <c r="M486">
        <v>2022</v>
      </c>
      <c r="N486" t="s">
        <v>71</v>
      </c>
      <c r="O486" t="s">
        <v>19</v>
      </c>
      <c r="P486">
        <v>0</v>
      </c>
      <c r="Q486">
        <f>AVERAGE(Table1[funds_raised_millions])</f>
        <v>470.28289473684208</v>
      </c>
      <c r="R486">
        <f>AVERAGE(Table1[total_laid_off])</f>
        <v>236.96936274509804</v>
      </c>
    </row>
    <row r="487" spans="1:18" x14ac:dyDescent="0.25">
      <c r="A487" s="3" t="s">
        <v>594</v>
      </c>
      <c r="B487" t="s">
        <v>45</v>
      </c>
      <c r="C487" t="s">
        <v>82</v>
      </c>
      <c r="D487">
        <v>190</v>
      </c>
      <c r="E487" s="1">
        <v>0.12</v>
      </c>
      <c r="F487" s="1" t="str">
        <f>IF(Table1[[#This Row],[percentage_laid_off]]=100%,"1","0")</f>
        <v>0</v>
      </c>
      <c r="G487" t="s">
        <v>28</v>
      </c>
      <c r="H487" s="2">
        <v>44753</v>
      </c>
      <c r="I487" s="2" t="str">
        <f>TEXT(Table1[[#This Row],[date]],"dd")</f>
        <v>11</v>
      </c>
      <c r="J487" s="20">
        <f>DATE(2000,MONTH(Table1[[#This Row],[date]]),1)</f>
        <v>36708</v>
      </c>
      <c r="K487" s="18" t="str">
        <f>TEXT(Table1[[#This Row],[date]],"mm")</f>
        <v>07</v>
      </c>
      <c r="L487" s="16" t="s">
        <v>17</v>
      </c>
      <c r="M487">
        <v>2022</v>
      </c>
      <c r="N487" t="s">
        <v>117</v>
      </c>
      <c r="O487" t="s">
        <v>48</v>
      </c>
      <c r="P487">
        <v>280</v>
      </c>
      <c r="Q487">
        <f>AVERAGE(Table1[funds_raised_millions])</f>
        <v>470.28289473684208</v>
      </c>
      <c r="R487">
        <f>AVERAGE(Table1[total_laid_off])</f>
        <v>236.96936274509804</v>
      </c>
    </row>
    <row r="488" spans="1:18" x14ac:dyDescent="0.25">
      <c r="A488" s="3" t="s">
        <v>595</v>
      </c>
      <c r="B488" t="s">
        <v>199</v>
      </c>
      <c r="C488" t="s">
        <v>14</v>
      </c>
      <c r="D488">
        <v>8</v>
      </c>
      <c r="E488" s="1">
        <v>0.8</v>
      </c>
      <c r="F488" s="1" t="str">
        <f>IF(Table1[[#This Row],[percentage_laid_off]]=100%,"1","0")</f>
        <v>0</v>
      </c>
      <c r="G488" t="s">
        <v>114</v>
      </c>
      <c r="H488" s="2">
        <v>44062</v>
      </c>
      <c r="I488" s="2" t="str">
        <f>TEXT(Table1[[#This Row],[date]],"dd")</f>
        <v>19</v>
      </c>
      <c r="J488" s="20">
        <f>DATE(2000,MONTH(Table1[[#This Row],[date]]),1)</f>
        <v>36739</v>
      </c>
      <c r="K488" s="18" t="str">
        <f>TEXT(Table1[[#This Row],[date]],"mm")</f>
        <v>08</v>
      </c>
      <c r="L488" s="16" t="s">
        <v>53</v>
      </c>
      <c r="M488">
        <v>2020</v>
      </c>
      <c r="N488" t="s">
        <v>139</v>
      </c>
      <c r="O488" t="s">
        <v>200</v>
      </c>
      <c r="P488">
        <v>16</v>
      </c>
      <c r="Q488">
        <f>AVERAGE(Table1[funds_raised_millions])</f>
        <v>470.28289473684208</v>
      </c>
      <c r="R488">
        <f>AVERAGE(Table1[total_laid_off])</f>
        <v>236.96936274509804</v>
      </c>
    </row>
    <row r="489" spans="1:18" x14ac:dyDescent="0.25">
      <c r="A489" s="3" t="s">
        <v>596</v>
      </c>
      <c r="B489" t="s">
        <v>13</v>
      </c>
      <c r="C489" t="s">
        <v>60</v>
      </c>
      <c r="D489">
        <v>671</v>
      </c>
      <c r="E489" s="1">
        <v>0.09</v>
      </c>
      <c r="F489" s="1" t="str">
        <f>IF(Table1[[#This Row],[percentage_laid_off]]=100%,"1","0")</f>
        <v>0</v>
      </c>
      <c r="G489" t="s">
        <v>16</v>
      </c>
      <c r="H489" s="2">
        <v>44832</v>
      </c>
      <c r="I489" s="2" t="str">
        <f>TEXT(Table1[[#This Row],[date]],"dd")</f>
        <v>28</v>
      </c>
      <c r="J489" s="20">
        <f>DATE(2000,MONTH(Table1[[#This Row],[date]]),1)</f>
        <v>36770</v>
      </c>
      <c r="K489" s="18" t="str">
        <f>TEXT(Table1[[#This Row],[date]],"mm")</f>
        <v>09</v>
      </c>
      <c r="L489" s="16" t="s">
        <v>70</v>
      </c>
      <c r="M489">
        <v>2022</v>
      </c>
      <c r="N489" t="s">
        <v>38</v>
      </c>
      <c r="O489" t="s">
        <v>19</v>
      </c>
      <c r="P489">
        <v>536</v>
      </c>
      <c r="Q489">
        <f>AVERAGE(Table1[funds_raised_millions])</f>
        <v>470.28289473684208</v>
      </c>
      <c r="R489">
        <f>AVERAGE(Table1[total_laid_off])</f>
        <v>236.96936274509804</v>
      </c>
    </row>
    <row r="490" spans="1:18" x14ac:dyDescent="0.25">
      <c r="A490" s="3" t="s">
        <v>596</v>
      </c>
      <c r="B490" t="s">
        <v>13</v>
      </c>
      <c r="C490" t="s">
        <v>60</v>
      </c>
      <c r="D490">
        <v>680</v>
      </c>
      <c r="E490" s="1">
        <v>0.1</v>
      </c>
      <c r="F490" s="1" t="str">
        <f>IF(Table1[[#This Row],[percentage_laid_off]]=100%,"1","0")</f>
        <v>0</v>
      </c>
      <c r="G490" t="s">
        <v>16</v>
      </c>
      <c r="H490" s="2">
        <v>44973</v>
      </c>
      <c r="I490" s="2" t="str">
        <f>TEXT(Table1[[#This Row],[date]],"dd")</f>
        <v>16</v>
      </c>
      <c r="J490" s="20">
        <f>DATE(2000,MONTH(Table1[[#This Row],[date]]),1)</f>
        <v>36557</v>
      </c>
      <c r="K490" s="18" t="str">
        <f>TEXT(Table1[[#This Row],[date]],"mm")</f>
        <v>02</v>
      </c>
      <c r="L490" s="16" t="s">
        <v>42</v>
      </c>
      <c r="M490">
        <v>2023</v>
      </c>
      <c r="N490" t="s">
        <v>38</v>
      </c>
      <c r="O490" t="s">
        <v>19</v>
      </c>
      <c r="P490">
        <v>536</v>
      </c>
      <c r="Q490">
        <f>AVERAGE(Table1[funds_raised_millions])</f>
        <v>470.28289473684208</v>
      </c>
      <c r="R490">
        <f>AVERAGE(Table1[total_laid_off])</f>
        <v>236.96936274509804</v>
      </c>
    </row>
    <row r="491" spans="1:18" x14ac:dyDescent="0.25">
      <c r="A491" s="3" t="s">
        <v>597</v>
      </c>
      <c r="B491" t="s">
        <v>13</v>
      </c>
      <c r="C491" t="s">
        <v>82</v>
      </c>
      <c r="D491">
        <v>250</v>
      </c>
      <c r="E491" s="1">
        <v>0.13</v>
      </c>
      <c r="F491" s="1" t="str">
        <f>IF(Table1[[#This Row],[percentage_laid_off]]=100%,"1","0")</f>
        <v>0</v>
      </c>
      <c r="G491" t="s">
        <v>28</v>
      </c>
      <c r="H491" s="2">
        <v>44659</v>
      </c>
      <c r="I491" s="2" t="str">
        <f>TEXT(Table1[[#This Row],[date]],"dd")</f>
        <v>08</v>
      </c>
      <c r="J491" s="20">
        <f>DATE(2000,MONTH(Table1[[#This Row],[date]]),1)</f>
        <v>36617</v>
      </c>
      <c r="K491" s="18" t="str">
        <f>TEXT(Table1[[#This Row],[date]],"mm")</f>
        <v>04</v>
      </c>
      <c r="L491" s="16" t="s">
        <v>37</v>
      </c>
      <c r="M491">
        <v>2022</v>
      </c>
      <c r="N491" t="s">
        <v>38</v>
      </c>
      <c r="O491" t="s">
        <v>19</v>
      </c>
      <c r="P491">
        <v>679</v>
      </c>
      <c r="Q491">
        <f>AVERAGE(Table1[funds_raised_millions])</f>
        <v>470.28289473684208</v>
      </c>
      <c r="R491">
        <f>AVERAGE(Table1[total_laid_off])</f>
        <v>236.96936274509804</v>
      </c>
    </row>
    <row r="492" spans="1:18" x14ac:dyDescent="0.25">
      <c r="A492" s="3" t="s">
        <v>597</v>
      </c>
      <c r="B492" t="s">
        <v>13</v>
      </c>
      <c r="C492" t="s">
        <v>82</v>
      </c>
      <c r="D492">
        <v>310</v>
      </c>
      <c r="E492" s="1">
        <v>0.15</v>
      </c>
      <c r="F492" s="1" t="str">
        <f>IF(Table1[[#This Row],[percentage_laid_off]]=100%,"1","0")</f>
        <v>0</v>
      </c>
      <c r="G492" t="s">
        <v>28</v>
      </c>
      <c r="H492" s="2">
        <v>44839</v>
      </c>
      <c r="I492" s="2" t="str">
        <f>TEXT(Table1[[#This Row],[date]],"dd")</f>
        <v>05</v>
      </c>
      <c r="J492" s="20">
        <f>DATE(2000,MONTH(Table1[[#This Row],[date]]),1)</f>
        <v>36800</v>
      </c>
      <c r="K492" s="18" t="str">
        <f>TEXT(Table1[[#This Row],[date]],"mm")</f>
        <v>10</v>
      </c>
      <c r="L492" s="16" t="s">
        <v>95</v>
      </c>
      <c r="M492">
        <v>2022</v>
      </c>
      <c r="N492" t="s">
        <v>38</v>
      </c>
      <c r="O492" t="s">
        <v>19</v>
      </c>
      <c r="P492">
        <v>679</v>
      </c>
      <c r="Q492">
        <f>AVERAGE(Table1[funds_raised_millions])</f>
        <v>470.28289473684208</v>
      </c>
      <c r="R492">
        <f>AVERAGE(Table1[total_laid_off])</f>
        <v>236.96936274509804</v>
      </c>
    </row>
    <row r="493" spans="1:18" x14ac:dyDescent="0.25">
      <c r="A493" s="3" t="s">
        <v>597</v>
      </c>
      <c r="B493" t="s">
        <v>13</v>
      </c>
      <c r="C493" t="s">
        <v>82</v>
      </c>
      <c r="D493">
        <v>515</v>
      </c>
      <c r="E493" s="1">
        <v>0.4</v>
      </c>
      <c r="F493" s="1" t="str">
        <f>IF(Table1[[#This Row],[percentage_laid_off]]=100%,"1","0")</f>
        <v>0</v>
      </c>
      <c r="G493" t="s">
        <v>28</v>
      </c>
      <c r="H493" s="2">
        <v>44724</v>
      </c>
      <c r="I493" s="2" t="str">
        <f>TEXT(Table1[[#This Row],[date]],"dd")</f>
        <v>12</v>
      </c>
      <c r="J493" s="20">
        <f>DATE(2000,MONTH(Table1[[#This Row],[date]]),1)</f>
        <v>36678</v>
      </c>
      <c r="K493" s="18" t="str">
        <f>TEXT(Table1[[#This Row],[date]],"mm")</f>
        <v>06</v>
      </c>
      <c r="L493" s="16" t="s">
        <v>73</v>
      </c>
      <c r="M493">
        <v>2022</v>
      </c>
      <c r="N493" t="s">
        <v>38</v>
      </c>
      <c r="O493" t="s">
        <v>19</v>
      </c>
      <c r="P493">
        <v>679</v>
      </c>
      <c r="Q493">
        <f>AVERAGE(Table1[funds_raised_millions])</f>
        <v>470.28289473684208</v>
      </c>
      <c r="R493">
        <f>AVERAGE(Table1[total_laid_off])</f>
        <v>236.96936274509804</v>
      </c>
    </row>
    <row r="494" spans="1:18" x14ac:dyDescent="0.25">
      <c r="A494" s="3" t="s">
        <v>598</v>
      </c>
      <c r="B494" t="s">
        <v>13</v>
      </c>
      <c r="C494" t="s">
        <v>51</v>
      </c>
      <c r="D494">
        <v>150</v>
      </c>
      <c r="E494" s="1">
        <v>0.19</v>
      </c>
      <c r="F494" s="1" t="str">
        <f>IF(Table1[[#This Row],[percentage_laid_off]]=100%,"1","0")</f>
        <v>0</v>
      </c>
      <c r="G494" t="s">
        <v>28</v>
      </c>
      <c r="H494" s="2">
        <v>44679</v>
      </c>
      <c r="I494" s="2" t="str">
        <f>TEXT(Table1[[#This Row],[date]],"dd")</f>
        <v>28</v>
      </c>
      <c r="J494" s="20">
        <f>DATE(2000,MONTH(Table1[[#This Row],[date]]),1)</f>
        <v>36617</v>
      </c>
      <c r="K494" s="18" t="str">
        <f>TEXT(Table1[[#This Row],[date]],"mm")</f>
        <v>04</v>
      </c>
      <c r="L494" s="16" t="s">
        <v>37</v>
      </c>
      <c r="M494">
        <v>2022</v>
      </c>
      <c r="N494" t="s">
        <v>43</v>
      </c>
      <c r="O494" t="s">
        <v>19</v>
      </c>
      <c r="P494">
        <v>130</v>
      </c>
      <c r="Q494">
        <f>AVERAGE(Table1[funds_raised_millions])</f>
        <v>470.28289473684208</v>
      </c>
      <c r="R494">
        <f>AVERAGE(Table1[total_laid_off])</f>
        <v>236.96936274509804</v>
      </c>
    </row>
    <row r="495" spans="1:18" x14ac:dyDescent="0.25">
      <c r="A495" s="3" t="s">
        <v>599</v>
      </c>
      <c r="B495" t="s">
        <v>13</v>
      </c>
      <c r="C495" t="s">
        <v>89</v>
      </c>
      <c r="D495" t="s">
        <v>15</v>
      </c>
      <c r="E495" s="1">
        <v>0.25</v>
      </c>
      <c r="F495" s="1" t="str">
        <f>IF(Table1[[#This Row],[percentage_laid_off]]=100%,"1","0")</f>
        <v>0</v>
      </c>
      <c r="G495" t="s">
        <v>28</v>
      </c>
      <c r="H495" s="2">
        <v>44753</v>
      </c>
      <c r="I495" s="2" t="str">
        <f>TEXT(Table1[[#This Row],[date]],"dd")</f>
        <v>11</v>
      </c>
      <c r="J495" s="20">
        <f>DATE(2000,MONTH(Table1[[#This Row],[date]]),1)</f>
        <v>36708</v>
      </c>
      <c r="K495" s="18" t="str">
        <f>TEXT(Table1[[#This Row],[date]],"mm")</f>
        <v>07</v>
      </c>
      <c r="L495" s="16" t="s">
        <v>17</v>
      </c>
      <c r="M495">
        <v>2022</v>
      </c>
      <c r="N495" t="s">
        <v>100</v>
      </c>
      <c r="O495" t="s">
        <v>19</v>
      </c>
      <c r="P495">
        <v>223</v>
      </c>
      <c r="Q495">
        <f>AVERAGE(Table1[funds_raised_millions])</f>
        <v>470.28289473684208</v>
      </c>
      <c r="R495">
        <f>AVERAGE(Table1[total_laid_off])</f>
        <v>236.96936274509804</v>
      </c>
    </row>
    <row r="496" spans="1:18" x14ac:dyDescent="0.25">
      <c r="A496" s="3" t="s">
        <v>600</v>
      </c>
      <c r="B496" t="s">
        <v>40</v>
      </c>
      <c r="C496" t="s">
        <v>174</v>
      </c>
      <c r="D496" t="s">
        <v>15</v>
      </c>
      <c r="E496" s="1">
        <v>0.5</v>
      </c>
      <c r="F496" s="1" t="str">
        <f>IF(Table1[[#This Row],[percentage_laid_off]]=100%,"1","0")</f>
        <v>0</v>
      </c>
      <c r="G496" t="s">
        <v>28</v>
      </c>
      <c r="H496" s="2">
        <v>44153</v>
      </c>
      <c r="I496" s="2" t="str">
        <f>TEXT(Table1[[#This Row],[date]],"dd")</f>
        <v>18</v>
      </c>
      <c r="J496" s="20">
        <f>DATE(2000,MONTH(Table1[[#This Row],[date]]),1)</f>
        <v>36831</v>
      </c>
      <c r="K496" s="18" t="str">
        <f>TEXT(Table1[[#This Row],[date]],"mm")</f>
        <v>11</v>
      </c>
      <c r="L496" s="16" t="s">
        <v>23</v>
      </c>
      <c r="M496">
        <v>2020</v>
      </c>
      <c r="N496" t="s">
        <v>30</v>
      </c>
      <c r="O496" t="s">
        <v>19</v>
      </c>
      <c r="P496">
        <v>116</v>
      </c>
      <c r="Q496">
        <f>AVERAGE(Table1[funds_raised_millions])</f>
        <v>470.28289473684208</v>
      </c>
      <c r="R496">
        <f>AVERAGE(Table1[total_laid_off])</f>
        <v>236.96936274509804</v>
      </c>
    </row>
    <row r="497" spans="1:18" x14ac:dyDescent="0.25">
      <c r="A497" s="3" t="s">
        <v>600</v>
      </c>
      <c r="B497" t="s">
        <v>40</v>
      </c>
      <c r="C497" t="s">
        <v>112</v>
      </c>
      <c r="D497" t="s">
        <v>15</v>
      </c>
      <c r="E497" s="1">
        <v>0.3</v>
      </c>
      <c r="F497" s="1" t="str">
        <f>IF(Table1[[#This Row],[percentage_laid_off]]=100%,"1","0")</f>
        <v>0</v>
      </c>
      <c r="G497" t="s">
        <v>28</v>
      </c>
      <c r="H497" s="2">
        <v>43921</v>
      </c>
      <c r="I497" s="2" t="str">
        <f>TEXT(Table1[[#This Row],[date]],"dd")</f>
        <v>31</v>
      </c>
      <c r="J497" s="20">
        <f>DATE(2000,MONTH(Table1[[#This Row],[date]]),1)</f>
        <v>36586</v>
      </c>
      <c r="K497" s="18" t="str">
        <f>TEXT(Table1[[#This Row],[date]],"mm")</f>
        <v>03</v>
      </c>
      <c r="L497" s="16" t="s">
        <v>57</v>
      </c>
      <c r="M497">
        <v>2020</v>
      </c>
      <c r="N497" t="s">
        <v>30</v>
      </c>
      <c r="O497" t="s">
        <v>19</v>
      </c>
      <c r="P497">
        <v>116</v>
      </c>
      <c r="Q497">
        <f>AVERAGE(Table1[funds_raised_millions])</f>
        <v>470.28289473684208</v>
      </c>
      <c r="R497">
        <f>AVERAGE(Table1[total_laid_off])</f>
        <v>236.96936274509804</v>
      </c>
    </row>
    <row r="498" spans="1:18" x14ac:dyDescent="0.25">
      <c r="A498" s="3" t="s">
        <v>601</v>
      </c>
      <c r="B498" t="s">
        <v>103</v>
      </c>
      <c r="C498" t="s">
        <v>89</v>
      </c>
      <c r="D498">
        <v>90</v>
      </c>
      <c r="E498" s="1">
        <v>0.1</v>
      </c>
      <c r="F498" s="1" t="str">
        <f>IF(Table1[[#This Row],[percentage_laid_off]]=100%,"1","0")</f>
        <v>0</v>
      </c>
      <c r="G498" t="s">
        <v>16</v>
      </c>
      <c r="H498" s="2">
        <v>44078</v>
      </c>
      <c r="I498" s="2" t="str">
        <f>TEXT(Table1[[#This Row],[date]],"dd")</f>
        <v>04</v>
      </c>
      <c r="J498" s="20">
        <f>DATE(2000,MONTH(Table1[[#This Row],[date]]),1)</f>
        <v>36770</v>
      </c>
      <c r="K498" s="18" t="str">
        <f>TEXT(Table1[[#This Row],[date]],"mm")</f>
        <v>09</v>
      </c>
      <c r="L498" s="16" t="s">
        <v>70</v>
      </c>
      <c r="M498">
        <v>2020</v>
      </c>
      <c r="N498" t="s">
        <v>38</v>
      </c>
      <c r="O498" t="s">
        <v>19</v>
      </c>
      <c r="P498">
        <v>689</v>
      </c>
      <c r="Q498">
        <f>AVERAGE(Table1[funds_raised_millions])</f>
        <v>470.28289473684208</v>
      </c>
      <c r="R498">
        <f>AVERAGE(Table1[total_laid_off])</f>
        <v>236.96936274509804</v>
      </c>
    </row>
    <row r="499" spans="1:18" x14ac:dyDescent="0.25">
      <c r="A499" s="3" t="s">
        <v>602</v>
      </c>
      <c r="B499" t="s">
        <v>75</v>
      </c>
      <c r="C499" t="s">
        <v>60</v>
      </c>
      <c r="D499">
        <v>12</v>
      </c>
      <c r="E499" t="s">
        <v>15</v>
      </c>
      <c r="F499" s="1" t="str">
        <f>IF(Table1[[#This Row],[percentage_laid_off]]=100%,"1","0")</f>
        <v>0</v>
      </c>
      <c r="G499" t="b">
        <v>0</v>
      </c>
      <c r="H499" s="2">
        <v>44812</v>
      </c>
      <c r="I499" s="2" t="str">
        <f>TEXT(Table1[[#This Row],[date]],"dd")</f>
        <v>08</v>
      </c>
      <c r="J499" s="20">
        <f>DATE(2000,MONTH(Table1[[#This Row],[date]]),1)</f>
        <v>36770</v>
      </c>
      <c r="K499" s="18" t="str">
        <f>TEXT(Table1[[#This Row],[date]],"mm")</f>
        <v>09</v>
      </c>
      <c r="L499" s="16" t="s">
        <v>70</v>
      </c>
      <c r="M499">
        <v>2022</v>
      </c>
      <c r="N499" t="s">
        <v>30</v>
      </c>
      <c r="O499" t="s">
        <v>31</v>
      </c>
      <c r="P499">
        <v>102</v>
      </c>
      <c r="Q499">
        <f>AVERAGE(Table1[funds_raised_millions])</f>
        <v>470.28289473684208</v>
      </c>
      <c r="R499">
        <f>AVERAGE(Table1[total_laid_off])</f>
        <v>236.96936274509804</v>
      </c>
    </row>
    <row r="500" spans="1:18" x14ac:dyDescent="0.25">
      <c r="A500" s="3" t="s">
        <v>603</v>
      </c>
      <c r="B500" t="s">
        <v>13</v>
      </c>
      <c r="C500" t="s">
        <v>64</v>
      </c>
      <c r="D500">
        <v>1250</v>
      </c>
      <c r="E500" s="1">
        <v>0.06</v>
      </c>
      <c r="F500" s="1" t="str">
        <f>IF(Table1[[#This Row],[percentage_laid_off]]=100%,"1","0")</f>
        <v>0</v>
      </c>
      <c r="G500" t="s">
        <v>16</v>
      </c>
      <c r="H500" s="2">
        <v>44895</v>
      </c>
      <c r="I500" s="2" t="str">
        <f>TEXT(Table1[[#This Row],[date]],"dd")</f>
        <v>30</v>
      </c>
      <c r="J500" s="20">
        <f>DATE(2000,MONTH(Table1[[#This Row],[date]]),1)</f>
        <v>36831</v>
      </c>
      <c r="K500" s="18" t="str">
        <f>TEXT(Table1[[#This Row],[date]],"mm")</f>
        <v>11</v>
      </c>
      <c r="L500" s="16" t="s">
        <v>23</v>
      </c>
      <c r="M500">
        <v>2022</v>
      </c>
      <c r="N500" t="s">
        <v>38</v>
      </c>
      <c r="O500" t="s">
        <v>19</v>
      </c>
      <c r="P500">
        <v>2500</v>
      </c>
      <c r="Q500">
        <f>AVERAGE(Table1[funds_raised_millions])</f>
        <v>470.28289473684208</v>
      </c>
      <c r="R500">
        <f>AVERAGE(Table1[total_laid_off])</f>
        <v>236.96936274509804</v>
      </c>
    </row>
    <row r="501" spans="1:18" x14ac:dyDescent="0.25">
      <c r="A501" s="3" t="s">
        <v>604</v>
      </c>
      <c r="B501" t="s">
        <v>199</v>
      </c>
      <c r="C501" t="s">
        <v>123</v>
      </c>
      <c r="D501">
        <v>10</v>
      </c>
      <c r="E501" s="1">
        <v>1</v>
      </c>
      <c r="F501" s="1" t="str">
        <f>IF(Table1[[#This Row],[percentage_laid_off]]=100%,"1","0")</f>
        <v>1</v>
      </c>
      <c r="G501" t="s">
        <v>114</v>
      </c>
      <c r="H501" s="2">
        <v>43970</v>
      </c>
      <c r="I501" s="2" t="str">
        <f>TEXT(Table1[[#This Row],[date]],"dd")</f>
        <v>19</v>
      </c>
      <c r="J501" s="20">
        <f>DATE(2000,MONTH(Table1[[#This Row],[date]]),1)</f>
        <v>36647</v>
      </c>
      <c r="K501" s="18" t="str">
        <f>TEXT(Table1[[#This Row],[date]],"mm")</f>
        <v>05</v>
      </c>
      <c r="L501" s="16" t="s">
        <v>86</v>
      </c>
      <c r="M501">
        <v>2020</v>
      </c>
      <c r="N501" t="s">
        <v>47</v>
      </c>
      <c r="O501" t="s">
        <v>200</v>
      </c>
      <c r="P501" t="s">
        <v>15</v>
      </c>
      <c r="Q501">
        <f>AVERAGE(Table1[funds_raised_millions])</f>
        <v>470.28289473684208</v>
      </c>
      <c r="R501">
        <f>AVERAGE(Table1[total_laid_off])</f>
        <v>236.96936274509804</v>
      </c>
    </row>
    <row r="502" spans="1:18" x14ac:dyDescent="0.25">
      <c r="A502" s="3" t="s">
        <v>605</v>
      </c>
      <c r="B502" t="s">
        <v>13</v>
      </c>
      <c r="C502" t="s">
        <v>167</v>
      </c>
      <c r="D502">
        <v>23</v>
      </c>
      <c r="E502" s="1">
        <v>0.3</v>
      </c>
      <c r="F502" s="1" t="str">
        <f>IF(Table1[[#This Row],[percentage_laid_off]]=100%,"1","0")</f>
        <v>0</v>
      </c>
      <c r="G502" t="s">
        <v>28</v>
      </c>
      <c r="H502" s="2">
        <v>44768</v>
      </c>
      <c r="I502" s="2" t="str">
        <f>TEXT(Table1[[#This Row],[date]],"dd")</f>
        <v>26</v>
      </c>
      <c r="J502" s="20">
        <f>DATE(2000,MONTH(Table1[[#This Row],[date]]),1)</f>
        <v>36708</v>
      </c>
      <c r="K502" s="18" t="str">
        <f>TEXT(Table1[[#This Row],[date]],"mm")</f>
        <v>07</v>
      </c>
      <c r="L502" s="16" t="s">
        <v>17</v>
      </c>
      <c r="M502">
        <v>2022</v>
      </c>
      <c r="N502" t="s">
        <v>24</v>
      </c>
      <c r="O502" t="s">
        <v>19</v>
      </c>
      <c r="P502">
        <v>22</v>
      </c>
      <c r="Q502">
        <f>AVERAGE(Table1[funds_raised_millions])</f>
        <v>470.28289473684208</v>
      </c>
      <c r="R502">
        <f>AVERAGE(Table1[total_laid_off])</f>
        <v>236.96936274509804</v>
      </c>
    </row>
    <row r="503" spans="1:18" x14ac:dyDescent="0.25">
      <c r="A503" s="3" t="s">
        <v>606</v>
      </c>
      <c r="B503" t="s">
        <v>88</v>
      </c>
      <c r="C503" t="s">
        <v>34</v>
      </c>
      <c r="D503">
        <v>140</v>
      </c>
      <c r="E503" s="1">
        <v>0.04</v>
      </c>
      <c r="F503" s="1" t="str">
        <f>IF(Table1[[#This Row],[percentage_laid_off]]=100%,"1","0")</f>
        <v>0</v>
      </c>
      <c r="G503" t="s">
        <v>16</v>
      </c>
      <c r="H503" s="2">
        <v>44928</v>
      </c>
      <c r="I503" s="2" t="str">
        <f>TEXT(Table1[[#This Row],[date]],"dd")</f>
        <v>02</v>
      </c>
      <c r="J503" s="20">
        <f>DATE(2000,MONTH(Table1[[#This Row],[date]]),1)</f>
        <v>36526</v>
      </c>
      <c r="K503" s="18" t="str">
        <f>TEXT(Table1[[#This Row],[date]],"mm")</f>
        <v>01</v>
      </c>
      <c r="L503" s="16" t="s">
        <v>29</v>
      </c>
      <c r="M503">
        <v>2023</v>
      </c>
      <c r="N503" t="s">
        <v>38</v>
      </c>
      <c r="O503" t="s">
        <v>19</v>
      </c>
      <c r="P503">
        <v>719</v>
      </c>
      <c r="Q503">
        <f>AVERAGE(Table1[funds_raised_millions])</f>
        <v>470.28289473684208</v>
      </c>
      <c r="R503">
        <f>AVERAGE(Table1[total_laid_off])</f>
        <v>236.96936274509804</v>
      </c>
    </row>
    <row r="504" spans="1:18" x14ac:dyDescent="0.25">
      <c r="A504" s="3" t="s">
        <v>607</v>
      </c>
      <c r="B504" t="s">
        <v>88</v>
      </c>
      <c r="C504" t="s">
        <v>22</v>
      </c>
      <c r="D504">
        <v>59</v>
      </c>
      <c r="E504" t="s">
        <v>15</v>
      </c>
      <c r="F504" s="1" t="str">
        <f>IF(Table1[[#This Row],[percentage_laid_off]]=100%,"1","0")</f>
        <v>0</v>
      </c>
      <c r="G504" t="b">
        <v>0</v>
      </c>
      <c r="H504" s="2">
        <v>45079</v>
      </c>
      <c r="I504" s="2" t="str">
        <f>TEXT(Table1[[#This Row],[date]],"dd")</f>
        <v>02</v>
      </c>
      <c r="J504" s="20">
        <f>DATE(2000,MONTH(Table1[[#This Row],[date]]),1)</f>
        <v>36678</v>
      </c>
      <c r="K504" s="18" t="str">
        <f>TEXT(Table1[[#This Row],[date]],"mm")</f>
        <v>06</v>
      </c>
      <c r="L504" s="16" t="s">
        <v>73</v>
      </c>
      <c r="M504">
        <v>2023</v>
      </c>
      <c r="N504" t="s">
        <v>71</v>
      </c>
      <c r="O504" t="s">
        <v>19</v>
      </c>
      <c r="P504">
        <v>107</v>
      </c>
      <c r="Q504">
        <f>AVERAGE(Table1[funds_raised_millions])</f>
        <v>470.28289473684208</v>
      </c>
      <c r="R504">
        <f>AVERAGE(Table1[total_laid_off])</f>
        <v>236.96936274509804</v>
      </c>
    </row>
    <row r="505" spans="1:18" x14ac:dyDescent="0.25">
      <c r="A505" s="3" t="s">
        <v>608</v>
      </c>
      <c r="B505" t="s">
        <v>103</v>
      </c>
      <c r="C505" t="s">
        <v>22</v>
      </c>
      <c r="D505">
        <v>20</v>
      </c>
      <c r="E505" t="s">
        <v>15</v>
      </c>
      <c r="F505" s="1" t="str">
        <f>IF(Table1[[#This Row],[percentage_laid_off]]=100%,"1","0")</f>
        <v>0</v>
      </c>
      <c r="G505" t="b">
        <v>0</v>
      </c>
      <c r="H505" s="2">
        <v>43913</v>
      </c>
      <c r="I505" s="2" t="str">
        <f>TEXT(Table1[[#This Row],[date]],"dd")</f>
        <v>23</v>
      </c>
      <c r="J505" s="20">
        <f>DATE(2000,MONTH(Table1[[#This Row],[date]]),1)</f>
        <v>36586</v>
      </c>
      <c r="K505" s="18" t="str">
        <f>TEXT(Table1[[#This Row],[date]],"mm")</f>
        <v>03</v>
      </c>
      <c r="L505" s="16" t="s">
        <v>57</v>
      </c>
      <c r="M505">
        <v>2020</v>
      </c>
      <c r="N505" t="s">
        <v>71</v>
      </c>
      <c r="O505" t="s">
        <v>19</v>
      </c>
      <c r="P505">
        <v>0</v>
      </c>
      <c r="Q505">
        <f>AVERAGE(Table1[funds_raised_millions])</f>
        <v>470.28289473684208</v>
      </c>
      <c r="R505">
        <f>AVERAGE(Table1[total_laid_off])</f>
        <v>236.96936274509804</v>
      </c>
    </row>
    <row r="506" spans="1:18" x14ac:dyDescent="0.25">
      <c r="A506" s="3" t="s">
        <v>609</v>
      </c>
      <c r="B506" t="s">
        <v>610</v>
      </c>
      <c r="C506" t="s">
        <v>82</v>
      </c>
      <c r="D506" t="s">
        <v>15</v>
      </c>
      <c r="E506" s="1">
        <v>0.2</v>
      </c>
      <c r="F506" s="1" t="str">
        <f>IF(Table1[[#This Row],[percentage_laid_off]]=100%,"1","0")</f>
        <v>0</v>
      </c>
      <c r="G506" t="s">
        <v>28</v>
      </c>
      <c r="H506" s="2">
        <v>44952</v>
      </c>
      <c r="I506" s="2" t="str">
        <f>TEXT(Table1[[#This Row],[date]],"dd")</f>
        <v>26</v>
      </c>
      <c r="J506" s="20">
        <f>DATE(2000,MONTH(Table1[[#This Row],[date]]),1)</f>
        <v>36526</v>
      </c>
      <c r="K506" s="18" t="str">
        <f>TEXT(Table1[[#This Row],[date]],"mm")</f>
        <v>01</v>
      </c>
      <c r="L506" s="16" t="s">
        <v>29</v>
      </c>
      <c r="M506">
        <v>2023</v>
      </c>
      <c r="N506" t="s">
        <v>43</v>
      </c>
      <c r="O506" t="s">
        <v>19</v>
      </c>
      <c r="P506">
        <v>550</v>
      </c>
      <c r="Q506">
        <f>AVERAGE(Table1[funds_raised_millions])</f>
        <v>470.28289473684208</v>
      </c>
      <c r="R506">
        <f>AVERAGE(Table1[total_laid_off])</f>
        <v>236.96936274509804</v>
      </c>
    </row>
    <row r="507" spans="1:18" x14ac:dyDescent="0.25">
      <c r="A507" s="3" t="s">
        <v>611</v>
      </c>
      <c r="B507" t="s">
        <v>27</v>
      </c>
      <c r="C507" t="s">
        <v>22</v>
      </c>
      <c r="D507">
        <v>24</v>
      </c>
      <c r="E507" t="s">
        <v>15</v>
      </c>
      <c r="F507" s="1" t="str">
        <f>IF(Table1[[#This Row],[percentage_laid_off]]=100%,"1","0")</f>
        <v>0</v>
      </c>
      <c r="G507" t="b">
        <v>0</v>
      </c>
      <c r="H507" s="2">
        <v>44572</v>
      </c>
      <c r="I507" s="2" t="str">
        <f>TEXT(Table1[[#This Row],[date]],"dd")</f>
        <v>11</v>
      </c>
      <c r="J507" s="20">
        <f>DATE(2000,MONTH(Table1[[#This Row],[date]]),1)</f>
        <v>36526</v>
      </c>
      <c r="K507" s="18" t="str">
        <f>TEXT(Table1[[#This Row],[date]],"mm")</f>
        <v>01</v>
      </c>
      <c r="L507" s="16" t="s">
        <v>29</v>
      </c>
      <c r="M507">
        <v>2022</v>
      </c>
      <c r="N507" t="s">
        <v>30</v>
      </c>
      <c r="O507" t="s">
        <v>31</v>
      </c>
      <c r="P507">
        <v>56</v>
      </c>
      <c r="Q507">
        <f>AVERAGE(Table1[funds_raised_millions])</f>
        <v>470.28289473684208</v>
      </c>
      <c r="R507">
        <f>AVERAGE(Table1[total_laid_off])</f>
        <v>236.96936274509804</v>
      </c>
    </row>
    <row r="508" spans="1:18" x14ac:dyDescent="0.25">
      <c r="A508" s="3" t="s">
        <v>612</v>
      </c>
      <c r="B508" t="s">
        <v>13</v>
      </c>
      <c r="C508" t="s">
        <v>161</v>
      </c>
      <c r="D508">
        <v>315</v>
      </c>
      <c r="E508" s="1">
        <v>0.15</v>
      </c>
      <c r="F508" s="1" t="str">
        <f>IF(Table1[[#This Row],[percentage_laid_off]]=100%,"1","0")</f>
        <v>0</v>
      </c>
      <c r="G508" t="s">
        <v>28</v>
      </c>
      <c r="H508" s="2">
        <v>44209</v>
      </c>
      <c r="I508" s="2" t="str">
        <f>TEXT(Table1[[#This Row],[date]],"dd")</f>
        <v>13</v>
      </c>
      <c r="J508" s="20">
        <f>DATE(2000,MONTH(Table1[[#This Row],[date]]),1)</f>
        <v>36526</v>
      </c>
      <c r="K508" s="18" t="str">
        <f>TEXT(Table1[[#This Row],[date]],"mm")</f>
        <v>01</v>
      </c>
      <c r="L508" s="16" t="s">
        <v>29</v>
      </c>
      <c r="M508">
        <v>2021</v>
      </c>
      <c r="N508" t="s">
        <v>38</v>
      </c>
      <c r="O508" t="s">
        <v>19</v>
      </c>
      <c r="P508">
        <v>1700</v>
      </c>
      <c r="Q508">
        <f>AVERAGE(Table1[funds_raised_millions])</f>
        <v>470.28289473684208</v>
      </c>
      <c r="R508">
        <f>AVERAGE(Table1[total_laid_off])</f>
        <v>236.96936274509804</v>
      </c>
    </row>
    <row r="509" spans="1:18" x14ac:dyDescent="0.25">
      <c r="A509" s="3" t="s">
        <v>613</v>
      </c>
      <c r="B509" t="s">
        <v>103</v>
      </c>
      <c r="C509" t="s">
        <v>41</v>
      </c>
      <c r="D509">
        <v>12</v>
      </c>
      <c r="E509" t="s">
        <v>15</v>
      </c>
      <c r="F509" s="1" t="str">
        <f>IF(Table1[[#This Row],[percentage_laid_off]]=100%,"1","0")</f>
        <v>0</v>
      </c>
      <c r="G509" t="b">
        <v>0</v>
      </c>
      <c r="H509" s="2">
        <v>43894</v>
      </c>
      <c r="I509" s="2" t="str">
        <f>TEXT(Table1[[#This Row],[date]],"dd")</f>
        <v>04</v>
      </c>
      <c r="J509" s="20">
        <f>DATE(2000,MONTH(Table1[[#This Row],[date]]),1)</f>
        <v>36586</v>
      </c>
      <c r="K509" s="18" t="str">
        <f>TEXT(Table1[[#This Row],[date]],"mm")</f>
        <v>03</v>
      </c>
      <c r="L509" s="16" t="s">
        <v>57</v>
      </c>
      <c r="M509">
        <v>2020</v>
      </c>
      <c r="N509" t="s">
        <v>24</v>
      </c>
      <c r="O509" t="s">
        <v>19</v>
      </c>
      <c r="P509">
        <v>4</v>
      </c>
      <c r="Q509">
        <f>AVERAGE(Table1[funds_raised_millions])</f>
        <v>470.28289473684208</v>
      </c>
      <c r="R509">
        <f>AVERAGE(Table1[total_laid_off])</f>
        <v>236.96936274509804</v>
      </c>
    </row>
    <row r="510" spans="1:18" x14ac:dyDescent="0.25">
      <c r="A510" s="3" t="s">
        <v>614</v>
      </c>
      <c r="B510" t="s">
        <v>615</v>
      </c>
      <c r="C510" t="s">
        <v>161</v>
      </c>
      <c r="D510" t="s">
        <v>15</v>
      </c>
      <c r="E510" s="1">
        <v>0.2</v>
      </c>
      <c r="F510" s="1" t="str">
        <f>IF(Table1[[#This Row],[percentage_laid_off]]=100%,"1","0")</f>
        <v>0</v>
      </c>
      <c r="G510" t="s">
        <v>28</v>
      </c>
      <c r="H510" s="2">
        <v>43936</v>
      </c>
      <c r="I510" s="2" t="str">
        <f>TEXT(Table1[[#This Row],[date]],"dd")</f>
        <v>15</v>
      </c>
      <c r="J510" s="20">
        <f>DATE(2000,MONTH(Table1[[#This Row],[date]]),1)</f>
        <v>36617</v>
      </c>
      <c r="K510" s="18" t="str">
        <f>TEXT(Table1[[#This Row],[date]],"mm")</f>
        <v>04</v>
      </c>
      <c r="L510" s="16" t="s">
        <v>37</v>
      </c>
      <c r="M510">
        <v>2020</v>
      </c>
      <c r="N510" t="s">
        <v>71</v>
      </c>
      <c r="O510" t="s">
        <v>19</v>
      </c>
      <c r="P510">
        <v>100</v>
      </c>
      <c r="Q510">
        <f>AVERAGE(Table1[funds_raised_millions])</f>
        <v>470.28289473684208</v>
      </c>
      <c r="R510">
        <f>AVERAGE(Table1[total_laid_off])</f>
        <v>236.96936274509804</v>
      </c>
    </row>
    <row r="511" spans="1:18" x14ac:dyDescent="0.25">
      <c r="A511" s="3" t="s">
        <v>616</v>
      </c>
      <c r="B511" t="s">
        <v>313</v>
      </c>
      <c r="C511" t="s">
        <v>41</v>
      </c>
      <c r="D511">
        <v>23</v>
      </c>
      <c r="E511" t="s">
        <v>15</v>
      </c>
      <c r="F511" s="1" t="str">
        <f>IF(Table1[[#This Row],[percentage_laid_off]]=100%,"1","0")</f>
        <v>0</v>
      </c>
      <c r="G511" t="b">
        <v>0</v>
      </c>
      <c r="H511" s="2">
        <v>44865</v>
      </c>
      <c r="I511" s="2" t="str">
        <f>TEXT(Table1[[#This Row],[date]],"dd")</f>
        <v>31</v>
      </c>
      <c r="J511" s="20">
        <f>DATE(2000,MONTH(Table1[[#This Row],[date]]),1)</f>
        <v>36800</v>
      </c>
      <c r="K511" s="18" t="str">
        <f>TEXT(Table1[[#This Row],[date]],"mm")</f>
        <v>10</v>
      </c>
      <c r="L511" s="16" t="s">
        <v>95</v>
      </c>
      <c r="M511">
        <v>2022</v>
      </c>
      <c r="N511" t="s">
        <v>24</v>
      </c>
      <c r="O511" t="s">
        <v>83</v>
      </c>
      <c r="P511">
        <v>17</v>
      </c>
      <c r="Q511">
        <f>AVERAGE(Table1[funds_raised_millions])</f>
        <v>470.28289473684208</v>
      </c>
      <c r="R511">
        <f>AVERAGE(Table1[total_laid_off])</f>
        <v>236.96936274509804</v>
      </c>
    </row>
    <row r="512" spans="1:18" x14ac:dyDescent="0.25">
      <c r="A512" s="3" t="s">
        <v>617</v>
      </c>
      <c r="B512" t="s">
        <v>313</v>
      </c>
      <c r="C512" t="s">
        <v>64</v>
      </c>
      <c r="D512" t="s">
        <v>15</v>
      </c>
      <c r="E512" s="1">
        <v>0.03</v>
      </c>
      <c r="F512" s="1" t="str">
        <f>IF(Table1[[#This Row],[percentage_laid_off]]=100%,"1","0")</f>
        <v>0</v>
      </c>
      <c r="G512" t="s">
        <v>16</v>
      </c>
      <c r="H512" s="2">
        <v>44942</v>
      </c>
      <c r="I512" s="2" t="str">
        <f>TEXT(Table1[[#This Row],[date]],"dd")</f>
        <v>16</v>
      </c>
      <c r="J512" s="20">
        <f>DATE(2000,MONTH(Table1[[#This Row],[date]]),1)</f>
        <v>36526</v>
      </c>
      <c r="K512" s="18" t="str">
        <f>TEXT(Table1[[#This Row],[date]],"mm")</f>
        <v>01</v>
      </c>
      <c r="L512" s="16" t="s">
        <v>29</v>
      </c>
      <c r="M512">
        <v>2023</v>
      </c>
      <c r="N512" t="s">
        <v>47</v>
      </c>
      <c r="O512" t="s">
        <v>83</v>
      </c>
      <c r="P512">
        <v>382</v>
      </c>
      <c r="Q512">
        <f>AVERAGE(Table1[funds_raised_millions])</f>
        <v>470.28289473684208</v>
      </c>
      <c r="R512">
        <f>AVERAGE(Table1[total_laid_off])</f>
        <v>236.96936274509804</v>
      </c>
    </row>
    <row r="513" spans="1:18" x14ac:dyDescent="0.25">
      <c r="A513" s="3" t="s">
        <v>618</v>
      </c>
      <c r="B513" t="s">
        <v>619</v>
      </c>
      <c r="C513" t="s">
        <v>161</v>
      </c>
      <c r="D513">
        <v>50</v>
      </c>
      <c r="E513" s="1">
        <v>7.0000000000000007E-2</v>
      </c>
      <c r="F513" s="1" t="str">
        <f>IF(Table1[[#This Row],[percentage_laid_off]]=100%,"1","0")</f>
        <v>0</v>
      </c>
      <c r="G513" t="s">
        <v>16</v>
      </c>
      <c r="H513" s="2">
        <v>44718</v>
      </c>
      <c r="I513" s="2" t="str">
        <f>TEXT(Table1[[#This Row],[date]],"dd")</f>
        <v>06</v>
      </c>
      <c r="J513" s="20">
        <f>DATE(2000,MONTH(Table1[[#This Row],[date]]),1)</f>
        <v>36678</v>
      </c>
      <c r="K513" s="18" t="str">
        <f>TEXT(Table1[[#This Row],[date]],"mm")</f>
        <v>06</v>
      </c>
      <c r="L513" s="16" t="s">
        <v>73</v>
      </c>
      <c r="M513">
        <v>2022</v>
      </c>
      <c r="N513" t="s">
        <v>43</v>
      </c>
      <c r="O513" t="s">
        <v>19</v>
      </c>
      <c r="P513">
        <v>603</v>
      </c>
      <c r="Q513">
        <f>AVERAGE(Table1[funds_raised_millions])</f>
        <v>470.28289473684208</v>
      </c>
      <c r="R513">
        <f>AVERAGE(Table1[total_laid_off])</f>
        <v>236.96936274509804</v>
      </c>
    </row>
    <row r="514" spans="1:18" x14ac:dyDescent="0.25">
      <c r="A514" s="3" t="s">
        <v>620</v>
      </c>
      <c r="B514" t="s">
        <v>313</v>
      </c>
      <c r="C514" t="s">
        <v>51</v>
      </c>
      <c r="D514" t="s">
        <v>15</v>
      </c>
      <c r="E514" s="1">
        <v>1</v>
      </c>
      <c r="F514" s="1" t="str">
        <f>IF(Table1[[#This Row],[percentage_laid_off]]=100%,"1","0")</f>
        <v>1</v>
      </c>
      <c r="G514" t="s">
        <v>114</v>
      </c>
      <c r="H514" s="2">
        <v>44985</v>
      </c>
      <c r="I514" s="2" t="str">
        <f>TEXT(Table1[[#This Row],[date]],"dd")</f>
        <v>28</v>
      </c>
      <c r="J514" s="20">
        <f>DATE(2000,MONTH(Table1[[#This Row],[date]]),1)</f>
        <v>36557</v>
      </c>
      <c r="K514" s="18" t="str">
        <f>TEXT(Table1[[#This Row],[date]],"mm")</f>
        <v>02</v>
      </c>
      <c r="L514" s="16" t="s">
        <v>42</v>
      </c>
      <c r="M514">
        <v>2023</v>
      </c>
      <c r="N514" t="s">
        <v>47</v>
      </c>
      <c r="O514" t="s">
        <v>83</v>
      </c>
      <c r="P514" t="s">
        <v>15</v>
      </c>
      <c r="Q514">
        <f>AVERAGE(Table1[funds_raised_millions])</f>
        <v>470.28289473684208</v>
      </c>
      <c r="R514">
        <f>AVERAGE(Table1[total_laid_off])</f>
        <v>236.96936274509804</v>
      </c>
    </row>
    <row r="515" spans="1:18" x14ac:dyDescent="0.25">
      <c r="A515" s="3" t="s">
        <v>621</v>
      </c>
      <c r="B515" t="s">
        <v>13</v>
      </c>
      <c r="C515" t="s">
        <v>190</v>
      </c>
      <c r="D515">
        <v>35</v>
      </c>
      <c r="E515" s="1">
        <v>0.19</v>
      </c>
      <c r="F515" s="1" t="str">
        <f>IF(Table1[[#This Row],[percentage_laid_off]]=100%,"1","0")</f>
        <v>0</v>
      </c>
      <c r="G515" t="s">
        <v>28</v>
      </c>
      <c r="H515" s="2">
        <v>43865</v>
      </c>
      <c r="I515" s="2" t="str">
        <f>TEXT(Table1[[#This Row],[date]],"dd")</f>
        <v>04</v>
      </c>
      <c r="J515" s="20">
        <f>DATE(2000,MONTH(Table1[[#This Row],[date]]),1)</f>
        <v>36557</v>
      </c>
      <c r="K515" s="18" t="str">
        <f>TEXT(Table1[[#This Row],[date]],"mm")</f>
        <v>02</v>
      </c>
      <c r="L515" s="16" t="s">
        <v>42</v>
      </c>
      <c r="M515">
        <v>2020</v>
      </c>
      <c r="N515" t="s">
        <v>18</v>
      </c>
      <c r="O515" t="s">
        <v>19</v>
      </c>
      <c r="P515">
        <v>114</v>
      </c>
      <c r="Q515">
        <f>AVERAGE(Table1[funds_raised_millions])</f>
        <v>470.28289473684208</v>
      </c>
      <c r="R515">
        <f>AVERAGE(Table1[total_laid_off])</f>
        <v>236.96936274509804</v>
      </c>
    </row>
    <row r="516" spans="1:18" x14ac:dyDescent="0.25">
      <c r="A516" s="3" t="s">
        <v>622</v>
      </c>
      <c r="B516" t="s">
        <v>13</v>
      </c>
      <c r="C516" t="s">
        <v>82</v>
      </c>
      <c r="D516">
        <v>50</v>
      </c>
      <c r="E516" s="1">
        <v>0.2</v>
      </c>
      <c r="F516" s="1" t="str">
        <f>IF(Table1[[#This Row],[percentage_laid_off]]=100%,"1","0")</f>
        <v>0</v>
      </c>
      <c r="G516" t="s">
        <v>28</v>
      </c>
      <c r="H516" s="2">
        <v>43834</v>
      </c>
      <c r="I516" s="2" t="str">
        <f>TEXT(Table1[[#This Row],[date]],"dd")</f>
        <v>04</v>
      </c>
      <c r="J516" s="20">
        <f>DATE(2000,MONTH(Table1[[#This Row],[date]]),1)</f>
        <v>36526</v>
      </c>
      <c r="K516" s="18" t="str">
        <f>TEXT(Table1[[#This Row],[date]],"mm")</f>
        <v>01</v>
      </c>
      <c r="L516" s="16" t="s">
        <v>29</v>
      </c>
      <c r="M516">
        <v>2020</v>
      </c>
      <c r="N516" t="s">
        <v>35</v>
      </c>
      <c r="O516" t="s">
        <v>19</v>
      </c>
      <c r="P516">
        <v>190</v>
      </c>
      <c r="Q516">
        <f>AVERAGE(Table1[funds_raised_millions])</f>
        <v>470.28289473684208</v>
      </c>
      <c r="R516">
        <f>AVERAGE(Table1[total_laid_off])</f>
        <v>236.96936274509804</v>
      </c>
    </row>
    <row r="517" spans="1:18" x14ac:dyDescent="0.25">
      <c r="A517" s="3" t="s">
        <v>623</v>
      </c>
      <c r="B517" t="s">
        <v>358</v>
      </c>
      <c r="C517" t="s">
        <v>69</v>
      </c>
      <c r="D517" t="s">
        <v>15</v>
      </c>
      <c r="E517" s="1">
        <v>1</v>
      </c>
      <c r="F517" s="1" t="str">
        <f>IF(Table1[[#This Row],[percentage_laid_off]]=100%,"1","0")</f>
        <v>1</v>
      </c>
      <c r="G517" t="s">
        <v>114</v>
      </c>
      <c r="H517" s="2">
        <v>44945</v>
      </c>
      <c r="I517" s="2" t="str">
        <f>TEXT(Table1[[#This Row],[date]],"dd")</f>
        <v>19</v>
      </c>
      <c r="J517" s="20">
        <f>DATE(2000,MONTH(Table1[[#This Row],[date]]),1)</f>
        <v>36526</v>
      </c>
      <c r="K517" s="18" t="str">
        <f>TEXT(Table1[[#This Row],[date]],"mm")</f>
        <v>01</v>
      </c>
      <c r="L517" s="16" t="s">
        <v>29</v>
      </c>
      <c r="M517">
        <v>2023</v>
      </c>
      <c r="N517" t="s">
        <v>47</v>
      </c>
      <c r="O517" t="s">
        <v>19</v>
      </c>
      <c r="P517">
        <v>2</v>
      </c>
      <c r="Q517">
        <f>AVERAGE(Table1[funds_raised_millions])</f>
        <v>470.28289473684208</v>
      </c>
      <c r="R517">
        <f>AVERAGE(Table1[total_laid_off])</f>
        <v>236.96936274509804</v>
      </c>
    </row>
    <row r="518" spans="1:18" x14ac:dyDescent="0.25">
      <c r="A518" s="3" t="s">
        <v>624</v>
      </c>
      <c r="B518" t="s">
        <v>103</v>
      </c>
      <c r="C518" t="s">
        <v>120</v>
      </c>
      <c r="D518">
        <v>75</v>
      </c>
      <c r="E518" t="s">
        <v>15</v>
      </c>
      <c r="F518" s="1" t="str">
        <f>IF(Table1[[#This Row],[percentage_laid_off]]=100%,"1","0")</f>
        <v>0</v>
      </c>
      <c r="G518" t="b">
        <v>0</v>
      </c>
      <c r="H518" s="2">
        <v>44138</v>
      </c>
      <c r="I518" s="2" t="str">
        <f>TEXT(Table1[[#This Row],[date]],"dd")</f>
        <v>03</v>
      </c>
      <c r="J518" s="20">
        <f>DATE(2000,MONTH(Table1[[#This Row],[date]]),1)</f>
        <v>36831</v>
      </c>
      <c r="K518" s="18" t="str">
        <f>TEXT(Table1[[#This Row],[date]],"mm")</f>
        <v>11</v>
      </c>
      <c r="L518" s="16" t="s">
        <v>23</v>
      </c>
      <c r="M518">
        <v>2020</v>
      </c>
      <c r="N518" t="s">
        <v>24</v>
      </c>
      <c r="O518" t="s">
        <v>19</v>
      </c>
      <c r="P518">
        <v>12</v>
      </c>
      <c r="Q518">
        <f>AVERAGE(Table1[funds_raised_millions])</f>
        <v>470.28289473684208</v>
      </c>
      <c r="R518">
        <f>AVERAGE(Table1[total_laid_off])</f>
        <v>236.96936274509804</v>
      </c>
    </row>
    <row r="519" spans="1:18" x14ac:dyDescent="0.25">
      <c r="A519" s="3" t="s">
        <v>624</v>
      </c>
      <c r="B519" t="s">
        <v>13</v>
      </c>
      <c r="C519" t="s">
        <v>120</v>
      </c>
      <c r="D519">
        <v>50</v>
      </c>
      <c r="E519" s="1">
        <v>0.25</v>
      </c>
      <c r="F519" s="1" t="str">
        <f>IF(Table1[[#This Row],[percentage_laid_off]]=100%,"1","0")</f>
        <v>0</v>
      </c>
      <c r="G519" t="s">
        <v>28</v>
      </c>
      <c r="H519" s="2">
        <v>43934</v>
      </c>
      <c r="I519" s="2" t="str">
        <f>TEXT(Table1[[#This Row],[date]],"dd")</f>
        <v>13</v>
      </c>
      <c r="J519" s="20">
        <f>DATE(2000,MONTH(Table1[[#This Row],[date]]),1)</f>
        <v>36617</v>
      </c>
      <c r="K519" s="18" t="str">
        <f>TEXT(Table1[[#This Row],[date]],"mm")</f>
        <v>04</v>
      </c>
      <c r="L519" s="16" t="s">
        <v>37</v>
      </c>
      <c r="M519">
        <v>2020</v>
      </c>
      <c r="N519" t="s">
        <v>24</v>
      </c>
      <c r="O519" t="s">
        <v>19</v>
      </c>
      <c r="P519">
        <v>12</v>
      </c>
      <c r="Q519">
        <f>AVERAGE(Table1[funds_raised_millions])</f>
        <v>470.28289473684208</v>
      </c>
      <c r="R519">
        <f>AVERAGE(Table1[total_laid_off])</f>
        <v>236.96936274509804</v>
      </c>
    </row>
    <row r="520" spans="1:18" x14ac:dyDescent="0.25">
      <c r="A520" s="3" t="s">
        <v>625</v>
      </c>
      <c r="B520" t="s">
        <v>13</v>
      </c>
      <c r="C520" t="s">
        <v>64</v>
      </c>
      <c r="D520">
        <v>40</v>
      </c>
      <c r="E520" t="s">
        <v>15</v>
      </c>
      <c r="F520" s="1" t="str">
        <f>IF(Table1[[#This Row],[percentage_laid_off]]=100%,"1","0")</f>
        <v>0</v>
      </c>
      <c r="G520" t="b">
        <v>0</v>
      </c>
      <c r="H520" s="2">
        <v>44981</v>
      </c>
      <c r="I520" s="2" t="str">
        <f>TEXT(Table1[[#This Row],[date]],"dd")</f>
        <v>24</v>
      </c>
      <c r="J520" s="20">
        <f>DATE(2000,MONTH(Table1[[#This Row],[date]]),1)</f>
        <v>36557</v>
      </c>
      <c r="K520" s="18" t="str">
        <f>TEXT(Table1[[#This Row],[date]],"mm")</f>
        <v>02</v>
      </c>
      <c r="L520" s="16" t="s">
        <v>42</v>
      </c>
      <c r="M520">
        <v>2023</v>
      </c>
      <c r="N520" t="s">
        <v>47</v>
      </c>
      <c r="O520" t="s">
        <v>19</v>
      </c>
      <c r="P520">
        <v>465</v>
      </c>
      <c r="Q520">
        <f>AVERAGE(Table1[funds_raised_millions])</f>
        <v>470.28289473684208</v>
      </c>
      <c r="R520">
        <f>AVERAGE(Table1[total_laid_off])</f>
        <v>236.96936274509804</v>
      </c>
    </row>
    <row r="521" spans="1:18" x14ac:dyDescent="0.25">
      <c r="A521" s="3" t="s">
        <v>626</v>
      </c>
      <c r="B521" t="s">
        <v>111</v>
      </c>
      <c r="C521" t="s">
        <v>64</v>
      </c>
      <c r="D521">
        <v>20</v>
      </c>
      <c r="E521" s="1">
        <v>1</v>
      </c>
      <c r="F521" s="1" t="str">
        <f>IF(Table1[[#This Row],[percentage_laid_off]]=100%,"1","0")</f>
        <v>1</v>
      </c>
      <c r="G521" t="s">
        <v>114</v>
      </c>
      <c r="H521" s="2">
        <v>44051</v>
      </c>
      <c r="I521" s="2" t="str">
        <f>TEXT(Table1[[#This Row],[date]],"dd")</f>
        <v>08</v>
      </c>
      <c r="J521" s="20">
        <f>DATE(2000,MONTH(Table1[[#This Row],[date]]),1)</f>
        <v>36739</v>
      </c>
      <c r="K521" s="18" t="str">
        <f>TEXT(Table1[[#This Row],[date]],"mm")</f>
        <v>08</v>
      </c>
      <c r="L521" s="16" t="s">
        <v>53</v>
      </c>
      <c r="M521">
        <v>2020</v>
      </c>
      <c r="N521" t="s">
        <v>139</v>
      </c>
      <c r="O521" t="s">
        <v>111</v>
      </c>
      <c r="P521">
        <v>1</v>
      </c>
      <c r="Q521">
        <f>AVERAGE(Table1[funds_raised_millions])</f>
        <v>470.28289473684208</v>
      </c>
      <c r="R521">
        <f>AVERAGE(Table1[total_laid_off])</f>
        <v>236.96936274509804</v>
      </c>
    </row>
    <row r="522" spans="1:18" x14ac:dyDescent="0.25">
      <c r="A522" s="3" t="s">
        <v>627</v>
      </c>
      <c r="B522" t="s">
        <v>13</v>
      </c>
      <c r="C522" t="s">
        <v>34</v>
      </c>
      <c r="D522">
        <v>25</v>
      </c>
      <c r="E522" t="s">
        <v>15</v>
      </c>
      <c r="F522" s="1" t="str">
        <f>IF(Table1[[#This Row],[percentage_laid_off]]=100%,"1","0")</f>
        <v>0</v>
      </c>
      <c r="G522" t="b">
        <v>0</v>
      </c>
      <c r="H522" s="2">
        <v>44567</v>
      </c>
      <c r="I522" s="2" t="str">
        <f>TEXT(Table1[[#This Row],[date]],"dd")</f>
        <v>06</v>
      </c>
      <c r="J522" s="20">
        <f>DATE(2000,MONTH(Table1[[#This Row],[date]]),1)</f>
        <v>36526</v>
      </c>
      <c r="K522" s="18" t="str">
        <f>TEXT(Table1[[#This Row],[date]],"mm")</f>
        <v>01</v>
      </c>
      <c r="L522" s="16" t="s">
        <v>29</v>
      </c>
      <c r="M522">
        <v>2022</v>
      </c>
      <c r="N522" t="s">
        <v>43</v>
      </c>
      <c r="O522" t="s">
        <v>19</v>
      </c>
      <c r="P522">
        <v>202</v>
      </c>
      <c r="Q522">
        <f>AVERAGE(Table1[funds_raised_millions])</f>
        <v>470.28289473684208</v>
      </c>
      <c r="R522">
        <f>AVERAGE(Table1[total_laid_off])</f>
        <v>236.96936274509804</v>
      </c>
    </row>
    <row r="523" spans="1:18" x14ac:dyDescent="0.25">
      <c r="A523" s="3" t="s">
        <v>628</v>
      </c>
      <c r="B523" t="s">
        <v>629</v>
      </c>
      <c r="C523" t="s">
        <v>82</v>
      </c>
      <c r="D523">
        <v>62</v>
      </c>
      <c r="E523" s="1">
        <v>0.08</v>
      </c>
      <c r="F523" s="1" t="str">
        <f>IF(Table1[[#This Row],[percentage_laid_off]]=100%,"1","0")</f>
        <v>0</v>
      </c>
      <c r="G523" t="s">
        <v>16</v>
      </c>
      <c r="H523" s="2">
        <v>43978</v>
      </c>
      <c r="I523" s="2" t="str">
        <f>TEXT(Table1[[#This Row],[date]],"dd")</f>
        <v>27</v>
      </c>
      <c r="J523" s="20">
        <f>DATE(2000,MONTH(Table1[[#This Row],[date]]),1)</f>
        <v>36647</v>
      </c>
      <c r="K523" s="18" t="str">
        <f>TEXT(Table1[[#This Row],[date]],"mm")</f>
        <v>05</v>
      </c>
      <c r="L523" s="16" t="s">
        <v>86</v>
      </c>
      <c r="M523">
        <v>2020</v>
      </c>
      <c r="N523" t="s">
        <v>47</v>
      </c>
      <c r="O523" t="s">
        <v>48</v>
      </c>
      <c r="P523">
        <v>30</v>
      </c>
      <c r="Q523">
        <f>AVERAGE(Table1[funds_raised_millions])</f>
        <v>470.28289473684208</v>
      </c>
      <c r="R523">
        <f>AVERAGE(Table1[total_laid_off])</f>
        <v>236.96936274509804</v>
      </c>
    </row>
    <row r="524" spans="1:18" x14ac:dyDescent="0.25">
      <c r="A524" s="3" t="s">
        <v>628</v>
      </c>
      <c r="B524" t="s">
        <v>629</v>
      </c>
      <c r="C524" t="s">
        <v>82</v>
      </c>
      <c r="D524">
        <v>340</v>
      </c>
      <c r="E524" s="1">
        <v>0.2</v>
      </c>
      <c r="F524" s="1" t="str">
        <f>IF(Table1[[#This Row],[percentage_laid_off]]=100%,"1","0")</f>
        <v>0</v>
      </c>
      <c r="G524" t="s">
        <v>28</v>
      </c>
      <c r="H524" s="2">
        <v>44733</v>
      </c>
      <c r="I524" s="2" t="str">
        <f>TEXT(Table1[[#This Row],[date]],"dd")</f>
        <v>21</v>
      </c>
      <c r="J524" s="20">
        <f>DATE(2000,MONTH(Table1[[#This Row],[date]]),1)</f>
        <v>36678</v>
      </c>
      <c r="K524" s="18" t="str">
        <f>TEXT(Table1[[#This Row],[date]],"mm")</f>
        <v>06</v>
      </c>
      <c r="L524" s="16" t="s">
        <v>73</v>
      </c>
      <c r="M524">
        <v>2022</v>
      </c>
      <c r="N524" t="s">
        <v>30</v>
      </c>
      <c r="O524" t="s">
        <v>48</v>
      </c>
      <c r="P524">
        <v>460</v>
      </c>
      <c r="Q524">
        <f>AVERAGE(Table1[funds_raised_millions])</f>
        <v>470.28289473684208</v>
      </c>
      <c r="R524">
        <f>AVERAGE(Table1[total_laid_off])</f>
        <v>236.96936274509804</v>
      </c>
    </row>
    <row r="525" spans="1:18" x14ac:dyDescent="0.25">
      <c r="A525" s="3" t="s">
        <v>630</v>
      </c>
      <c r="B525" t="s">
        <v>13</v>
      </c>
      <c r="C525" t="s">
        <v>41</v>
      </c>
      <c r="D525">
        <v>500</v>
      </c>
      <c r="E525" s="1">
        <v>0.04</v>
      </c>
      <c r="F525" s="1" t="str">
        <f>IF(Table1[[#This Row],[percentage_laid_off]]=100%,"1","0")</f>
        <v>0</v>
      </c>
      <c r="G525" t="s">
        <v>16</v>
      </c>
      <c r="H525" s="2">
        <v>45109</v>
      </c>
      <c r="I525" s="2" t="str">
        <f>TEXT(Table1[[#This Row],[date]],"dd")</f>
        <v>02</v>
      </c>
      <c r="J525" s="20">
        <f>DATE(2000,MONTH(Table1[[#This Row],[date]]),1)</f>
        <v>36708</v>
      </c>
      <c r="K525" s="18" t="str">
        <f>TEXT(Table1[[#This Row],[date]],"mm")</f>
        <v>07</v>
      </c>
      <c r="L525" s="16" t="s">
        <v>17</v>
      </c>
      <c r="M525">
        <v>2023</v>
      </c>
      <c r="N525" t="s">
        <v>38</v>
      </c>
      <c r="O525" t="s">
        <v>19</v>
      </c>
      <c r="P525">
        <v>1200</v>
      </c>
      <c r="Q525">
        <f>AVERAGE(Table1[funds_raised_millions])</f>
        <v>470.28289473684208</v>
      </c>
      <c r="R525">
        <f>AVERAGE(Table1[total_laid_off])</f>
        <v>236.96936274509804</v>
      </c>
    </row>
    <row r="526" spans="1:18" x14ac:dyDescent="0.25">
      <c r="A526" s="3" t="s">
        <v>631</v>
      </c>
      <c r="B526" t="s">
        <v>27</v>
      </c>
      <c r="C526" t="s">
        <v>56</v>
      </c>
      <c r="D526">
        <v>47</v>
      </c>
      <c r="E526" s="1">
        <v>0.1</v>
      </c>
      <c r="F526" s="1" t="str">
        <f>IF(Table1[[#This Row],[percentage_laid_off]]=100%,"1","0")</f>
        <v>0</v>
      </c>
      <c r="G526" t="s">
        <v>16</v>
      </c>
      <c r="H526" s="2">
        <v>43916</v>
      </c>
      <c r="I526" s="2" t="str">
        <f>TEXT(Table1[[#This Row],[date]],"dd")</f>
        <v>26</v>
      </c>
      <c r="J526" s="20">
        <f>DATE(2000,MONTH(Table1[[#This Row],[date]]),1)</f>
        <v>36586</v>
      </c>
      <c r="K526" s="18" t="str">
        <f>TEXT(Table1[[#This Row],[date]],"mm")</f>
        <v>03</v>
      </c>
      <c r="L526" s="16" t="s">
        <v>57</v>
      </c>
      <c r="M526">
        <v>2020</v>
      </c>
      <c r="N526" t="s">
        <v>35</v>
      </c>
      <c r="O526" t="s">
        <v>31</v>
      </c>
      <c r="P526">
        <v>149</v>
      </c>
      <c r="Q526">
        <f>AVERAGE(Table1[funds_raised_millions])</f>
        <v>470.28289473684208</v>
      </c>
      <c r="R526">
        <f>AVERAGE(Table1[total_laid_off])</f>
        <v>236.96936274509804</v>
      </c>
    </row>
    <row r="527" spans="1:18" x14ac:dyDescent="0.25">
      <c r="A527" s="3" t="s">
        <v>632</v>
      </c>
      <c r="B527" t="s">
        <v>40</v>
      </c>
      <c r="C527" t="s">
        <v>174</v>
      </c>
      <c r="D527">
        <v>40</v>
      </c>
      <c r="E527" s="1">
        <v>0.4</v>
      </c>
      <c r="F527" s="1" t="str">
        <f>IF(Table1[[#This Row],[percentage_laid_off]]=100%,"1","0")</f>
        <v>0</v>
      </c>
      <c r="G527" t="s">
        <v>28</v>
      </c>
      <c r="H527" s="2">
        <v>44047</v>
      </c>
      <c r="I527" s="2" t="str">
        <f>TEXT(Table1[[#This Row],[date]],"dd")</f>
        <v>04</v>
      </c>
      <c r="J527" s="20">
        <f>DATE(2000,MONTH(Table1[[#This Row],[date]]),1)</f>
        <v>36739</v>
      </c>
      <c r="K527" s="18" t="str">
        <f>TEXT(Table1[[#This Row],[date]],"mm")</f>
        <v>08</v>
      </c>
      <c r="L527" s="16" t="s">
        <v>53</v>
      </c>
      <c r="M527">
        <v>2020</v>
      </c>
      <c r="N527" t="s">
        <v>30</v>
      </c>
      <c r="O527" t="s">
        <v>19</v>
      </c>
      <c r="P527">
        <v>40</v>
      </c>
      <c r="Q527">
        <f>AVERAGE(Table1[funds_raised_millions])</f>
        <v>470.28289473684208</v>
      </c>
      <c r="R527">
        <f>AVERAGE(Table1[total_laid_off])</f>
        <v>236.96936274509804</v>
      </c>
    </row>
    <row r="528" spans="1:18" x14ac:dyDescent="0.25">
      <c r="A528" s="3" t="s">
        <v>633</v>
      </c>
      <c r="B528" t="s">
        <v>233</v>
      </c>
      <c r="C528" t="s">
        <v>134</v>
      </c>
      <c r="D528">
        <v>95</v>
      </c>
      <c r="E528" s="1">
        <v>0.1</v>
      </c>
      <c r="F528" s="1" t="str">
        <f>IF(Table1[[#This Row],[percentage_laid_off]]=100%,"1","0")</f>
        <v>0</v>
      </c>
      <c r="G528" t="s">
        <v>16</v>
      </c>
      <c r="H528" s="2">
        <v>44908</v>
      </c>
      <c r="I528" s="2" t="str">
        <f>TEXT(Table1[[#This Row],[date]],"dd")</f>
        <v>13</v>
      </c>
      <c r="J528" s="20">
        <f>DATE(2000,MONTH(Table1[[#This Row],[date]]),1)</f>
        <v>36861</v>
      </c>
      <c r="K528" s="18" t="str">
        <f>TEXT(Table1[[#This Row],[date]],"mm")</f>
        <v>12</v>
      </c>
      <c r="L528" s="16" t="s">
        <v>61</v>
      </c>
      <c r="M528">
        <v>2022</v>
      </c>
      <c r="N528" t="s">
        <v>38</v>
      </c>
      <c r="O528" t="s">
        <v>19</v>
      </c>
      <c r="P528">
        <v>462</v>
      </c>
      <c r="Q528">
        <f>AVERAGE(Table1[funds_raised_millions])</f>
        <v>470.28289473684208</v>
      </c>
      <c r="R528">
        <f>AVERAGE(Table1[total_laid_off])</f>
        <v>236.96936274509804</v>
      </c>
    </row>
    <row r="529" spans="1:18" x14ac:dyDescent="0.25">
      <c r="A529" s="3" t="s">
        <v>634</v>
      </c>
      <c r="B529" t="s">
        <v>68</v>
      </c>
      <c r="C529" t="s">
        <v>14</v>
      </c>
      <c r="D529">
        <v>30</v>
      </c>
      <c r="E529" t="s">
        <v>15</v>
      </c>
      <c r="F529" s="1" t="str">
        <f>IF(Table1[[#This Row],[percentage_laid_off]]=100%,"1","0")</f>
        <v>0</v>
      </c>
      <c r="G529" t="b">
        <v>0</v>
      </c>
      <c r="H529" s="2">
        <v>44946</v>
      </c>
      <c r="I529" s="2" t="str">
        <f>TEXT(Table1[[#This Row],[date]],"dd")</f>
        <v>20</v>
      </c>
      <c r="J529" s="20">
        <f>DATE(2000,MONTH(Table1[[#This Row],[date]]),1)</f>
        <v>36526</v>
      </c>
      <c r="K529" s="18" t="str">
        <f>TEXT(Table1[[#This Row],[date]],"mm")</f>
        <v>01</v>
      </c>
      <c r="L529" s="16" t="s">
        <v>29</v>
      </c>
      <c r="M529">
        <v>2023</v>
      </c>
      <c r="N529" t="s">
        <v>47</v>
      </c>
      <c r="O529" t="s">
        <v>19</v>
      </c>
      <c r="P529">
        <v>1</v>
      </c>
      <c r="Q529">
        <f>AVERAGE(Table1[funds_raised_millions])</f>
        <v>470.28289473684208</v>
      </c>
      <c r="R529">
        <f>AVERAGE(Table1[total_laid_off])</f>
        <v>236.96936274509804</v>
      </c>
    </row>
    <row r="530" spans="1:18" x14ac:dyDescent="0.25">
      <c r="A530" s="3" t="s">
        <v>635</v>
      </c>
      <c r="B530" t="s">
        <v>88</v>
      </c>
      <c r="C530" t="s">
        <v>14</v>
      </c>
      <c r="D530" t="s">
        <v>15</v>
      </c>
      <c r="E530" s="1">
        <v>0.2</v>
      </c>
      <c r="F530" s="1" t="str">
        <f>IF(Table1[[#This Row],[percentage_laid_off]]=100%,"1","0")</f>
        <v>0</v>
      </c>
      <c r="G530" t="s">
        <v>28</v>
      </c>
      <c r="H530" s="2">
        <v>45170</v>
      </c>
      <c r="I530" s="2" t="str">
        <f>TEXT(Table1[[#This Row],[date]],"dd")</f>
        <v>01</v>
      </c>
      <c r="J530" s="20">
        <f>DATE(2000,MONTH(Table1[[#This Row],[date]]),1)</f>
        <v>36770</v>
      </c>
      <c r="K530" s="18" t="str">
        <f>TEXT(Table1[[#This Row],[date]],"mm")</f>
        <v>09</v>
      </c>
      <c r="L530" s="16" t="s">
        <v>70</v>
      </c>
      <c r="M530">
        <v>2023</v>
      </c>
      <c r="N530" t="s">
        <v>38</v>
      </c>
      <c r="O530" t="s">
        <v>19</v>
      </c>
      <c r="P530">
        <v>656</v>
      </c>
      <c r="Q530">
        <f>AVERAGE(Table1[funds_raised_millions])</f>
        <v>470.28289473684208</v>
      </c>
      <c r="R530">
        <f>AVERAGE(Table1[total_laid_off])</f>
        <v>236.96936274509804</v>
      </c>
    </row>
    <row r="531" spans="1:18" x14ac:dyDescent="0.25">
      <c r="A531" s="3" t="s">
        <v>636</v>
      </c>
      <c r="B531" t="s">
        <v>13</v>
      </c>
      <c r="C531" t="s">
        <v>51</v>
      </c>
      <c r="D531" t="s">
        <v>15</v>
      </c>
      <c r="E531" s="1">
        <v>1</v>
      </c>
      <c r="F531" s="1" t="str">
        <f>IF(Table1[[#This Row],[percentage_laid_off]]=100%,"1","0")</f>
        <v>1</v>
      </c>
      <c r="G531" t="s">
        <v>114</v>
      </c>
      <c r="H531" s="2">
        <v>44789</v>
      </c>
      <c r="I531" s="2" t="str">
        <f>TEXT(Table1[[#This Row],[date]],"dd")</f>
        <v>16</v>
      </c>
      <c r="J531" s="20">
        <f>DATE(2000,MONTH(Table1[[#This Row],[date]]),1)</f>
        <v>36739</v>
      </c>
      <c r="K531" s="18" t="str">
        <f>TEXT(Table1[[#This Row],[date]],"mm")</f>
        <v>08</v>
      </c>
      <c r="L531" s="16" t="s">
        <v>53</v>
      </c>
      <c r="M531">
        <v>2022</v>
      </c>
      <c r="N531" t="s">
        <v>71</v>
      </c>
      <c r="O531" t="s">
        <v>19</v>
      </c>
      <c r="P531">
        <v>77</v>
      </c>
      <c r="Q531">
        <f>AVERAGE(Table1[funds_raised_millions])</f>
        <v>470.28289473684208</v>
      </c>
      <c r="R531">
        <f>AVERAGE(Table1[total_laid_off])</f>
        <v>236.96936274509804</v>
      </c>
    </row>
    <row r="532" spans="1:18" x14ac:dyDescent="0.25">
      <c r="A532" s="3" t="s">
        <v>637</v>
      </c>
      <c r="B532" t="s">
        <v>194</v>
      </c>
      <c r="C532" t="s">
        <v>468</v>
      </c>
      <c r="D532">
        <v>100</v>
      </c>
      <c r="E532" s="1">
        <v>0.25</v>
      </c>
      <c r="F532" s="1" t="str">
        <f>IF(Table1[[#This Row],[percentage_laid_off]]=100%,"1","0")</f>
        <v>0</v>
      </c>
      <c r="G532" t="s">
        <v>28</v>
      </c>
      <c r="H532" s="2">
        <v>43865</v>
      </c>
      <c r="I532" s="2" t="str">
        <f>TEXT(Table1[[#This Row],[date]],"dd")</f>
        <v>04</v>
      </c>
      <c r="J532" s="20">
        <f>DATE(2000,MONTH(Table1[[#This Row],[date]]),1)</f>
        <v>36557</v>
      </c>
      <c r="K532" s="18" t="str">
        <f>TEXT(Table1[[#This Row],[date]],"mm")</f>
        <v>02</v>
      </c>
      <c r="L532" s="16" t="s">
        <v>42</v>
      </c>
      <c r="M532">
        <v>2020</v>
      </c>
      <c r="N532" t="s">
        <v>43</v>
      </c>
      <c r="O532" t="s">
        <v>96</v>
      </c>
      <c r="P532">
        <v>109</v>
      </c>
      <c r="Q532">
        <f>AVERAGE(Table1[funds_raised_millions])</f>
        <v>470.28289473684208</v>
      </c>
      <c r="R532">
        <f>AVERAGE(Table1[total_laid_off])</f>
        <v>236.96936274509804</v>
      </c>
    </row>
    <row r="533" spans="1:18" x14ac:dyDescent="0.25">
      <c r="A533" s="3" t="s">
        <v>638</v>
      </c>
      <c r="B533" t="s">
        <v>40</v>
      </c>
      <c r="C533" t="s">
        <v>41</v>
      </c>
      <c r="D533" t="s">
        <v>15</v>
      </c>
      <c r="E533" s="1">
        <v>0.2</v>
      </c>
      <c r="F533" s="1" t="str">
        <f>IF(Table1[[#This Row],[percentage_laid_off]]=100%,"1","0")</f>
        <v>0</v>
      </c>
      <c r="G533" t="s">
        <v>28</v>
      </c>
      <c r="H533" s="2">
        <v>43913</v>
      </c>
      <c r="I533" s="2" t="str">
        <f>TEXT(Table1[[#This Row],[date]],"dd")</f>
        <v>23</v>
      </c>
      <c r="J533" s="20">
        <f>DATE(2000,MONTH(Table1[[#This Row],[date]]),1)</f>
        <v>36586</v>
      </c>
      <c r="K533" s="18" t="str">
        <f>TEXT(Table1[[#This Row],[date]],"mm")</f>
        <v>03</v>
      </c>
      <c r="L533" s="16" t="s">
        <v>57</v>
      </c>
      <c r="M533">
        <v>2020</v>
      </c>
      <c r="N533" t="s">
        <v>35</v>
      </c>
      <c r="O533" t="s">
        <v>19</v>
      </c>
      <c r="P533">
        <v>70</v>
      </c>
      <c r="Q533">
        <f>AVERAGE(Table1[funds_raised_millions])</f>
        <v>470.28289473684208</v>
      </c>
      <c r="R533">
        <f>AVERAGE(Table1[total_laid_off])</f>
        <v>236.96936274509804</v>
      </c>
    </row>
    <row r="534" spans="1:18" x14ac:dyDescent="0.25">
      <c r="A534" s="3" t="s">
        <v>639</v>
      </c>
      <c r="B534" t="s">
        <v>13</v>
      </c>
      <c r="C534" t="s">
        <v>167</v>
      </c>
      <c r="D534">
        <v>84</v>
      </c>
      <c r="E534" s="1">
        <v>1</v>
      </c>
      <c r="F534" s="1" t="str">
        <f>IF(Table1[[#This Row],[percentage_laid_off]]=100%,"1","0")</f>
        <v>1</v>
      </c>
      <c r="G534" t="s">
        <v>114</v>
      </c>
      <c r="H534" s="2">
        <v>43909</v>
      </c>
      <c r="I534" s="2" t="str">
        <f>TEXT(Table1[[#This Row],[date]],"dd")</f>
        <v>19</v>
      </c>
      <c r="J534" s="20">
        <f>DATE(2000,MONTH(Table1[[#This Row],[date]]),1)</f>
        <v>36586</v>
      </c>
      <c r="K534" s="18" t="str">
        <f>TEXT(Table1[[#This Row],[date]],"mm")</f>
        <v>03</v>
      </c>
      <c r="L534" s="16" t="s">
        <v>57</v>
      </c>
      <c r="M534">
        <v>2020</v>
      </c>
      <c r="N534" t="s">
        <v>47</v>
      </c>
      <c r="O534" t="s">
        <v>19</v>
      </c>
      <c r="P534" t="s">
        <v>15</v>
      </c>
      <c r="Q534">
        <f>AVERAGE(Table1[funds_raised_millions])</f>
        <v>470.28289473684208</v>
      </c>
      <c r="R534">
        <f>AVERAGE(Table1[total_laid_off])</f>
        <v>236.96936274509804</v>
      </c>
    </row>
    <row r="535" spans="1:18" x14ac:dyDescent="0.25">
      <c r="A535" s="3" t="s">
        <v>640</v>
      </c>
      <c r="B535" t="s">
        <v>13</v>
      </c>
      <c r="C535" t="s">
        <v>89</v>
      </c>
      <c r="D535" t="s">
        <v>15</v>
      </c>
      <c r="E535" s="1">
        <v>0.13</v>
      </c>
      <c r="F535" s="1" t="str">
        <f>IF(Table1[[#This Row],[percentage_laid_off]]=100%,"1","0")</f>
        <v>0</v>
      </c>
      <c r="G535" t="s">
        <v>28</v>
      </c>
      <c r="H535" s="2">
        <v>44895</v>
      </c>
      <c r="I535" s="2" t="str">
        <f>TEXT(Table1[[#This Row],[date]],"dd")</f>
        <v>30</v>
      </c>
      <c r="J535" s="20">
        <f>DATE(2000,MONTH(Table1[[#This Row],[date]]),1)</f>
        <v>36831</v>
      </c>
      <c r="K535" s="18" t="str">
        <f>TEXT(Table1[[#This Row],[date]],"mm")</f>
        <v>11</v>
      </c>
      <c r="L535" s="16" t="s">
        <v>23</v>
      </c>
      <c r="M535">
        <v>2022</v>
      </c>
      <c r="N535" t="s">
        <v>38</v>
      </c>
      <c r="O535" t="s">
        <v>19</v>
      </c>
      <c r="P535">
        <v>162</v>
      </c>
      <c r="Q535">
        <f>AVERAGE(Table1[funds_raised_millions])</f>
        <v>470.28289473684208</v>
      </c>
      <c r="R535">
        <f>AVERAGE(Table1[total_laid_off])</f>
        <v>236.96936274509804</v>
      </c>
    </row>
    <row r="536" spans="1:18" x14ac:dyDescent="0.25">
      <c r="A536" s="3" t="s">
        <v>641</v>
      </c>
      <c r="B536" t="s">
        <v>40</v>
      </c>
      <c r="C536" t="s">
        <v>161</v>
      </c>
      <c r="D536">
        <v>81</v>
      </c>
      <c r="E536" t="s">
        <v>15</v>
      </c>
      <c r="F536" s="1" t="str">
        <f>IF(Table1[[#This Row],[percentage_laid_off]]=100%,"1","0")</f>
        <v>0</v>
      </c>
      <c r="G536" t="b">
        <v>0</v>
      </c>
      <c r="H536" s="2">
        <v>44803</v>
      </c>
      <c r="I536" s="2" t="str">
        <f>TEXT(Table1[[#This Row],[date]],"dd")</f>
        <v>30</v>
      </c>
      <c r="J536" s="20">
        <f>DATE(2000,MONTH(Table1[[#This Row],[date]]),1)</f>
        <v>36739</v>
      </c>
      <c r="K536" s="18" t="str">
        <f>TEXT(Table1[[#This Row],[date]],"mm")</f>
        <v>08</v>
      </c>
      <c r="L536" s="16" t="s">
        <v>53</v>
      </c>
      <c r="M536">
        <v>2022</v>
      </c>
      <c r="N536" t="s">
        <v>43</v>
      </c>
      <c r="O536" t="s">
        <v>19</v>
      </c>
      <c r="P536">
        <v>212</v>
      </c>
      <c r="Q536">
        <f>AVERAGE(Table1[funds_raised_millions])</f>
        <v>470.28289473684208</v>
      </c>
      <c r="R536">
        <f>AVERAGE(Table1[total_laid_off])</f>
        <v>236.96936274509804</v>
      </c>
    </row>
    <row r="537" spans="1:18" x14ac:dyDescent="0.25">
      <c r="A537" s="3" t="s">
        <v>641</v>
      </c>
      <c r="B537" t="s">
        <v>40</v>
      </c>
      <c r="C537" t="s">
        <v>161</v>
      </c>
      <c r="D537">
        <v>141</v>
      </c>
      <c r="E537" s="1">
        <v>0.25</v>
      </c>
      <c r="F537" s="1" t="str">
        <f>IF(Table1[[#This Row],[percentage_laid_off]]=100%,"1","0")</f>
        <v>0</v>
      </c>
      <c r="G537" t="s">
        <v>28</v>
      </c>
      <c r="H537" s="2">
        <v>44970</v>
      </c>
      <c r="I537" s="2" t="str">
        <f>TEXT(Table1[[#This Row],[date]],"dd")</f>
        <v>13</v>
      </c>
      <c r="J537" s="20">
        <f>DATE(2000,MONTH(Table1[[#This Row],[date]]),1)</f>
        <v>36557</v>
      </c>
      <c r="K537" s="18" t="str">
        <f>TEXT(Table1[[#This Row],[date]],"mm")</f>
        <v>02</v>
      </c>
      <c r="L537" s="16" t="s">
        <v>42</v>
      </c>
      <c r="M537">
        <v>2023</v>
      </c>
      <c r="N537" t="s">
        <v>43</v>
      </c>
      <c r="O537" t="s">
        <v>19</v>
      </c>
      <c r="P537">
        <v>212</v>
      </c>
      <c r="Q537">
        <f>AVERAGE(Table1[funds_raised_millions])</f>
        <v>470.28289473684208</v>
      </c>
      <c r="R537">
        <f>AVERAGE(Table1[total_laid_off])</f>
        <v>236.96936274509804</v>
      </c>
    </row>
    <row r="538" spans="1:18" x14ac:dyDescent="0.25">
      <c r="A538" s="3" t="s">
        <v>642</v>
      </c>
      <c r="B538" t="s">
        <v>643</v>
      </c>
      <c r="C538" t="s">
        <v>34</v>
      </c>
      <c r="D538">
        <v>200</v>
      </c>
      <c r="E538" t="s">
        <v>15</v>
      </c>
      <c r="F538" s="1" t="str">
        <f>IF(Table1[[#This Row],[percentage_laid_off]]=100%,"1","0")</f>
        <v>0</v>
      </c>
      <c r="G538" t="b">
        <v>0</v>
      </c>
      <c r="H538" s="2">
        <v>44985</v>
      </c>
      <c r="I538" s="2" t="str">
        <f>TEXT(Table1[[#This Row],[date]],"dd")</f>
        <v>28</v>
      </c>
      <c r="J538" s="20">
        <f>DATE(2000,MONTH(Table1[[#This Row],[date]]),1)</f>
        <v>36557</v>
      </c>
      <c r="K538" s="18" t="str">
        <f>TEXT(Table1[[#This Row],[date]],"mm")</f>
        <v>02</v>
      </c>
      <c r="L538" s="16" t="s">
        <v>42</v>
      </c>
      <c r="M538">
        <v>2023</v>
      </c>
      <c r="N538" t="s">
        <v>38</v>
      </c>
      <c r="O538" t="s">
        <v>19</v>
      </c>
      <c r="P538">
        <v>2</v>
      </c>
      <c r="Q538">
        <f>AVERAGE(Table1[funds_raised_millions])</f>
        <v>470.28289473684208</v>
      </c>
      <c r="R538">
        <f>AVERAGE(Table1[total_laid_off])</f>
        <v>236.96936274509804</v>
      </c>
    </row>
    <row r="539" spans="1:18" x14ac:dyDescent="0.25">
      <c r="A539" s="3" t="s">
        <v>644</v>
      </c>
      <c r="B539" t="s">
        <v>199</v>
      </c>
      <c r="C539" t="s">
        <v>161</v>
      </c>
      <c r="D539" t="s">
        <v>15</v>
      </c>
      <c r="E539" s="1">
        <v>0.15</v>
      </c>
      <c r="F539" s="1" t="str">
        <f>IF(Table1[[#This Row],[percentage_laid_off]]=100%,"1","0")</f>
        <v>0</v>
      </c>
      <c r="G539" t="s">
        <v>28</v>
      </c>
      <c r="H539" s="2">
        <v>44920</v>
      </c>
      <c r="I539" s="2" t="str">
        <f>TEXT(Table1[[#This Row],[date]],"dd")</f>
        <v>25</v>
      </c>
      <c r="J539" s="20">
        <f>DATE(2000,MONTH(Table1[[#This Row],[date]]),1)</f>
        <v>36861</v>
      </c>
      <c r="K539" s="18" t="str">
        <f>TEXT(Table1[[#This Row],[date]],"mm")</f>
        <v>12</v>
      </c>
      <c r="L539" s="16" t="s">
        <v>61</v>
      </c>
      <c r="M539">
        <v>2022</v>
      </c>
      <c r="N539" t="s">
        <v>30</v>
      </c>
      <c r="O539" t="s">
        <v>200</v>
      </c>
      <c r="P539">
        <v>96</v>
      </c>
      <c r="Q539">
        <f>AVERAGE(Table1[funds_raised_millions])</f>
        <v>470.28289473684208</v>
      </c>
      <c r="R539">
        <f>AVERAGE(Table1[total_laid_off])</f>
        <v>236.96936274509804</v>
      </c>
    </row>
    <row r="540" spans="1:18" x14ac:dyDescent="0.25">
      <c r="A540" s="3" t="s">
        <v>645</v>
      </c>
      <c r="B540" t="s">
        <v>142</v>
      </c>
      <c r="C540" t="s">
        <v>161</v>
      </c>
      <c r="D540">
        <v>62</v>
      </c>
      <c r="E540" s="1">
        <v>0.15</v>
      </c>
      <c r="F540" s="1" t="str">
        <f>IF(Table1[[#This Row],[percentage_laid_off]]=100%,"1","0")</f>
        <v>0</v>
      </c>
      <c r="G540" t="s">
        <v>28</v>
      </c>
      <c r="H540" s="2">
        <v>43926</v>
      </c>
      <c r="I540" s="2" t="str">
        <f>TEXT(Table1[[#This Row],[date]],"dd")</f>
        <v>05</v>
      </c>
      <c r="J540" s="20">
        <f>DATE(2000,MONTH(Table1[[#This Row],[date]]),1)</f>
        <v>36617</v>
      </c>
      <c r="K540" s="18" t="str">
        <f>TEXT(Table1[[#This Row],[date]],"mm")</f>
        <v>04</v>
      </c>
      <c r="L540" s="16" t="s">
        <v>37</v>
      </c>
      <c r="M540">
        <v>2020</v>
      </c>
      <c r="N540" t="s">
        <v>30</v>
      </c>
      <c r="O540" t="s">
        <v>31</v>
      </c>
      <c r="P540">
        <v>257</v>
      </c>
      <c r="Q540">
        <f>AVERAGE(Table1[funds_raised_millions])</f>
        <v>470.28289473684208</v>
      </c>
      <c r="R540">
        <f>AVERAGE(Table1[total_laid_off])</f>
        <v>236.96936274509804</v>
      </c>
    </row>
    <row r="541" spans="1:18" x14ac:dyDescent="0.25">
      <c r="A541" s="3" t="s">
        <v>646</v>
      </c>
      <c r="B541" t="s">
        <v>13</v>
      </c>
      <c r="C541" t="s">
        <v>89</v>
      </c>
      <c r="D541">
        <v>10</v>
      </c>
      <c r="E541" t="s">
        <v>15</v>
      </c>
      <c r="F541" s="1" t="str">
        <f>IF(Table1[[#This Row],[percentage_laid_off]]=100%,"1","0")</f>
        <v>0</v>
      </c>
      <c r="G541" t="b">
        <v>0</v>
      </c>
      <c r="H541" s="2">
        <v>43915</v>
      </c>
      <c r="I541" s="2" t="str">
        <f>TEXT(Table1[[#This Row],[date]],"dd")</f>
        <v>25</v>
      </c>
      <c r="J541" s="20">
        <f>DATE(2000,MONTH(Table1[[#This Row],[date]]),1)</f>
        <v>36586</v>
      </c>
      <c r="K541" s="18" t="str">
        <f>TEXT(Table1[[#This Row],[date]],"mm")</f>
        <v>03</v>
      </c>
      <c r="L541" s="16" t="s">
        <v>57</v>
      </c>
      <c r="M541">
        <v>2020</v>
      </c>
      <c r="N541" t="s">
        <v>24</v>
      </c>
      <c r="O541" t="s">
        <v>19</v>
      </c>
      <c r="P541">
        <v>22</v>
      </c>
      <c r="Q541">
        <f>AVERAGE(Table1[funds_raised_millions])</f>
        <v>470.28289473684208</v>
      </c>
      <c r="R541">
        <f>AVERAGE(Table1[total_laid_off])</f>
        <v>236.96936274509804</v>
      </c>
    </row>
    <row r="542" spans="1:18" x14ac:dyDescent="0.25">
      <c r="A542" s="3" t="s">
        <v>647</v>
      </c>
      <c r="B542" t="s">
        <v>170</v>
      </c>
      <c r="C542" t="s">
        <v>78</v>
      </c>
      <c r="D542">
        <v>60</v>
      </c>
      <c r="E542" s="1">
        <v>0.15</v>
      </c>
      <c r="F542" s="1" t="str">
        <f>IF(Table1[[#This Row],[percentage_laid_off]]=100%,"1","0")</f>
        <v>0</v>
      </c>
      <c r="G542" t="s">
        <v>28</v>
      </c>
      <c r="H542" s="2">
        <v>44727</v>
      </c>
      <c r="I542" s="2" t="str">
        <f>TEXT(Table1[[#This Row],[date]],"dd")</f>
        <v>15</v>
      </c>
      <c r="J542" s="20">
        <f>DATE(2000,MONTH(Table1[[#This Row],[date]]),1)</f>
        <v>36678</v>
      </c>
      <c r="K542" s="18" t="str">
        <f>TEXT(Table1[[#This Row],[date]],"mm")</f>
        <v>06</v>
      </c>
      <c r="L542" s="16" t="s">
        <v>73</v>
      </c>
      <c r="M542">
        <v>2022</v>
      </c>
      <c r="N542" t="s">
        <v>47</v>
      </c>
      <c r="O542" t="s">
        <v>172</v>
      </c>
      <c r="P542">
        <v>65</v>
      </c>
      <c r="Q542">
        <f>AVERAGE(Table1[funds_raised_millions])</f>
        <v>470.28289473684208</v>
      </c>
      <c r="R542">
        <f>AVERAGE(Table1[total_laid_off])</f>
        <v>236.96936274509804</v>
      </c>
    </row>
    <row r="543" spans="1:18" x14ac:dyDescent="0.25">
      <c r="A543" s="3" t="s">
        <v>648</v>
      </c>
      <c r="B543" t="s">
        <v>94</v>
      </c>
      <c r="C543" t="s">
        <v>82</v>
      </c>
      <c r="D543">
        <v>43</v>
      </c>
      <c r="E543" s="1">
        <v>0.33</v>
      </c>
      <c r="F543" s="1" t="str">
        <f>IF(Table1[[#This Row],[percentage_laid_off]]=100%,"1","0")</f>
        <v>0</v>
      </c>
      <c r="G543" t="s">
        <v>28</v>
      </c>
      <c r="H543" s="2">
        <v>44855</v>
      </c>
      <c r="I543" s="2" t="str">
        <f>TEXT(Table1[[#This Row],[date]],"dd")</f>
        <v>21</v>
      </c>
      <c r="J543" s="20">
        <f>DATE(2000,MONTH(Table1[[#This Row],[date]]),1)</f>
        <v>36800</v>
      </c>
      <c r="K543" s="18" t="str">
        <f>TEXT(Table1[[#This Row],[date]],"mm")</f>
        <v>10</v>
      </c>
      <c r="L543" s="16" t="s">
        <v>95</v>
      </c>
      <c r="M543">
        <v>2022</v>
      </c>
      <c r="N543" t="s">
        <v>47</v>
      </c>
      <c r="O543" t="s">
        <v>96</v>
      </c>
      <c r="P543">
        <v>30</v>
      </c>
      <c r="Q543">
        <f>AVERAGE(Table1[funds_raised_millions])</f>
        <v>470.28289473684208</v>
      </c>
      <c r="R543">
        <f>AVERAGE(Table1[total_laid_off])</f>
        <v>236.96936274509804</v>
      </c>
    </row>
    <row r="544" spans="1:18" x14ac:dyDescent="0.25">
      <c r="A544" s="3" t="s">
        <v>649</v>
      </c>
      <c r="B544" t="s">
        <v>199</v>
      </c>
      <c r="C544" t="s">
        <v>46</v>
      </c>
      <c r="D544" t="s">
        <v>15</v>
      </c>
      <c r="E544" s="1">
        <v>0.3</v>
      </c>
      <c r="F544" s="1" t="str">
        <f>IF(Table1[[#This Row],[percentage_laid_off]]=100%,"1","0")</f>
        <v>0</v>
      </c>
      <c r="G544" t="s">
        <v>28</v>
      </c>
      <c r="H544" s="2">
        <v>44078</v>
      </c>
      <c r="I544" s="2" t="str">
        <f>TEXT(Table1[[#This Row],[date]],"dd")</f>
        <v>04</v>
      </c>
      <c r="J544" s="20">
        <f>DATE(2000,MONTH(Table1[[#This Row],[date]]),1)</f>
        <v>36770</v>
      </c>
      <c r="K544" s="18" t="str">
        <f>TEXT(Table1[[#This Row],[date]],"mm")</f>
        <v>09</v>
      </c>
      <c r="L544" s="16" t="s">
        <v>70</v>
      </c>
      <c r="M544">
        <v>2020</v>
      </c>
      <c r="N544" t="s">
        <v>30</v>
      </c>
      <c r="O544" t="s">
        <v>200</v>
      </c>
      <c r="P544">
        <v>40</v>
      </c>
      <c r="Q544">
        <f>AVERAGE(Table1[funds_raised_millions])</f>
        <v>470.28289473684208</v>
      </c>
      <c r="R544">
        <f>AVERAGE(Table1[total_laid_off])</f>
        <v>236.96936274509804</v>
      </c>
    </row>
    <row r="545" spans="1:18" x14ac:dyDescent="0.25">
      <c r="A545" s="3" t="s">
        <v>650</v>
      </c>
      <c r="B545" t="s">
        <v>88</v>
      </c>
      <c r="C545" t="s">
        <v>14</v>
      </c>
      <c r="D545">
        <v>41</v>
      </c>
      <c r="E545" t="s">
        <v>15</v>
      </c>
      <c r="F545" s="1" t="str">
        <f>IF(Table1[[#This Row],[percentage_laid_off]]=100%,"1","0")</f>
        <v>0</v>
      </c>
      <c r="G545" t="b">
        <v>0</v>
      </c>
      <c r="H545" s="2">
        <v>45231</v>
      </c>
      <c r="I545" s="2" t="str">
        <f>TEXT(Table1[[#This Row],[date]],"dd")</f>
        <v>01</v>
      </c>
      <c r="J545" s="20">
        <f>DATE(2000,MONTH(Table1[[#This Row],[date]]),1)</f>
        <v>36831</v>
      </c>
      <c r="K545" s="18" t="str">
        <f>TEXT(Table1[[#This Row],[date]],"mm")</f>
        <v>11</v>
      </c>
      <c r="L545" s="16" t="s">
        <v>23</v>
      </c>
      <c r="M545">
        <v>2023</v>
      </c>
      <c r="N545" t="s">
        <v>30</v>
      </c>
      <c r="O545" t="s">
        <v>19</v>
      </c>
      <c r="P545">
        <v>94</v>
      </c>
      <c r="Q545">
        <f>AVERAGE(Table1[funds_raised_millions])</f>
        <v>470.28289473684208</v>
      </c>
      <c r="R545">
        <f>AVERAGE(Table1[total_laid_off])</f>
        <v>236.96936274509804</v>
      </c>
    </row>
    <row r="546" spans="1:18" x14ac:dyDescent="0.25">
      <c r="A546" s="3" t="s">
        <v>651</v>
      </c>
      <c r="B546" t="s">
        <v>13</v>
      </c>
      <c r="C546" t="s">
        <v>69</v>
      </c>
      <c r="D546">
        <v>230</v>
      </c>
      <c r="E546" s="1">
        <v>0.7</v>
      </c>
      <c r="F546" s="1" t="str">
        <f>IF(Table1[[#This Row],[percentage_laid_off]]=100%,"1","0")</f>
        <v>0</v>
      </c>
      <c r="G546" t="s">
        <v>130</v>
      </c>
      <c r="H546" s="2">
        <v>44988</v>
      </c>
      <c r="I546" s="2" t="str">
        <f>TEXT(Table1[[#This Row],[date]],"dd")</f>
        <v>03</v>
      </c>
      <c r="J546" s="20">
        <f>DATE(2000,MONTH(Table1[[#This Row],[date]]),1)</f>
        <v>36586</v>
      </c>
      <c r="K546" s="18" t="str">
        <f>TEXT(Table1[[#This Row],[date]],"mm")</f>
        <v>03</v>
      </c>
      <c r="L546" s="16" t="s">
        <v>57</v>
      </c>
      <c r="M546">
        <v>2023</v>
      </c>
      <c r="N546" t="s">
        <v>38</v>
      </c>
      <c r="O546" t="s">
        <v>19</v>
      </c>
      <c r="P546">
        <v>317</v>
      </c>
      <c r="Q546">
        <f>AVERAGE(Table1[funds_raised_millions])</f>
        <v>470.28289473684208</v>
      </c>
      <c r="R546">
        <f>AVERAGE(Table1[total_laid_off])</f>
        <v>236.96936274509804</v>
      </c>
    </row>
    <row r="547" spans="1:18" x14ac:dyDescent="0.25">
      <c r="A547" s="3" t="s">
        <v>652</v>
      </c>
      <c r="B547" t="s">
        <v>13</v>
      </c>
      <c r="C547" t="s">
        <v>82</v>
      </c>
      <c r="D547">
        <v>30</v>
      </c>
      <c r="E547" s="1">
        <v>0.12</v>
      </c>
      <c r="F547" s="1" t="str">
        <f>IF(Table1[[#This Row],[percentage_laid_off]]=100%,"1","0")</f>
        <v>0</v>
      </c>
      <c r="G547" t="s">
        <v>28</v>
      </c>
      <c r="H547" s="2">
        <v>44859</v>
      </c>
      <c r="I547" s="2" t="str">
        <f>TEXT(Table1[[#This Row],[date]],"dd")</f>
        <v>25</v>
      </c>
      <c r="J547" s="20">
        <f>DATE(2000,MONTH(Table1[[#This Row],[date]]),1)</f>
        <v>36800</v>
      </c>
      <c r="K547" s="18" t="str">
        <f>TEXT(Table1[[#This Row],[date]],"mm")</f>
        <v>10</v>
      </c>
      <c r="L547" s="16" t="s">
        <v>95</v>
      </c>
      <c r="M547">
        <v>2022</v>
      </c>
      <c r="N547" t="s">
        <v>35</v>
      </c>
      <c r="O547" t="s">
        <v>19</v>
      </c>
      <c r="P547">
        <v>142</v>
      </c>
      <c r="Q547">
        <f>AVERAGE(Table1[funds_raised_millions])</f>
        <v>470.28289473684208</v>
      </c>
      <c r="R547">
        <f>AVERAGE(Table1[total_laid_off])</f>
        <v>236.96936274509804</v>
      </c>
    </row>
    <row r="548" spans="1:18" x14ac:dyDescent="0.25">
      <c r="A548" s="3" t="s">
        <v>653</v>
      </c>
      <c r="B548" t="s">
        <v>33</v>
      </c>
      <c r="C548" t="s">
        <v>22</v>
      </c>
      <c r="D548">
        <v>30</v>
      </c>
      <c r="E548" s="1">
        <v>0.18</v>
      </c>
      <c r="F548" s="1" t="str">
        <f>IF(Table1[[#This Row],[percentage_laid_off]]=100%,"1","0")</f>
        <v>0</v>
      </c>
      <c r="G548" t="s">
        <v>28</v>
      </c>
      <c r="H548" s="2">
        <v>44749</v>
      </c>
      <c r="I548" s="2" t="str">
        <f>TEXT(Table1[[#This Row],[date]],"dd")</f>
        <v>07</v>
      </c>
      <c r="J548" s="20">
        <f>DATE(2000,MONTH(Table1[[#This Row],[date]]),1)</f>
        <v>36708</v>
      </c>
      <c r="K548" s="18" t="str">
        <f>TEXT(Table1[[#This Row],[date]],"mm")</f>
        <v>07</v>
      </c>
      <c r="L548" s="16" t="s">
        <v>17</v>
      </c>
      <c r="M548">
        <v>2022</v>
      </c>
      <c r="N548" t="s">
        <v>30</v>
      </c>
      <c r="O548" t="s">
        <v>19</v>
      </c>
      <c r="P548">
        <v>78</v>
      </c>
      <c r="Q548">
        <f>AVERAGE(Table1[funds_raised_millions])</f>
        <v>470.28289473684208</v>
      </c>
      <c r="R548">
        <f>AVERAGE(Table1[total_laid_off])</f>
        <v>236.96936274509804</v>
      </c>
    </row>
    <row r="549" spans="1:18" x14ac:dyDescent="0.25">
      <c r="A549" s="3" t="s">
        <v>654</v>
      </c>
      <c r="B549" t="s">
        <v>40</v>
      </c>
      <c r="C549" t="s">
        <v>22</v>
      </c>
      <c r="D549">
        <v>100</v>
      </c>
      <c r="E549" s="1">
        <v>1</v>
      </c>
      <c r="F549" s="1" t="str">
        <f>IF(Table1[[#This Row],[percentage_laid_off]]=100%,"1","0")</f>
        <v>1</v>
      </c>
      <c r="G549" t="s">
        <v>114</v>
      </c>
      <c r="H549" s="2">
        <v>44970</v>
      </c>
      <c r="I549" s="2" t="str">
        <f>TEXT(Table1[[#This Row],[date]],"dd")</f>
        <v>13</v>
      </c>
      <c r="J549" s="20">
        <f>DATE(2000,MONTH(Table1[[#This Row],[date]]),1)</f>
        <v>36557</v>
      </c>
      <c r="K549" s="18" t="str">
        <f>TEXT(Table1[[#This Row],[date]],"mm")</f>
        <v>02</v>
      </c>
      <c r="L549" s="16" t="s">
        <v>42</v>
      </c>
      <c r="M549">
        <v>2023</v>
      </c>
      <c r="N549" t="s">
        <v>47</v>
      </c>
      <c r="O549" t="s">
        <v>19</v>
      </c>
      <c r="P549" t="s">
        <v>15</v>
      </c>
      <c r="Q549">
        <f>AVERAGE(Table1[funds_raised_millions])</f>
        <v>470.28289473684208</v>
      </c>
      <c r="R549">
        <f>AVERAGE(Table1[total_laid_off])</f>
        <v>236.96936274509804</v>
      </c>
    </row>
    <row r="550" spans="1:18" x14ac:dyDescent="0.25">
      <c r="A550" s="3" t="s">
        <v>655</v>
      </c>
      <c r="B550" t="s">
        <v>656</v>
      </c>
      <c r="C550" t="s">
        <v>41</v>
      </c>
      <c r="D550" t="s">
        <v>15</v>
      </c>
      <c r="E550" s="1">
        <v>1</v>
      </c>
      <c r="F550" s="1" t="str">
        <f>IF(Table1[[#This Row],[percentage_laid_off]]=100%,"1","0")</f>
        <v>1</v>
      </c>
      <c r="G550" t="s">
        <v>114</v>
      </c>
      <c r="H550" s="2">
        <v>44010</v>
      </c>
      <c r="I550" s="2" t="str">
        <f>TEXT(Table1[[#This Row],[date]],"dd")</f>
        <v>28</v>
      </c>
      <c r="J550" s="20">
        <f>DATE(2000,MONTH(Table1[[#This Row],[date]]),1)</f>
        <v>36678</v>
      </c>
      <c r="K550" s="18" t="str">
        <f>TEXT(Table1[[#This Row],[date]],"mm")</f>
        <v>06</v>
      </c>
      <c r="L550" s="16" t="s">
        <v>73</v>
      </c>
      <c r="M550">
        <v>2020</v>
      </c>
      <c r="N550" t="s">
        <v>47</v>
      </c>
      <c r="O550" t="s">
        <v>19</v>
      </c>
      <c r="P550">
        <v>4</v>
      </c>
      <c r="Q550">
        <f>AVERAGE(Table1[funds_raised_millions])</f>
        <v>470.28289473684208</v>
      </c>
      <c r="R550">
        <f>AVERAGE(Table1[total_laid_off])</f>
        <v>236.96936274509804</v>
      </c>
    </row>
    <row r="551" spans="1:18" x14ac:dyDescent="0.25">
      <c r="A551" s="3" t="s">
        <v>657</v>
      </c>
      <c r="B551" t="s">
        <v>45</v>
      </c>
      <c r="C551" t="s">
        <v>41</v>
      </c>
      <c r="D551">
        <v>31</v>
      </c>
      <c r="E551" s="1">
        <v>0.1</v>
      </c>
      <c r="F551" s="1" t="str">
        <f>IF(Table1[[#This Row],[percentage_laid_off]]=100%,"1","0")</f>
        <v>0</v>
      </c>
      <c r="G551" t="s">
        <v>16</v>
      </c>
      <c r="H551" s="2">
        <v>44946</v>
      </c>
      <c r="I551" s="2" t="str">
        <f>TEXT(Table1[[#This Row],[date]],"dd")</f>
        <v>20</v>
      </c>
      <c r="J551" s="20">
        <f>DATE(2000,MONTH(Table1[[#This Row],[date]]),1)</f>
        <v>36526</v>
      </c>
      <c r="K551" s="18" t="str">
        <f>TEXT(Table1[[#This Row],[date]],"mm")</f>
        <v>01</v>
      </c>
      <c r="L551" s="16" t="s">
        <v>29</v>
      </c>
      <c r="M551">
        <v>2023</v>
      </c>
      <c r="N551" t="s">
        <v>47</v>
      </c>
      <c r="O551" t="s">
        <v>48</v>
      </c>
      <c r="P551">
        <v>14</v>
      </c>
      <c r="Q551">
        <f>AVERAGE(Table1[funds_raised_millions])</f>
        <v>470.28289473684208</v>
      </c>
      <c r="R551">
        <f>AVERAGE(Table1[total_laid_off])</f>
        <v>236.96936274509804</v>
      </c>
    </row>
    <row r="552" spans="1:18" x14ac:dyDescent="0.25">
      <c r="A552" s="3" t="s">
        <v>658</v>
      </c>
      <c r="B552" t="s">
        <v>13</v>
      </c>
      <c r="C552" t="s">
        <v>41</v>
      </c>
      <c r="D552">
        <v>400</v>
      </c>
      <c r="E552" s="1">
        <v>0.18</v>
      </c>
      <c r="F552" s="1" t="str">
        <f>IF(Table1[[#This Row],[percentage_laid_off]]=100%,"1","0")</f>
        <v>0</v>
      </c>
      <c r="G552" t="s">
        <v>28</v>
      </c>
      <c r="H552" s="2">
        <v>44742</v>
      </c>
      <c r="I552" s="2" t="str">
        <f>TEXT(Table1[[#This Row],[date]],"dd")</f>
        <v>30</v>
      </c>
      <c r="J552" s="20">
        <f>DATE(2000,MONTH(Table1[[#This Row],[date]]),1)</f>
        <v>36678</v>
      </c>
      <c r="K552" s="18" t="str">
        <f>TEXT(Table1[[#This Row],[date]],"mm")</f>
        <v>06</v>
      </c>
      <c r="L552" s="16" t="s">
        <v>73</v>
      </c>
      <c r="M552">
        <v>2022</v>
      </c>
      <c r="N552" t="s">
        <v>38</v>
      </c>
      <c r="O552" t="s">
        <v>19</v>
      </c>
      <c r="P552">
        <v>310</v>
      </c>
      <c r="Q552">
        <f>AVERAGE(Table1[funds_raised_millions])</f>
        <v>470.28289473684208</v>
      </c>
      <c r="R552">
        <f>AVERAGE(Table1[total_laid_off])</f>
        <v>236.96936274509804</v>
      </c>
    </row>
    <row r="553" spans="1:18" x14ac:dyDescent="0.25">
      <c r="A553" s="3" t="s">
        <v>659</v>
      </c>
      <c r="B553" t="s">
        <v>252</v>
      </c>
      <c r="C553" t="s">
        <v>22</v>
      </c>
      <c r="D553">
        <v>100</v>
      </c>
      <c r="E553" t="s">
        <v>15</v>
      </c>
      <c r="F553" s="1" t="str">
        <f>IF(Table1[[#This Row],[percentage_laid_off]]=100%,"1","0")</f>
        <v>0</v>
      </c>
      <c r="G553" t="b">
        <v>0</v>
      </c>
      <c r="H553" s="2">
        <v>44598</v>
      </c>
      <c r="I553" s="2" t="str">
        <f>TEXT(Table1[[#This Row],[date]],"dd")</f>
        <v>06</v>
      </c>
      <c r="J553" s="20">
        <f>DATE(2000,MONTH(Table1[[#This Row],[date]]),1)</f>
        <v>36557</v>
      </c>
      <c r="K553" s="18" t="str">
        <f>TEXT(Table1[[#This Row],[date]],"mm")</f>
        <v>02</v>
      </c>
      <c r="L553" s="16" t="s">
        <v>42</v>
      </c>
      <c r="M553">
        <v>2022</v>
      </c>
      <c r="N553" t="s">
        <v>47</v>
      </c>
      <c r="O553" t="s">
        <v>58</v>
      </c>
      <c r="P553" t="s">
        <v>15</v>
      </c>
      <c r="Q553">
        <f>AVERAGE(Table1[funds_raised_millions])</f>
        <v>470.28289473684208</v>
      </c>
      <c r="R553">
        <f>AVERAGE(Table1[total_laid_off])</f>
        <v>236.96936274509804</v>
      </c>
    </row>
    <row r="554" spans="1:18" x14ac:dyDescent="0.25">
      <c r="A554" s="3" t="s">
        <v>660</v>
      </c>
      <c r="B554" t="s">
        <v>13</v>
      </c>
      <c r="C554" t="s">
        <v>190</v>
      </c>
      <c r="D554">
        <v>58</v>
      </c>
      <c r="E554" s="1">
        <v>0.3</v>
      </c>
      <c r="F554" s="1" t="str">
        <f>IF(Table1[[#This Row],[percentage_laid_off]]=100%,"1","0")</f>
        <v>0</v>
      </c>
      <c r="G554" t="s">
        <v>28</v>
      </c>
      <c r="H554" s="2">
        <v>43935</v>
      </c>
      <c r="I554" s="2" t="str">
        <f>TEXT(Table1[[#This Row],[date]],"dd")</f>
        <v>14</v>
      </c>
      <c r="J554" s="20">
        <f>DATE(2000,MONTH(Table1[[#This Row],[date]]),1)</f>
        <v>36617</v>
      </c>
      <c r="K554" s="18" t="str">
        <f>TEXT(Table1[[#This Row],[date]],"mm")</f>
        <v>04</v>
      </c>
      <c r="L554" s="16" t="s">
        <v>37</v>
      </c>
      <c r="M554">
        <v>2020</v>
      </c>
      <c r="N554" t="s">
        <v>30</v>
      </c>
      <c r="O554" t="s">
        <v>19</v>
      </c>
      <c r="P554">
        <v>59</v>
      </c>
      <c r="Q554">
        <f>AVERAGE(Table1[funds_raised_millions])</f>
        <v>470.28289473684208</v>
      </c>
      <c r="R554">
        <f>AVERAGE(Table1[total_laid_off])</f>
        <v>236.96936274509804</v>
      </c>
    </row>
    <row r="555" spans="1:18" x14ac:dyDescent="0.25">
      <c r="A555" s="3" t="s">
        <v>661</v>
      </c>
      <c r="B555" t="s">
        <v>13</v>
      </c>
      <c r="C555" t="s">
        <v>82</v>
      </c>
      <c r="D555">
        <v>24</v>
      </c>
      <c r="E555" s="1">
        <v>0.25</v>
      </c>
      <c r="F555" s="1" t="str">
        <f>IF(Table1[[#This Row],[percentage_laid_off]]=100%,"1","0")</f>
        <v>0</v>
      </c>
      <c r="G555" t="s">
        <v>28</v>
      </c>
      <c r="H555" s="2">
        <v>45140</v>
      </c>
      <c r="I555" s="2" t="str">
        <f>TEXT(Table1[[#This Row],[date]],"dd")</f>
        <v>02</v>
      </c>
      <c r="J555" s="20">
        <f>DATE(2000,MONTH(Table1[[#This Row],[date]]),1)</f>
        <v>36739</v>
      </c>
      <c r="K555" s="18" t="str">
        <f>TEXT(Table1[[#This Row],[date]],"mm")</f>
        <v>08</v>
      </c>
      <c r="L555" s="16" t="s">
        <v>53</v>
      </c>
      <c r="M555">
        <v>2023</v>
      </c>
      <c r="N555" t="s">
        <v>30</v>
      </c>
      <c r="O555" t="s">
        <v>19</v>
      </c>
      <c r="P555">
        <v>85</v>
      </c>
      <c r="Q555">
        <f>AVERAGE(Table1[funds_raised_millions])</f>
        <v>470.28289473684208</v>
      </c>
      <c r="R555">
        <f>AVERAGE(Table1[total_laid_off])</f>
        <v>236.96936274509804</v>
      </c>
    </row>
    <row r="556" spans="1:18" x14ac:dyDescent="0.25">
      <c r="A556" s="3" t="s">
        <v>661</v>
      </c>
      <c r="B556" t="s">
        <v>13</v>
      </c>
      <c r="C556" t="s">
        <v>82</v>
      </c>
      <c r="D556">
        <v>25</v>
      </c>
      <c r="E556" s="1">
        <v>0.2</v>
      </c>
      <c r="F556" s="1" t="str">
        <f>IF(Table1[[#This Row],[percentage_laid_off]]=100%,"1","0")</f>
        <v>0</v>
      </c>
      <c r="G556" t="s">
        <v>28</v>
      </c>
      <c r="H556" s="2">
        <v>44865</v>
      </c>
      <c r="I556" s="2" t="str">
        <f>TEXT(Table1[[#This Row],[date]],"dd")</f>
        <v>31</v>
      </c>
      <c r="J556" s="20">
        <f>DATE(2000,MONTH(Table1[[#This Row],[date]]),1)</f>
        <v>36800</v>
      </c>
      <c r="K556" s="18" t="str">
        <f>TEXT(Table1[[#This Row],[date]],"mm")</f>
        <v>10</v>
      </c>
      <c r="L556" s="16" t="s">
        <v>95</v>
      </c>
      <c r="M556">
        <v>2022</v>
      </c>
      <c r="N556" t="s">
        <v>30</v>
      </c>
      <c r="O556" t="s">
        <v>19</v>
      </c>
      <c r="P556">
        <v>85</v>
      </c>
      <c r="Q556">
        <f>AVERAGE(Table1[funds_raised_millions])</f>
        <v>470.28289473684208</v>
      </c>
      <c r="R556">
        <f>AVERAGE(Table1[total_laid_off])</f>
        <v>236.96936274509804</v>
      </c>
    </row>
    <row r="557" spans="1:18" x14ac:dyDescent="0.25">
      <c r="A557" s="3" t="s">
        <v>662</v>
      </c>
      <c r="B557" t="s">
        <v>40</v>
      </c>
      <c r="C557" t="s">
        <v>82</v>
      </c>
      <c r="D557">
        <v>30</v>
      </c>
      <c r="E557" s="1">
        <v>0.27</v>
      </c>
      <c r="F557" s="1" t="str">
        <f>IF(Table1[[#This Row],[percentage_laid_off]]=100%,"1","0")</f>
        <v>0</v>
      </c>
      <c r="G557" t="s">
        <v>28</v>
      </c>
      <c r="H557" s="2">
        <v>44865</v>
      </c>
      <c r="I557" s="2" t="str">
        <f>TEXT(Table1[[#This Row],[date]],"dd")</f>
        <v>31</v>
      </c>
      <c r="J557" s="20">
        <f>DATE(2000,MONTH(Table1[[#This Row],[date]]),1)</f>
        <v>36800</v>
      </c>
      <c r="K557" s="18" t="str">
        <f>TEXT(Table1[[#This Row],[date]],"mm")</f>
        <v>10</v>
      </c>
      <c r="L557" s="16" t="s">
        <v>95</v>
      </c>
      <c r="M557">
        <v>2022</v>
      </c>
      <c r="N557" t="s">
        <v>30</v>
      </c>
      <c r="O557" t="s">
        <v>19</v>
      </c>
      <c r="P557">
        <v>11</v>
      </c>
      <c r="Q557">
        <f>AVERAGE(Table1[funds_raised_millions])</f>
        <v>470.28289473684208</v>
      </c>
      <c r="R557">
        <f>AVERAGE(Table1[total_laid_off])</f>
        <v>236.96936274509804</v>
      </c>
    </row>
    <row r="558" spans="1:18" x14ac:dyDescent="0.25">
      <c r="A558" s="3" t="s">
        <v>663</v>
      </c>
      <c r="B558" t="s">
        <v>77</v>
      </c>
      <c r="C558" t="s">
        <v>161</v>
      </c>
      <c r="D558">
        <v>8500</v>
      </c>
      <c r="E558" s="1">
        <v>0.08</v>
      </c>
      <c r="F558" s="1" t="str">
        <f>IF(Table1[[#This Row],[percentage_laid_off]]=100%,"1","0")</f>
        <v>0</v>
      </c>
      <c r="G558" t="s">
        <v>16</v>
      </c>
      <c r="H558" s="2">
        <v>44981</v>
      </c>
      <c r="I558" s="2" t="str">
        <f>TEXT(Table1[[#This Row],[date]],"dd")</f>
        <v>24</v>
      </c>
      <c r="J558" s="20">
        <f>DATE(2000,MONTH(Table1[[#This Row],[date]]),1)</f>
        <v>36557</v>
      </c>
      <c r="K558" s="18" t="str">
        <f>TEXT(Table1[[#This Row],[date]],"mm")</f>
        <v>02</v>
      </c>
      <c r="L558" s="16" t="s">
        <v>42</v>
      </c>
      <c r="M558">
        <v>2023</v>
      </c>
      <c r="N558" t="s">
        <v>38</v>
      </c>
      <c r="O558" t="s">
        <v>79</v>
      </c>
      <c r="P558">
        <v>663</v>
      </c>
      <c r="Q558">
        <f>AVERAGE(Table1[funds_raised_millions])</f>
        <v>470.28289473684208</v>
      </c>
      <c r="R558">
        <f>AVERAGE(Table1[total_laid_off])</f>
        <v>236.96936274509804</v>
      </c>
    </row>
    <row r="559" spans="1:18" x14ac:dyDescent="0.25">
      <c r="A559" s="3" t="s">
        <v>664</v>
      </c>
      <c r="B559" t="s">
        <v>13</v>
      </c>
      <c r="C559" t="s">
        <v>181</v>
      </c>
      <c r="D559">
        <v>30</v>
      </c>
      <c r="E559" s="1">
        <v>0.17</v>
      </c>
      <c r="F559" s="1" t="str">
        <f>IF(Table1[[#This Row],[percentage_laid_off]]=100%,"1","0")</f>
        <v>0</v>
      </c>
      <c r="G559" t="s">
        <v>28</v>
      </c>
      <c r="H559" s="2">
        <v>44949</v>
      </c>
      <c r="I559" s="2" t="str">
        <f>TEXT(Table1[[#This Row],[date]],"dd")</f>
        <v>23</v>
      </c>
      <c r="J559" s="20">
        <f>DATE(2000,MONTH(Table1[[#This Row],[date]]),1)</f>
        <v>36526</v>
      </c>
      <c r="K559" s="18" t="str">
        <f>TEXT(Table1[[#This Row],[date]],"mm")</f>
        <v>01</v>
      </c>
      <c r="L559" s="16" t="s">
        <v>29</v>
      </c>
      <c r="M559">
        <v>2023</v>
      </c>
      <c r="N559" t="s">
        <v>30</v>
      </c>
      <c r="O559" t="s">
        <v>19</v>
      </c>
      <c r="P559">
        <v>97</v>
      </c>
      <c r="Q559">
        <f>AVERAGE(Table1[funds_raised_millions])</f>
        <v>470.28289473684208</v>
      </c>
      <c r="R559">
        <f>AVERAGE(Table1[total_laid_off])</f>
        <v>236.96936274509804</v>
      </c>
    </row>
    <row r="560" spans="1:18" x14ac:dyDescent="0.25">
      <c r="A560" s="3" t="s">
        <v>665</v>
      </c>
      <c r="B560" t="s">
        <v>81</v>
      </c>
      <c r="C560" t="s">
        <v>51</v>
      </c>
      <c r="D560">
        <v>40</v>
      </c>
      <c r="E560" t="s">
        <v>15</v>
      </c>
      <c r="F560" s="1" t="str">
        <f>IF(Table1[[#This Row],[percentage_laid_off]]=100%,"1","0")</f>
        <v>0</v>
      </c>
      <c r="G560" t="b">
        <v>0</v>
      </c>
      <c r="H560" s="2">
        <v>44657</v>
      </c>
      <c r="I560" s="2" t="str">
        <f>TEXT(Table1[[#This Row],[date]],"dd")</f>
        <v>06</v>
      </c>
      <c r="J560" s="20">
        <f>DATE(2000,MONTH(Table1[[#This Row],[date]]),1)</f>
        <v>36617</v>
      </c>
      <c r="K560" s="18" t="str">
        <f>TEXT(Table1[[#This Row],[date]],"mm")</f>
        <v>04</v>
      </c>
      <c r="L560" s="16" t="s">
        <v>37</v>
      </c>
      <c r="M560">
        <v>2022</v>
      </c>
      <c r="N560" t="s">
        <v>18</v>
      </c>
      <c r="O560" t="s">
        <v>83</v>
      </c>
      <c r="P560">
        <v>1200</v>
      </c>
      <c r="Q560">
        <f>AVERAGE(Table1[funds_raised_millions])</f>
        <v>470.28289473684208</v>
      </c>
      <c r="R560">
        <f>AVERAGE(Table1[total_laid_off])</f>
        <v>236.96936274509804</v>
      </c>
    </row>
    <row r="561" spans="1:18" x14ac:dyDescent="0.25">
      <c r="A561" s="3" t="s">
        <v>666</v>
      </c>
      <c r="B561" t="s">
        <v>68</v>
      </c>
      <c r="C561" t="s">
        <v>161</v>
      </c>
      <c r="D561" t="s">
        <v>15</v>
      </c>
      <c r="E561" s="1">
        <v>0.12</v>
      </c>
      <c r="F561" s="1" t="str">
        <f>IF(Table1[[#This Row],[percentage_laid_off]]=100%,"1","0")</f>
        <v>0</v>
      </c>
      <c r="G561" t="s">
        <v>28</v>
      </c>
      <c r="H561" s="2">
        <v>44735</v>
      </c>
      <c r="I561" s="2" t="str">
        <f>TEXT(Table1[[#This Row],[date]],"dd")</f>
        <v>23</v>
      </c>
      <c r="J561" s="20">
        <f>DATE(2000,MONTH(Table1[[#This Row],[date]]),1)</f>
        <v>36678</v>
      </c>
      <c r="K561" s="18" t="str">
        <f>TEXT(Table1[[#This Row],[date]],"mm")</f>
        <v>06</v>
      </c>
      <c r="L561" s="16" t="s">
        <v>73</v>
      </c>
      <c r="M561">
        <v>2022</v>
      </c>
      <c r="N561" t="s">
        <v>24</v>
      </c>
      <c r="O561" t="s">
        <v>19</v>
      </c>
      <c r="P561">
        <v>10</v>
      </c>
      <c r="Q561">
        <f>AVERAGE(Table1[funds_raised_millions])</f>
        <v>470.28289473684208</v>
      </c>
      <c r="R561">
        <f>AVERAGE(Table1[total_laid_off])</f>
        <v>236.96936274509804</v>
      </c>
    </row>
    <row r="562" spans="1:18" x14ac:dyDescent="0.25">
      <c r="A562" s="3" t="s">
        <v>666</v>
      </c>
      <c r="B562" t="s">
        <v>68</v>
      </c>
      <c r="C562" t="s">
        <v>161</v>
      </c>
      <c r="D562" t="s">
        <v>15</v>
      </c>
      <c r="E562" s="1">
        <v>0.21</v>
      </c>
      <c r="F562" s="1" t="str">
        <f>IF(Table1[[#This Row],[percentage_laid_off]]=100%,"1","0")</f>
        <v>0</v>
      </c>
      <c r="G562" t="s">
        <v>28</v>
      </c>
      <c r="H562" s="2">
        <v>45200</v>
      </c>
      <c r="I562" s="2" t="str">
        <f>TEXT(Table1[[#This Row],[date]],"dd")</f>
        <v>01</v>
      </c>
      <c r="J562" s="20">
        <f>DATE(2000,MONTH(Table1[[#This Row],[date]]),1)</f>
        <v>36800</v>
      </c>
      <c r="K562" s="18" t="str">
        <f>TEXT(Table1[[#This Row],[date]],"mm")</f>
        <v>10</v>
      </c>
      <c r="L562" s="16" t="s">
        <v>95</v>
      </c>
      <c r="M562">
        <v>2023</v>
      </c>
      <c r="N562" t="s">
        <v>24</v>
      </c>
      <c r="O562" t="s">
        <v>19</v>
      </c>
      <c r="P562">
        <v>10</v>
      </c>
      <c r="Q562">
        <f>AVERAGE(Table1[funds_raised_millions])</f>
        <v>470.28289473684208</v>
      </c>
      <c r="R562">
        <f>AVERAGE(Table1[total_laid_off])</f>
        <v>236.96936274509804</v>
      </c>
    </row>
    <row r="563" spans="1:18" x14ac:dyDescent="0.25">
      <c r="A563" s="3" t="s">
        <v>667</v>
      </c>
      <c r="B563" t="s">
        <v>371</v>
      </c>
      <c r="C563" t="s">
        <v>161</v>
      </c>
      <c r="D563">
        <v>40</v>
      </c>
      <c r="E563" t="s">
        <v>15</v>
      </c>
      <c r="F563" s="1" t="str">
        <f>IF(Table1[[#This Row],[percentage_laid_off]]=100%,"1","0")</f>
        <v>0</v>
      </c>
      <c r="G563" t="b">
        <v>0</v>
      </c>
      <c r="H563" s="2">
        <v>44895</v>
      </c>
      <c r="I563" s="2" t="str">
        <f>TEXT(Table1[[#This Row],[date]],"dd")</f>
        <v>30</v>
      </c>
      <c r="J563" s="20">
        <f>DATE(2000,MONTH(Table1[[#This Row],[date]]),1)</f>
        <v>36831</v>
      </c>
      <c r="K563" s="18" t="str">
        <f>TEXT(Table1[[#This Row],[date]],"mm")</f>
        <v>11</v>
      </c>
      <c r="L563" s="16" t="s">
        <v>23</v>
      </c>
      <c r="M563">
        <v>2022</v>
      </c>
      <c r="N563" t="s">
        <v>47</v>
      </c>
      <c r="O563" t="s">
        <v>372</v>
      </c>
      <c r="P563" t="s">
        <v>15</v>
      </c>
      <c r="Q563">
        <f>AVERAGE(Table1[funds_raised_millions])</f>
        <v>470.28289473684208</v>
      </c>
      <c r="R563">
        <f>AVERAGE(Table1[total_laid_off])</f>
        <v>236.96936274509804</v>
      </c>
    </row>
    <row r="564" spans="1:18" x14ac:dyDescent="0.25">
      <c r="A564" s="3" t="s">
        <v>668</v>
      </c>
      <c r="B564" t="s">
        <v>13</v>
      </c>
      <c r="C564" t="s">
        <v>82</v>
      </c>
      <c r="D564">
        <v>18</v>
      </c>
      <c r="E564" s="1">
        <v>0.14000000000000001</v>
      </c>
      <c r="F564" s="1" t="str">
        <f>IF(Table1[[#This Row],[percentage_laid_off]]=100%,"1","0")</f>
        <v>0</v>
      </c>
      <c r="G564" t="s">
        <v>28</v>
      </c>
      <c r="H564" s="2">
        <v>43957</v>
      </c>
      <c r="I564" s="2" t="str">
        <f>TEXT(Table1[[#This Row],[date]],"dd")</f>
        <v>06</v>
      </c>
      <c r="J564" s="20">
        <f>DATE(2000,MONTH(Table1[[#This Row],[date]]),1)</f>
        <v>36647</v>
      </c>
      <c r="K564" s="18" t="str">
        <f>TEXT(Table1[[#This Row],[date]],"mm")</f>
        <v>05</v>
      </c>
      <c r="L564" s="16" t="s">
        <v>86</v>
      </c>
      <c r="M564">
        <v>2020</v>
      </c>
      <c r="N564" t="s">
        <v>35</v>
      </c>
      <c r="O564" t="s">
        <v>19</v>
      </c>
      <c r="P564">
        <v>106</v>
      </c>
      <c r="Q564">
        <f>AVERAGE(Table1[funds_raised_millions])</f>
        <v>470.28289473684208</v>
      </c>
      <c r="R564">
        <f>AVERAGE(Table1[total_laid_off])</f>
        <v>236.96936274509804</v>
      </c>
    </row>
    <row r="565" spans="1:18" x14ac:dyDescent="0.25">
      <c r="A565" s="3" t="s">
        <v>668</v>
      </c>
      <c r="B565" t="s">
        <v>13</v>
      </c>
      <c r="C565" t="s">
        <v>82</v>
      </c>
      <c r="D565">
        <v>40</v>
      </c>
      <c r="E565" s="1">
        <v>0.12</v>
      </c>
      <c r="F565" s="1" t="str">
        <f>IF(Table1[[#This Row],[percentage_laid_off]]=100%,"1","0")</f>
        <v>0</v>
      </c>
      <c r="G565" t="s">
        <v>28</v>
      </c>
      <c r="H565" s="2">
        <v>44736</v>
      </c>
      <c r="I565" s="2" t="str">
        <f>TEXT(Table1[[#This Row],[date]],"dd")</f>
        <v>24</v>
      </c>
      <c r="J565" s="20">
        <f>DATE(2000,MONTH(Table1[[#This Row],[date]]),1)</f>
        <v>36678</v>
      </c>
      <c r="K565" s="18" t="str">
        <f>TEXT(Table1[[#This Row],[date]],"mm")</f>
        <v>06</v>
      </c>
      <c r="L565" s="16" t="s">
        <v>73</v>
      </c>
      <c r="M565">
        <v>2022</v>
      </c>
      <c r="N565" t="s">
        <v>43</v>
      </c>
      <c r="O565" t="s">
        <v>19</v>
      </c>
      <c r="P565">
        <v>406</v>
      </c>
      <c r="Q565">
        <f>AVERAGE(Table1[funds_raised_millions])</f>
        <v>470.28289473684208</v>
      </c>
      <c r="R565">
        <f>AVERAGE(Table1[total_laid_off])</f>
        <v>236.96936274509804</v>
      </c>
    </row>
    <row r="566" spans="1:18" x14ac:dyDescent="0.25">
      <c r="A566" s="3" t="s">
        <v>668</v>
      </c>
      <c r="B566" t="s">
        <v>13</v>
      </c>
      <c r="C566" t="s">
        <v>82</v>
      </c>
      <c r="D566">
        <v>50</v>
      </c>
      <c r="E566" t="s">
        <v>15</v>
      </c>
      <c r="F566" s="1" t="str">
        <f>IF(Table1[[#This Row],[percentage_laid_off]]=100%,"1","0")</f>
        <v>0</v>
      </c>
      <c r="G566" t="b">
        <v>0</v>
      </c>
      <c r="H566" s="2">
        <v>44978</v>
      </c>
      <c r="I566" s="2" t="str">
        <f>TEXT(Table1[[#This Row],[date]],"dd")</f>
        <v>21</v>
      </c>
      <c r="J566" s="20">
        <f>DATE(2000,MONTH(Table1[[#This Row],[date]]),1)</f>
        <v>36557</v>
      </c>
      <c r="K566" s="18" t="str">
        <f>TEXT(Table1[[#This Row],[date]],"mm")</f>
        <v>02</v>
      </c>
      <c r="L566" s="16" t="s">
        <v>42</v>
      </c>
      <c r="M566">
        <v>2023</v>
      </c>
      <c r="N566" t="s">
        <v>43</v>
      </c>
      <c r="O566" t="s">
        <v>19</v>
      </c>
      <c r="P566">
        <v>406</v>
      </c>
      <c r="Q566">
        <f>AVERAGE(Table1[funds_raised_millions])</f>
        <v>470.28289473684208</v>
      </c>
      <c r="R566">
        <f>AVERAGE(Table1[total_laid_off])</f>
        <v>236.96936274509804</v>
      </c>
    </row>
    <row r="567" spans="1:18" x14ac:dyDescent="0.25">
      <c r="A567" s="3" t="s">
        <v>669</v>
      </c>
      <c r="B567" t="s">
        <v>170</v>
      </c>
      <c r="C567" t="s">
        <v>82</v>
      </c>
      <c r="D567">
        <v>100</v>
      </c>
      <c r="E567" s="1">
        <v>0.06</v>
      </c>
      <c r="F567" s="1" t="str">
        <f>IF(Table1[[#This Row],[percentage_laid_off]]=100%,"1","0")</f>
        <v>0</v>
      </c>
      <c r="G567" t="s">
        <v>16</v>
      </c>
      <c r="H567" s="2">
        <v>44688</v>
      </c>
      <c r="I567" s="2" t="str">
        <f>TEXT(Table1[[#This Row],[date]],"dd")</f>
        <v>07</v>
      </c>
      <c r="J567" s="20">
        <f>DATE(2000,MONTH(Table1[[#This Row],[date]]),1)</f>
        <v>36647</v>
      </c>
      <c r="K567" s="18" t="str">
        <f>TEXT(Table1[[#This Row],[date]],"mm")</f>
        <v>05</v>
      </c>
      <c r="L567" s="16" t="s">
        <v>86</v>
      </c>
      <c r="M567">
        <v>2022</v>
      </c>
      <c r="N567" t="s">
        <v>47</v>
      </c>
      <c r="O567" t="s">
        <v>172</v>
      </c>
      <c r="P567">
        <v>322</v>
      </c>
      <c r="Q567">
        <f>AVERAGE(Table1[funds_raised_millions])</f>
        <v>470.28289473684208</v>
      </c>
      <c r="R567">
        <f>AVERAGE(Table1[total_laid_off])</f>
        <v>236.96936274509804</v>
      </c>
    </row>
    <row r="568" spans="1:18" x14ac:dyDescent="0.25">
      <c r="A568" s="3" t="s">
        <v>670</v>
      </c>
      <c r="B568" t="s">
        <v>55</v>
      </c>
      <c r="C568" t="s">
        <v>14</v>
      </c>
      <c r="D568">
        <v>50</v>
      </c>
      <c r="E568" s="1">
        <v>0.2</v>
      </c>
      <c r="F568" s="1" t="str">
        <f>IF(Table1[[#This Row],[percentage_laid_off]]=100%,"1","0")</f>
        <v>0</v>
      </c>
      <c r="G568" t="s">
        <v>28</v>
      </c>
      <c r="H568" s="2">
        <v>44764</v>
      </c>
      <c r="I568" s="2" t="str">
        <f>TEXT(Table1[[#This Row],[date]],"dd")</f>
        <v>22</v>
      </c>
      <c r="J568" s="20">
        <f>DATE(2000,MONTH(Table1[[#This Row],[date]]),1)</f>
        <v>36708</v>
      </c>
      <c r="K568" s="18" t="str">
        <f>TEXT(Table1[[#This Row],[date]],"mm")</f>
        <v>07</v>
      </c>
      <c r="L568" s="16" t="s">
        <v>17</v>
      </c>
      <c r="M568">
        <v>2022</v>
      </c>
      <c r="N568" t="s">
        <v>35</v>
      </c>
      <c r="O568" t="s">
        <v>19</v>
      </c>
      <c r="P568">
        <v>69</v>
      </c>
      <c r="Q568">
        <f>AVERAGE(Table1[funds_raised_millions])</f>
        <v>470.28289473684208</v>
      </c>
      <c r="R568">
        <f>AVERAGE(Table1[total_laid_off])</f>
        <v>236.96936274509804</v>
      </c>
    </row>
    <row r="569" spans="1:18" x14ac:dyDescent="0.25">
      <c r="A569" s="3" t="s">
        <v>671</v>
      </c>
      <c r="B569" t="s">
        <v>13</v>
      </c>
      <c r="C569" t="s">
        <v>34</v>
      </c>
      <c r="D569">
        <v>80</v>
      </c>
      <c r="E569" s="1">
        <v>0.08</v>
      </c>
      <c r="F569" s="1" t="str">
        <f>IF(Table1[[#This Row],[percentage_laid_off]]=100%,"1","0")</f>
        <v>0</v>
      </c>
      <c r="G569" t="s">
        <v>16</v>
      </c>
      <c r="H569" s="2">
        <v>44985</v>
      </c>
      <c r="I569" s="2" t="str">
        <f>TEXT(Table1[[#This Row],[date]],"dd")</f>
        <v>28</v>
      </c>
      <c r="J569" s="20">
        <f>DATE(2000,MONTH(Table1[[#This Row],[date]]),1)</f>
        <v>36557</v>
      </c>
      <c r="K569" s="18" t="str">
        <f>TEXT(Table1[[#This Row],[date]],"mm")</f>
        <v>02</v>
      </c>
      <c r="L569" s="16" t="s">
        <v>42</v>
      </c>
      <c r="M569">
        <v>2023</v>
      </c>
      <c r="N569" t="s">
        <v>38</v>
      </c>
      <c r="O569" t="s">
        <v>19</v>
      </c>
      <c r="P569">
        <v>557</v>
      </c>
      <c r="Q569">
        <f>AVERAGE(Table1[funds_raised_millions])</f>
        <v>470.28289473684208</v>
      </c>
      <c r="R569">
        <f>AVERAGE(Table1[total_laid_off])</f>
        <v>236.96936274509804</v>
      </c>
    </row>
    <row r="570" spans="1:18" x14ac:dyDescent="0.25">
      <c r="A570" s="3" t="s">
        <v>671</v>
      </c>
      <c r="B570" t="s">
        <v>13</v>
      </c>
      <c r="C570" t="s">
        <v>34</v>
      </c>
      <c r="D570">
        <v>500</v>
      </c>
      <c r="E570" s="1">
        <v>0.45</v>
      </c>
      <c r="F570" s="1" t="str">
        <f>IF(Table1[[#This Row],[percentage_laid_off]]=100%,"1","0")</f>
        <v>0</v>
      </c>
      <c r="G570" t="s">
        <v>28</v>
      </c>
      <c r="H570" s="2">
        <v>44047</v>
      </c>
      <c r="I570" s="2" t="str">
        <f>TEXT(Table1[[#This Row],[date]],"dd")</f>
        <v>04</v>
      </c>
      <c r="J570" s="20">
        <f>DATE(2000,MONTH(Table1[[#This Row],[date]]),1)</f>
        <v>36739</v>
      </c>
      <c r="K570" s="18" t="str">
        <f>TEXT(Table1[[#This Row],[date]],"mm")</f>
        <v>08</v>
      </c>
      <c r="L570" s="16" t="s">
        <v>53</v>
      </c>
      <c r="M570">
        <v>2020</v>
      </c>
      <c r="N570" t="s">
        <v>38</v>
      </c>
      <c r="O570" t="s">
        <v>19</v>
      </c>
      <c r="P570">
        <v>332</v>
      </c>
      <c r="Q570">
        <f>AVERAGE(Table1[funds_raised_millions])</f>
        <v>470.28289473684208</v>
      </c>
      <c r="R570">
        <f>AVERAGE(Table1[total_laid_off])</f>
        <v>236.96936274509804</v>
      </c>
    </row>
    <row r="571" spans="1:18" x14ac:dyDescent="0.25">
      <c r="A571" s="3" t="s">
        <v>672</v>
      </c>
      <c r="B571" t="s">
        <v>88</v>
      </c>
      <c r="C571" t="s">
        <v>161</v>
      </c>
      <c r="D571">
        <v>200</v>
      </c>
      <c r="E571" t="s">
        <v>15</v>
      </c>
      <c r="F571" s="1" t="str">
        <f>IF(Table1[[#This Row],[percentage_laid_off]]=100%,"1","0")</f>
        <v>0</v>
      </c>
      <c r="G571" t="b">
        <v>0</v>
      </c>
      <c r="H571" s="2">
        <v>44784</v>
      </c>
      <c r="I571" s="2" t="str">
        <f>TEXT(Table1[[#This Row],[date]],"dd")</f>
        <v>11</v>
      </c>
      <c r="J571" s="20">
        <f>DATE(2000,MONTH(Table1[[#This Row],[date]]),1)</f>
        <v>36739</v>
      </c>
      <c r="K571" s="18" t="str">
        <f>TEXT(Table1[[#This Row],[date]],"mm")</f>
        <v>08</v>
      </c>
      <c r="L571" s="16" t="s">
        <v>53</v>
      </c>
      <c r="M571">
        <v>2022</v>
      </c>
      <c r="N571" t="s">
        <v>38</v>
      </c>
      <c r="O571" t="s">
        <v>19</v>
      </c>
      <c r="P571">
        <v>476</v>
      </c>
      <c r="Q571">
        <f>AVERAGE(Table1[funds_raised_millions])</f>
        <v>470.28289473684208</v>
      </c>
      <c r="R571">
        <f>AVERAGE(Table1[total_laid_off])</f>
        <v>236.96936274509804</v>
      </c>
    </row>
    <row r="572" spans="1:18" x14ac:dyDescent="0.25">
      <c r="A572" s="3" t="s">
        <v>673</v>
      </c>
      <c r="B572" t="s">
        <v>13</v>
      </c>
      <c r="C572" t="s">
        <v>41</v>
      </c>
      <c r="D572">
        <v>30</v>
      </c>
      <c r="E572" s="1">
        <v>0.17</v>
      </c>
      <c r="F572" s="1" t="str">
        <f>IF(Table1[[#This Row],[percentage_laid_off]]=100%,"1","0")</f>
        <v>0</v>
      </c>
      <c r="G572" t="s">
        <v>28</v>
      </c>
      <c r="H572" s="2">
        <v>45047</v>
      </c>
      <c r="I572" s="2" t="str">
        <f>TEXT(Table1[[#This Row],[date]],"dd")</f>
        <v>01</v>
      </c>
      <c r="J572" s="20">
        <f>DATE(2000,MONTH(Table1[[#This Row],[date]]),1)</f>
        <v>36647</v>
      </c>
      <c r="K572" s="18" t="str">
        <f>TEXT(Table1[[#This Row],[date]],"mm")</f>
        <v>05</v>
      </c>
      <c r="L572" s="16" t="s">
        <v>86</v>
      </c>
      <c r="M572">
        <v>2023</v>
      </c>
      <c r="N572" t="s">
        <v>47</v>
      </c>
      <c r="O572" t="s">
        <v>19</v>
      </c>
      <c r="P572">
        <v>176</v>
      </c>
      <c r="Q572">
        <f>AVERAGE(Table1[funds_raised_millions])</f>
        <v>470.28289473684208</v>
      </c>
      <c r="R572">
        <f>AVERAGE(Table1[total_laid_off])</f>
        <v>236.96936274509804</v>
      </c>
    </row>
    <row r="573" spans="1:18" x14ac:dyDescent="0.25">
      <c r="A573" s="3" t="s">
        <v>673</v>
      </c>
      <c r="B573" t="s">
        <v>13</v>
      </c>
      <c r="C573" t="s">
        <v>41</v>
      </c>
      <c r="D573">
        <v>227</v>
      </c>
      <c r="E573" t="s">
        <v>15</v>
      </c>
      <c r="F573" s="1" t="str">
        <f>IF(Table1[[#This Row],[percentage_laid_off]]=100%,"1","0")</f>
        <v>0</v>
      </c>
      <c r="G573" t="b">
        <v>0</v>
      </c>
      <c r="H573" s="2">
        <v>43917</v>
      </c>
      <c r="I573" s="2" t="str">
        <f>TEXT(Table1[[#This Row],[date]],"dd")</f>
        <v>27</v>
      </c>
      <c r="J573" s="20">
        <f>DATE(2000,MONTH(Table1[[#This Row],[date]]),1)</f>
        <v>36586</v>
      </c>
      <c r="K573" s="18" t="str">
        <f>TEXT(Table1[[#This Row],[date]],"mm")</f>
        <v>03</v>
      </c>
      <c r="L573" s="16" t="s">
        <v>57</v>
      </c>
      <c r="M573">
        <v>2020</v>
      </c>
      <c r="N573" t="s">
        <v>47</v>
      </c>
      <c r="O573" t="s">
        <v>19</v>
      </c>
      <c r="P573">
        <v>18</v>
      </c>
      <c r="Q573">
        <f>AVERAGE(Table1[funds_raised_millions])</f>
        <v>470.28289473684208</v>
      </c>
      <c r="R573">
        <f>AVERAGE(Table1[total_laid_off])</f>
        <v>236.96936274509804</v>
      </c>
    </row>
    <row r="574" spans="1:18" x14ac:dyDescent="0.25">
      <c r="A574" s="3" t="s">
        <v>674</v>
      </c>
      <c r="B574" t="s">
        <v>13</v>
      </c>
      <c r="C574" t="s">
        <v>34</v>
      </c>
      <c r="D574">
        <v>129</v>
      </c>
      <c r="E574" t="s">
        <v>15</v>
      </c>
      <c r="F574" s="1" t="str">
        <f>IF(Table1[[#This Row],[percentage_laid_off]]=100%,"1","0")</f>
        <v>0</v>
      </c>
      <c r="G574" t="b">
        <v>0</v>
      </c>
      <c r="H574" s="2">
        <v>44974</v>
      </c>
      <c r="I574" s="2" t="str">
        <f>TEXT(Table1[[#This Row],[date]],"dd")</f>
        <v>17</v>
      </c>
      <c r="J574" s="20">
        <f>DATE(2000,MONTH(Table1[[#This Row],[date]]),1)</f>
        <v>36557</v>
      </c>
      <c r="K574" s="18" t="str">
        <f>TEXT(Table1[[#This Row],[date]],"mm")</f>
        <v>02</v>
      </c>
      <c r="L574" s="16" t="s">
        <v>42</v>
      </c>
      <c r="M574">
        <v>2023</v>
      </c>
      <c r="N574" t="s">
        <v>71</v>
      </c>
      <c r="O574" t="s">
        <v>19</v>
      </c>
      <c r="P574">
        <v>290</v>
      </c>
      <c r="Q574">
        <f>AVERAGE(Table1[funds_raised_millions])</f>
        <v>470.28289473684208</v>
      </c>
      <c r="R574">
        <f>AVERAGE(Table1[total_laid_off])</f>
        <v>236.96936274509804</v>
      </c>
    </row>
    <row r="575" spans="1:18" x14ac:dyDescent="0.25">
      <c r="A575" s="3" t="s">
        <v>675</v>
      </c>
      <c r="B575" t="s">
        <v>33</v>
      </c>
      <c r="C575" t="s">
        <v>69</v>
      </c>
      <c r="D575">
        <v>40</v>
      </c>
      <c r="E575" t="s">
        <v>15</v>
      </c>
      <c r="F575" s="1" t="str">
        <f>IF(Table1[[#This Row],[percentage_laid_off]]=100%,"1","0")</f>
        <v>0</v>
      </c>
      <c r="G575" t="b">
        <v>0</v>
      </c>
      <c r="H575" s="2">
        <v>44980</v>
      </c>
      <c r="I575" s="2" t="str">
        <f>TEXT(Table1[[#This Row],[date]],"dd")</f>
        <v>23</v>
      </c>
      <c r="J575" s="20">
        <f>DATE(2000,MONTH(Table1[[#This Row],[date]]),1)</f>
        <v>36557</v>
      </c>
      <c r="K575" s="18" t="str">
        <f>TEXT(Table1[[#This Row],[date]],"mm")</f>
        <v>02</v>
      </c>
      <c r="L575" s="16" t="s">
        <v>42</v>
      </c>
      <c r="M575">
        <v>2023</v>
      </c>
      <c r="N575" t="s">
        <v>38</v>
      </c>
      <c r="O575" t="s">
        <v>19</v>
      </c>
      <c r="P575">
        <v>400</v>
      </c>
      <c r="Q575">
        <f>AVERAGE(Table1[funds_raised_millions])</f>
        <v>470.28289473684208</v>
      </c>
      <c r="R575">
        <f>AVERAGE(Table1[total_laid_off])</f>
        <v>236.96936274509804</v>
      </c>
    </row>
    <row r="576" spans="1:18" x14ac:dyDescent="0.25">
      <c r="A576" s="3" t="s">
        <v>676</v>
      </c>
      <c r="B576" t="s">
        <v>677</v>
      </c>
      <c r="C576" t="s">
        <v>46</v>
      </c>
      <c r="D576">
        <v>59</v>
      </c>
      <c r="E576" s="1">
        <v>0.22</v>
      </c>
      <c r="F576" s="1" t="str">
        <f>IF(Table1[[#This Row],[percentage_laid_off]]=100%,"1","0")</f>
        <v>0</v>
      </c>
      <c r="G576" t="s">
        <v>28</v>
      </c>
      <c r="H576" s="2">
        <v>44662</v>
      </c>
      <c r="I576" s="2" t="str">
        <f>TEXT(Table1[[#This Row],[date]],"dd")</f>
        <v>11</v>
      </c>
      <c r="J576" s="20">
        <f>DATE(2000,MONTH(Table1[[#This Row],[date]]),1)</f>
        <v>36617</v>
      </c>
      <c r="K576" s="18" t="str">
        <f>TEXT(Table1[[#This Row],[date]],"mm")</f>
        <v>04</v>
      </c>
      <c r="L576" s="16" t="s">
        <v>37</v>
      </c>
      <c r="M576">
        <v>2022</v>
      </c>
      <c r="N576" t="s">
        <v>47</v>
      </c>
      <c r="O576" t="s">
        <v>19</v>
      </c>
      <c r="P576">
        <v>60</v>
      </c>
      <c r="Q576">
        <f>AVERAGE(Table1[funds_raised_millions])</f>
        <v>470.28289473684208</v>
      </c>
      <c r="R576">
        <f>AVERAGE(Table1[total_laid_off])</f>
        <v>236.96936274509804</v>
      </c>
    </row>
    <row r="577" spans="1:18" x14ac:dyDescent="0.25">
      <c r="A577" s="3" t="s">
        <v>678</v>
      </c>
      <c r="B577" t="s">
        <v>313</v>
      </c>
      <c r="C577" t="s">
        <v>66</v>
      </c>
      <c r="D577">
        <v>142</v>
      </c>
      <c r="E577" s="1">
        <v>0.15</v>
      </c>
      <c r="F577" s="1" t="str">
        <f>IF(Table1[[#This Row],[percentage_laid_off]]=100%,"1","0")</f>
        <v>0</v>
      </c>
      <c r="G577" t="s">
        <v>28</v>
      </c>
      <c r="H577" s="2">
        <v>44943</v>
      </c>
      <c r="I577" s="2" t="str">
        <f>TEXT(Table1[[#This Row],[date]],"dd")</f>
        <v>17</v>
      </c>
      <c r="J577" s="20">
        <f>DATE(2000,MONTH(Table1[[#This Row],[date]]),1)</f>
        <v>36526</v>
      </c>
      <c r="K577" s="18" t="str">
        <f>TEXT(Table1[[#This Row],[date]],"mm")</f>
        <v>01</v>
      </c>
      <c r="L577" s="16" t="s">
        <v>29</v>
      </c>
      <c r="M577">
        <v>2023</v>
      </c>
      <c r="N577" t="s">
        <v>43</v>
      </c>
      <c r="O577" t="s">
        <v>83</v>
      </c>
      <c r="P577">
        <v>87</v>
      </c>
      <c r="Q577">
        <f>AVERAGE(Table1[funds_raised_millions])</f>
        <v>470.28289473684208</v>
      </c>
      <c r="R577">
        <f>AVERAGE(Table1[total_laid_off])</f>
        <v>236.96936274509804</v>
      </c>
    </row>
    <row r="578" spans="1:18" x14ac:dyDescent="0.25">
      <c r="A578" s="3" t="s">
        <v>679</v>
      </c>
      <c r="B578" t="s">
        <v>55</v>
      </c>
      <c r="C578" t="s">
        <v>167</v>
      </c>
      <c r="D578">
        <v>7</v>
      </c>
      <c r="E578" t="s">
        <v>15</v>
      </c>
      <c r="F578" s="1" t="str">
        <f>IF(Table1[[#This Row],[percentage_laid_off]]=100%,"1","0")</f>
        <v>0</v>
      </c>
      <c r="G578" t="b">
        <v>0</v>
      </c>
      <c r="H578" s="2">
        <v>44873</v>
      </c>
      <c r="I578" s="2" t="str">
        <f>TEXT(Table1[[#This Row],[date]],"dd")</f>
        <v>08</v>
      </c>
      <c r="J578" s="20">
        <f>DATE(2000,MONTH(Table1[[#This Row],[date]]),1)</f>
        <v>36831</v>
      </c>
      <c r="K578" s="18" t="str">
        <f>TEXT(Table1[[#This Row],[date]],"mm")</f>
        <v>11</v>
      </c>
      <c r="L578" s="16" t="s">
        <v>23</v>
      </c>
      <c r="M578">
        <v>2022</v>
      </c>
      <c r="N578" t="s">
        <v>35</v>
      </c>
      <c r="O578" t="s">
        <v>58</v>
      </c>
      <c r="P578">
        <v>26</v>
      </c>
      <c r="Q578">
        <f>AVERAGE(Table1[funds_raised_millions])</f>
        <v>470.28289473684208</v>
      </c>
      <c r="R578">
        <f>AVERAGE(Table1[total_laid_off])</f>
        <v>236.96936274509804</v>
      </c>
    </row>
    <row r="579" spans="1:18" x14ac:dyDescent="0.25">
      <c r="A579" s="3" t="s">
        <v>680</v>
      </c>
      <c r="B579" t="s">
        <v>85</v>
      </c>
      <c r="C579" t="s">
        <v>535</v>
      </c>
      <c r="D579">
        <v>24</v>
      </c>
      <c r="E579" s="1">
        <v>0.03</v>
      </c>
      <c r="F579" s="1" t="str">
        <f>IF(Table1[[#This Row],[percentage_laid_off]]=100%,"1","0")</f>
        <v>0</v>
      </c>
      <c r="G579" t="s">
        <v>16</v>
      </c>
      <c r="H579" s="2">
        <v>44928</v>
      </c>
      <c r="I579" s="2" t="str">
        <f>TEXT(Table1[[#This Row],[date]],"dd")</f>
        <v>02</v>
      </c>
      <c r="J579" s="20">
        <f>DATE(2000,MONTH(Table1[[#This Row],[date]]),1)</f>
        <v>36526</v>
      </c>
      <c r="K579" s="18" t="str">
        <f>TEXT(Table1[[#This Row],[date]],"mm")</f>
        <v>01</v>
      </c>
      <c r="L579" s="16" t="s">
        <v>29</v>
      </c>
      <c r="M579">
        <v>2023</v>
      </c>
      <c r="N579" t="s">
        <v>117</v>
      </c>
      <c r="O579" t="s">
        <v>19</v>
      </c>
      <c r="P579">
        <v>100</v>
      </c>
      <c r="Q579">
        <f>AVERAGE(Table1[funds_raised_millions])</f>
        <v>470.28289473684208</v>
      </c>
      <c r="R579">
        <f>AVERAGE(Table1[total_laid_off])</f>
        <v>236.96936274509804</v>
      </c>
    </row>
    <row r="580" spans="1:18" x14ac:dyDescent="0.25">
      <c r="A580" s="3" t="s">
        <v>681</v>
      </c>
      <c r="B580" t="s">
        <v>88</v>
      </c>
      <c r="C580" t="s">
        <v>64</v>
      </c>
      <c r="D580">
        <v>400</v>
      </c>
      <c r="E580" s="1">
        <v>0.44</v>
      </c>
      <c r="F580" s="1" t="str">
        <f>IF(Table1[[#This Row],[percentage_laid_off]]=100%,"1","0")</f>
        <v>0</v>
      </c>
      <c r="G580" t="s">
        <v>28</v>
      </c>
      <c r="H580" s="2">
        <v>44016</v>
      </c>
      <c r="I580" s="2" t="str">
        <f>TEXT(Table1[[#This Row],[date]],"dd")</f>
        <v>04</v>
      </c>
      <c r="J580" s="20">
        <f>DATE(2000,MONTH(Table1[[#This Row],[date]]),1)</f>
        <v>36708</v>
      </c>
      <c r="K580" s="18" t="str">
        <f>TEXT(Table1[[#This Row],[date]],"mm")</f>
        <v>07</v>
      </c>
      <c r="L580" s="16" t="s">
        <v>17</v>
      </c>
      <c r="M580">
        <v>2020</v>
      </c>
      <c r="N580" t="s">
        <v>43</v>
      </c>
      <c r="O580" t="s">
        <v>19</v>
      </c>
      <c r="P580">
        <v>319</v>
      </c>
      <c r="Q580">
        <f>AVERAGE(Table1[funds_raised_millions])</f>
        <v>470.28289473684208</v>
      </c>
      <c r="R580">
        <f>AVERAGE(Table1[total_laid_off])</f>
        <v>236.96936274509804</v>
      </c>
    </row>
    <row r="581" spans="1:18" x14ac:dyDescent="0.25">
      <c r="A581" s="3" t="s">
        <v>682</v>
      </c>
      <c r="B581" t="s">
        <v>68</v>
      </c>
      <c r="C581" t="s">
        <v>181</v>
      </c>
      <c r="D581">
        <v>100</v>
      </c>
      <c r="E581" s="1">
        <v>0.01</v>
      </c>
      <c r="F581" s="1" t="str">
        <f>IF(Table1[[#This Row],[percentage_laid_off]]=100%,"1","0")</f>
        <v>0</v>
      </c>
      <c r="G581" t="s">
        <v>16</v>
      </c>
      <c r="H581" s="2">
        <v>44855</v>
      </c>
      <c r="I581" s="2" t="str">
        <f>TEXT(Table1[[#This Row],[date]],"dd")</f>
        <v>21</v>
      </c>
      <c r="J581" s="20">
        <f>DATE(2000,MONTH(Table1[[#This Row],[date]]),1)</f>
        <v>36800</v>
      </c>
      <c r="K581" s="18" t="str">
        <f>TEXT(Table1[[#This Row],[date]],"mm")</f>
        <v>10</v>
      </c>
      <c r="L581" s="16" t="s">
        <v>95</v>
      </c>
      <c r="M581">
        <v>2022</v>
      </c>
      <c r="N581" t="s">
        <v>38</v>
      </c>
      <c r="O581" t="s">
        <v>19</v>
      </c>
      <c r="P581" t="s">
        <v>15</v>
      </c>
      <c r="Q581">
        <f>AVERAGE(Table1[funds_raised_millions])</f>
        <v>470.28289473684208</v>
      </c>
      <c r="R581">
        <f>AVERAGE(Table1[total_laid_off])</f>
        <v>236.96936274509804</v>
      </c>
    </row>
    <row r="582" spans="1:18" x14ac:dyDescent="0.25">
      <c r="A582" s="3" t="s">
        <v>683</v>
      </c>
      <c r="B582" t="s">
        <v>354</v>
      </c>
      <c r="C582" t="s">
        <v>112</v>
      </c>
      <c r="D582">
        <v>80</v>
      </c>
      <c r="E582" s="1">
        <v>0.2</v>
      </c>
      <c r="F582" s="1" t="str">
        <f>IF(Table1[[#This Row],[percentage_laid_off]]=100%,"1","0")</f>
        <v>0</v>
      </c>
      <c r="G582" t="s">
        <v>28</v>
      </c>
      <c r="H582" s="2">
        <v>43920</v>
      </c>
      <c r="I582" s="2" t="str">
        <f>TEXT(Table1[[#This Row],[date]],"dd")</f>
        <v>30</v>
      </c>
      <c r="J582" s="20">
        <f>DATE(2000,MONTH(Table1[[#This Row],[date]]),1)</f>
        <v>36586</v>
      </c>
      <c r="K582" s="18" t="str">
        <f>TEXT(Table1[[#This Row],[date]],"mm")</f>
        <v>03</v>
      </c>
      <c r="L582" s="16" t="s">
        <v>57</v>
      </c>
      <c r="M582">
        <v>2020</v>
      </c>
      <c r="N582" t="s">
        <v>30</v>
      </c>
      <c r="O582" t="s">
        <v>83</v>
      </c>
      <c r="P582">
        <v>48</v>
      </c>
      <c r="Q582">
        <f>AVERAGE(Table1[funds_raised_millions])</f>
        <v>470.28289473684208</v>
      </c>
      <c r="R582">
        <f>AVERAGE(Table1[total_laid_off])</f>
        <v>236.96936274509804</v>
      </c>
    </row>
    <row r="583" spans="1:18" x14ac:dyDescent="0.25">
      <c r="A583" s="3" t="s">
        <v>684</v>
      </c>
      <c r="B583" t="s">
        <v>40</v>
      </c>
      <c r="C583" t="s">
        <v>120</v>
      </c>
      <c r="D583">
        <v>120</v>
      </c>
      <c r="E583" s="1">
        <v>0.4</v>
      </c>
      <c r="F583" s="1" t="str">
        <f>IF(Table1[[#This Row],[percentage_laid_off]]=100%,"1","0")</f>
        <v>0</v>
      </c>
      <c r="G583" t="s">
        <v>28</v>
      </c>
      <c r="H583" s="2">
        <v>44755</v>
      </c>
      <c r="I583" s="2" t="str">
        <f>TEXT(Table1[[#This Row],[date]],"dd")</f>
        <v>13</v>
      </c>
      <c r="J583" s="20">
        <f>DATE(2000,MONTH(Table1[[#This Row],[date]]),1)</f>
        <v>36708</v>
      </c>
      <c r="K583" s="18" t="str">
        <f>TEXT(Table1[[#This Row],[date]],"mm")</f>
        <v>07</v>
      </c>
      <c r="L583" s="16" t="s">
        <v>17</v>
      </c>
      <c r="M583">
        <v>2022</v>
      </c>
      <c r="N583" t="s">
        <v>35</v>
      </c>
      <c r="O583" t="s">
        <v>19</v>
      </c>
      <c r="P583">
        <v>336</v>
      </c>
      <c r="Q583">
        <f>AVERAGE(Table1[funds_raised_millions])</f>
        <v>470.28289473684208</v>
      </c>
      <c r="R583">
        <f>AVERAGE(Table1[total_laid_off])</f>
        <v>236.96936274509804</v>
      </c>
    </row>
    <row r="584" spans="1:18" x14ac:dyDescent="0.25">
      <c r="A584" s="3" t="s">
        <v>685</v>
      </c>
      <c r="B584" t="s">
        <v>45</v>
      </c>
      <c r="C584" t="s">
        <v>41</v>
      </c>
      <c r="D584">
        <v>260</v>
      </c>
      <c r="E584" s="1">
        <v>0.3</v>
      </c>
      <c r="F584" s="1" t="str">
        <f>IF(Table1[[#This Row],[percentage_laid_off]]=100%,"1","0")</f>
        <v>0</v>
      </c>
      <c r="G584" t="s">
        <v>28</v>
      </c>
      <c r="H584" s="2">
        <v>44671</v>
      </c>
      <c r="I584" s="2" t="str">
        <f>TEXT(Table1[[#This Row],[date]],"dd")</f>
        <v>20</v>
      </c>
      <c r="J584" s="20">
        <f>DATE(2000,MONTH(Table1[[#This Row],[date]]),1)</f>
        <v>36617</v>
      </c>
      <c r="K584" s="18" t="str">
        <f>TEXT(Table1[[#This Row],[date]],"mm")</f>
        <v>04</v>
      </c>
      <c r="L584" s="16" t="s">
        <v>37</v>
      </c>
      <c r="M584">
        <v>2022</v>
      </c>
      <c r="N584" t="s">
        <v>43</v>
      </c>
      <c r="O584" t="s">
        <v>48</v>
      </c>
      <c r="P584">
        <v>502</v>
      </c>
      <c r="Q584">
        <f>AVERAGE(Table1[funds_raised_millions])</f>
        <v>470.28289473684208</v>
      </c>
      <c r="R584">
        <f>AVERAGE(Table1[total_laid_off])</f>
        <v>236.96936274509804</v>
      </c>
    </row>
    <row r="585" spans="1:18" x14ac:dyDescent="0.25">
      <c r="A585" s="3" t="s">
        <v>686</v>
      </c>
      <c r="B585" t="s">
        <v>13</v>
      </c>
      <c r="C585" t="s">
        <v>41</v>
      </c>
      <c r="D585">
        <v>84</v>
      </c>
      <c r="E585" s="1">
        <v>7.0000000000000007E-2</v>
      </c>
      <c r="F585" s="1" t="str">
        <f>IF(Table1[[#This Row],[percentage_laid_off]]=100%,"1","0")</f>
        <v>0</v>
      </c>
      <c r="G585" t="s">
        <v>16</v>
      </c>
      <c r="H585" s="2">
        <v>44852</v>
      </c>
      <c r="I585" s="2" t="str">
        <f>TEXT(Table1[[#This Row],[date]],"dd")</f>
        <v>18</v>
      </c>
      <c r="J585" s="20">
        <f>DATE(2000,MONTH(Table1[[#This Row],[date]]),1)</f>
        <v>36800</v>
      </c>
      <c r="K585" s="18" t="str">
        <f>TEXT(Table1[[#This Row],[date]],"mm")</f>
        <v>10</v>
      </c>
      <c r="L585" s="16" t="s">
        <v>95</v>
      </c>
      <c r="M585">
        <v>2022</v>
      </c>
      <c r="N585" t="s">
        <v>423</v>
      </c>
      <c r="O585" t="s">
        <v>19</v>
      </c>
      <c r="P585">
        <v>1700</v>
      </c>
      <c r="Q585">
        <f>AVERAGE(Table1[funds_raised_millions])</f>
        <v>470.28289473684208</v>
      </c>
      <c r="R585">
        <f>AVERAGE(Table1[total_laid_off])</f>
        <v>236.96936274509804</v>
      </c>
    </row>
    <row r="586" spans="1:18" x14ac:dyDescent="0.25">
      <c r="A586" s="3" t="s">
        <v>687</v>
      </c>
      <c r="B586" t="s">
        <v>13</v>
      </c>
      <c r="C586" t="s">
        <v>78</v>
      </c>
      <c r="D586" t="s">
        <v>15</v>
      </c>
      <c r="E586" s="1">
        <v>0.14000000000000001</v>
      </c>
      <c r="F586" s="1" t="str">
        <f>IF(Table1[[#This Row],[percentage_laid_off]]=100%,"1","0")</f>
        <v>0</v>
      </c>
      <c r="G586" t="s">
        <v>28</v>
      </c>
      <c r="H586" s="2">
        <v>43951</v>
      </c>
      <c r="I586" s="2" t="str">
        <f>TEXT(Table1[[#This Row],[date]],"dd")</f>
        <v>30</v>
      </c>
      <c r="J586" s="20">
        <f>DATE(2000,MONTH(Table1[[#This Row],[date]]),1)</f>
        <v>36617</v>
      </c>
      <c r="K586" s="18" t="str">
        <f>TEXT(Table1[[#This Row],[date]],"mm")</f>
        <v>04</v>
      </c>
      <c r="L586" s="16" t="s">
        <v>37</v>
      </c>
      <c r="M586">
        <v>2020</v>
      </c>
      <c r="N586" t="s">
        <v>18</v>
      </c>
      <c r="O586" t="s">
        <v>19</v>
      </c>
      <c r="P586">
        <v>145</v>
      </c>
      <c r="Q586">
        <f>AVERAGE(Table1[funds_raised_millions])</f>
        <v>470.28289473684208</v>
      </c>
      <c r="R586">
        <f>AVERAGE(Table1[total_laid_off])</f>
        <v>236.96936274509804</v>
      </c>
    </row>
    <row r="587" spans="1:18" x14ac:dyDescent="0.25">
      <c r="A587" s="3" t="s">
        <v>688</v>
      </c>
      <c r="B587" t="s">
        <v>406</v>
      </c>
      <c r="C587" t="s">
        <v>112</v>
      </c>
      <c r="D587">
        <v>200</v>
      </c>
      <c r="E587" t="s">
        <v>15</v>
      </c>
      <c r="F587" s="1" t="str">
        <f>IF(Table1[[#This Row],[percentage_laid_off]]=100%,"1","0")</f>
        <v>0</v>
      </c>
      <c r="G587" t="b">
        <v>0</v>
      </c>
      <c r="H587" s="2">
        <v>43916</v>
      </c>
      <c r="I587" s="2" t="str">
        <f>TEXT(Table1[[#This Row],[date]],"dd")</f>
        <v>26</v>
      </c>
      <c r="J587" s="20">
        <f>DATE(2000,MONTH(Table1[[#This Row],[date]]),1)</f>
        <v>36586</v>
      </c>
      <c r="K587" s="18" t="str">
        <f>TEXT(Table1[[#This Row],[date]],"mm")</f>
        <v>03</v>
      </c>
      <c r="L587" s="16" t="s">
        <v>57</v>
      </c>
      <c r="M587">
        <v>2020</v>
      </c>
      <c r="N587" t="s">
        <v>47</v>
      </c>
      <c r="O587" t="s">
        <v>83</v>
      </c>
      <c r="P587" t="s">
        <v>15</v>
      </c>
      <c r="Q587">
        <f>AVERAGE(Table1[funds_raised_millions])</f>
        <v>470.28289473684208</v>
      </c>
      <c r="R587">
        <f>AVERAGE(Table1[total_laid_off])</f>
        <v>236.96936274509804</v>
      </c>
    </row>
    <row r="588" spans="1:18" x14ac:dyDescent="0.25">
      <c r="A588" s="3" t="s">
        <v>689</v>
      </c>
      <c r="B588" t="s">
        <v>354</v>
      </c>
      <c r="C588" t="s">
        <v>120</v>
      </c>
      <c r="D588">
        <v>90</v>
      </c>
      <c r="E588" t="s">
        <v>15</v>
      </c>
      <c r="F588" s="1" t="str">
        <f>IF(Table1[[#This Row],[percentage_laid_off]]=100%,"1","0")</f>
        <v>0</v>
      </c>
      <c r="G588" t="b">
        <v>0</v>
      </c>
      <c r="H588" s="2">
        <v>44987</v>
      </c>
      <c r="I588" s="2" t="str">
        <f>TEXT(Table1[[#This Row],[date]],"dd")</f>
        <v>02</v>
      </c>
      <c r="J588" s="20">
        <f>DATE(2000,MONTH(Table1[[#This Row],[date]]),1)</f>
        <v>36586</v>
      </c>
      <c r="K588" s="18" t="str">
        <f>TEXT(Table1[[#This Row],[date]],"mm")</f>
        <v>03</v>
      </c>
      <c r="L588" s="16" t="s">
        <v>57</v>
      </c>
      <c r="M588">
        <v>2023</v>
      </c>
      <c r="N588" t="s">
        <v>18</v>
      </c>
      <c r="O588" t="s">
        <v>83</v>
      </c>
      <c r="P588">
        <v>150</v>
      </c>
      <c r="Q588">
        <f>AVERAGE(Table1[funds_raised_millions])</f>
        <v>470.28289473684208</v>
      </c>
      <c r="R588">
        <f>AVERAGE(Table1[total_laid_off])</f>
        <v>236.96936274509804</v>
      </c>
    </row>
    <row r="589" spans="1:18" x14ac:dyDescent="0.25">
      <c r="A589" s="3" t="s">
        <v>689</v>
      </c>
      <c r="B589" t="s">
        <v>354</v>
      </c>
      <c r="C589" t="s">
        <v>120</v>
      </c>
      <c r="D589">
        <v>250</v>
      </c>
      <c r="E589" s="1">
        <v>0.3</v>
      </c>
      <c r="F589" s="1" t="str">
        <f>IF(Table1[[#This Row],[percentage_laid_off]]=100%,"1","0")</f>
        <v>0</v>
      </c>
      <c r="G589" t="s">
        <v>28</v>
      </c>
      <c r="H589" s="2">
        <v>44840</v>
      </c>
      <c r="I589" s="2" t="str">
        <f>TEXT(Table1[[#This Row],[date]],"dd")</f>
        <v>06</v>
      </c>
      <c r="J589" s="20">
        <f>DATE(2000,MONTH(Table1[[#This Row],[date]]),1)</f>
        <v>36800</v>
      </c>
      <c r="K589" s="18" t="str">
        <f>TEXT(Table1[[#This Row],[date]],"mm")</f>
        <v>10</v>
      </c>
      <c r="L589" s="16" t="s">
        <v>95</v>
      </c>
      <c r="M589">
        <v>2022</v>
      </c>
      <c r="N589" t="s">
        <v>18</v>
      </c>
      <c r="O589" t="s">
        <v>83</v>
      </c>
      <c r="P589">
        <v>150</v>
      </c>
      <c r="Q589">
        <f>AVERAGE(Table1[funds_raised_millions])</f>
        <v>470.28289473684208</v>
      </c>
      <c r="R589">
        <f>AVERAGE(Table1[total_laid_off])</f>
        <v>236.96936274509804</v>
      </c>
    </row>
    <row r="590" spans="1:18" x14ac:dyDescent="0.25">
      <c r="A590" s="3" t="s">
        <v>690</v>
      </c>
      <c r="B590" t="s">
        <v>13</v>
      </c>
      <c r="C590" t="s">
        <v>82</v>
      </c>
      <c r="D590" t="s">
        <v>15</v>
      </c>
      <c r="E590" s="1">
        <v>1</v>
      </c>
      <c r="F590" s="1" t="str">
        <f>IF(Table1[[#This Row],[percentage_laid_off]]=100%,"1","0")</f>
        <v>1</v>
      </c>
      <c r="G590" t="s">
        <v>114</v>
      </c>
      <c r="H590" s="2">
        <v>44685</v>
      </c>
      <c r="I590" s="2" t="str">
        <f>TEXT(Table1[[#This Row],[date]],"dd")</f>
        <v>04</v>
      </c>
      <c r="J590" s="20">
        <f>DATE(2000,MONTH(Table1[[#This Row],[date]]),1)</f>
        <v>36647</v>
      </c>
      <c r="K590" s="18" t="str">
        <f>TEXT(Table1[[#This Row],[date]],"mm")</f>
        <v>05</v>
      </c>
      <c r="L590" s="16" t="s">
        <v>86</v>
      </c>
      <c r="M590">
        <v>2022</v>
      </c>
      <c r="N590" t="s">
        <v>30</v>
      </c>
      <c r="O590" t="s">
        <v>19</v>
      </c>
      <c r="P590">
        <v>124</v>
      </c>
      <c r="Q590">
        <f>AVERAGE(Table1[funds_raised_millions])</f>
        <v>470.28289473684208</v>
      </c>
      <c r="R590">
        <f>AVERAGE(Table1[total_laid_off])</f>
        <v>236.96936274509804</v>
      </c>
    </row>
    <row r="591" spans="1:18" x14ac:dyDescent="0.25">
      <c r="A591" s="3" t="s">
        <v>691</v>
      </c>
      <c r="B591" t="s">
        <v>389</v>
      </c>
      <c r="C591" t="s">
        <v>14</v>
      </c>
      <c r="D591">
        <v>315</v>
      </c>
      <c r="E591" s="1">
        <v>0.56999999999999995</v>
      </c>
      <c r="F591" s="1" t="str">
        <f>IF(Table1[[#This Row],[percentage_laid_off]]=100%,"1","0")</f>
        <v>0</v>
      </c>
      <c r="G591" t="s">
        <v>130</v>
      </c>
      <c r="H591" s="2">
        <v>45170</v>
      </c>
      <c r="I591" s="2" t="str">
        <f>TEXT(Table1[[#This Row],[date]],"dd")</f>
        <v>01</v>
      </c>
      <c r="J591" s="20">
        <f>DATE(2000,MONTH(Table1[[#This Row],[date]]),1)</f>
        <v>36770</v>
      </c>
      <c r="K591" s="18" t="str">
        <f>TEXT(Table1[[#This Row],[date]],"mm")</f>
        <v>09</v>
      </c>
      <c r="L591" s="16" t="s">
        <v>70</v>
      </c>
      <c r="M591">
        <v>2023</v>
      </c>
      <c r="N591" t="s">
        <v>38</v>
      </c>
      <c r="O591" t="s">
        <v>19</v>
      </c>
      <c r="P591">
        <v>1200</v>
      </c>
      <c r="Q591">
        <f>AVERAGE(Table1[funds_raised_millions])</f>
        <v>470.28289473684208</v>
      </c>
      <c r="R591">
        <f>AVERAGE(Table1[total_laid_off])</f>
        <v>236.96936274509804</v>
      </c>
    </row>
    <row r="592" spans="1:18" x14ac:dyDescent="0.25">
      <c r="A592" s="3" t="s">
        <v>692</v>
      </c>
      <c r="B592" t="s">
        <v>45</v>
      </c>
      <c r="C592" t="s">
        <v>64</v>
      </c>
      <c r="D592">
        <v>170</v>
      </c>
      <c r="E592" t="s">
        <v>15</v>
      </c>
      <c r="F592" s="1" t="str">
        <f>IF(Table1[[#This Row],[percentage_laid_off]]=100%,"1","0")</f>
        <v>0</v>
      </c>
      <c r="G592" t="b">
        <v>0</v>
      </c>
      <c r="H592" s="2">
        <v>44598</v>
      </c>
      <c r="I592" s="2" t="str">
        <f>TEXT(Table1[[#This Row],[date]],"dd")</f>
        <v>06</v>
      </c>
      <c r="J592" s="20">
        <f>DATE(2000,MONTH(Table1[[#This Row],[date]]),1)</f>
        <v>36557</v>
      </c>
      <c r="K592" s="18" t="str">
        <f>TEXT(Table1[[#This Row],[date]],"mm")</f>
        <v>02</v>
      </c>
      <c r="L592" s="16" t="s">
        <v>42</v>
      </c>
      <c r="M592">
        <v>2022</v>
      </c>
      <c r="N592" t="s">
        <v>24</v>
      </c>
      <c r="O592" t="s">
        <v>48</v>
      </c>
      <c r="P592">
        <v>31</v>
      </c>
      <c r="Q592">
        <f>AVERAGE(Table1[funds_raised_millions])</f>
        <v>470.28289473684208</v>
      </c>
      <c r="R592">
        <f>AVERAGE(Table1[total_laid_off])</f>
        <v>236.96936274509804</v>
      </c>
    </row>
    <row r="593" spans="1:18" x14ac:dyDescent="0.25">
      <c r="A593" s="3" t="s">
        <v>693</v>
      </c>
      <c r="B593" t="s">
        <v>88</v>
      </c>
      <c r="C593" t="s">
        <v>14</v>
      </c>
      <c r="D593" t="s">
        <v>15</v>
      </c>
      <c r="E593" s="1">
        <v>1</v>
      </c>
      <c r="F593" s="1" t="str">
        <f>IF(Table1[[#This Row],[percentage_laid_off]]=100%,"1","0")</f>
        <v>1</v>
      </c>
      <c r="G593" t="s">
        <v>114</v>
      </c>
      <c r="H593" s="2">
        <v>44815</v>
      </c>
      <c r="I593" s="2" t="str">
        <f>TEXT(Table1[[#This Row],[date]],"dd")</f>
        <v>11</v>
      </c>
      <c r="J593" s="20">
        <f>DATE(2000,MONTH(Table1[[#This Row],[date]]),1)</f>
        <v>36770</v>
      </c>
      <c r="K593" s="18" t="str">
        <f>TEXT(Table1[[#This Row],[date]],"mm")</f>
        <v>09</v>
      </c>
      <c r="L593" s="16" t="s">
        <v>70</v>
      </c>
      <c r="M593">
        <v>2022</v>
      </c>
      <c r="N593" t="s">
        <v>30</v>
      </c>
      <c r="O593" t="s">
        <v>19</v>
      </c>
      <c r="P593">
        <v>81</v>
      </c>
      <c r="Q593">
        <f>AVERAGE(Table1[funds_raised_millions])</f>
        <v>470.28289473684208</v>
      </c>
      <c r="R593">
        <f>AVERAGE(Table1[total_laid_off])</f>
        <v>236.96936274509804</v>
      </c>
    </row>
    <row r="594" spans="1:18" x14ac:dyDescent="0.25">
      <c r="A594" s="3" t="s">
        <v>694</v>
      </c>
      <c r="B594" t="s">
        <v>195</v>
      </c>
      <c r="C594" t="s">
        <v>64</v>
      </c>
      <c r="D594">
        <v>100</v>
      </c>
      <c r="E594" s="1">
        <v>1</v>
      </c>
      <c r="F594" s="1" t="str">
        <f>IF(Table1[[#This Row],[percentage_laid_off]]=100%,"1","0")</f>
        <v>1</v>
      </c>
      <c r="G594" t="s">
        <v>114</v>
      </c>
      <c r="H594" s="2">
        <v>44862</v>
      </c>
      <c r="I594" s="2" t="str">
        <f>TEXT(Table1[[#This Row],[date]],"dd")</f>
        <v>28</v>
      </c>
      <c r="J594" s="20">
        <f>DATE(2000,MONTH(Table1[[#This Row],[date]]),1)</f>
        <v>36800</v>
      </c>
      <c r="K594" s="18" t="str">
        <f>TEXT(Table1[[#This Row],[date]],"mm")</f>
        <v>10</v>
      </c>
      <c r="L594" s="16" t="s">
        <v>95</v>
      </c>
      <c r="M594">
        <v>2022</v>
      </c>
      <c r="N594" t="s">
        <v>30</v>
      </c>
      <c r="O594" t="s">
        <v>19</v>
      </c>
      <c r="P594">
        <v>35</v>
      </c>
      <c r="Q594">
        <f>AVERAGE(Table1[funds_raised_millions])</f>
        <v>470.28289473684208</v>
      </c>
      <c r="R594">
        <f>AVERAGE(Table1[total_laid_off])</f>
        <v>236.96936274509804</v>
      </c>
    </row>
    <row r="595" spans="1:18" x14ac:dyDescent="0.25">
      <c r="A595" s="3" t="s">
        <v>695</v>
      </c>
      <c r="B595" t="s">
        <v>55</v>
      </c>
      <c r="C595" t="s">
        <v>41</v>
      </c>
      <c r="D595" t="s">
        <v>15</v>
      </c>
      <c r="E595" s="1">
        <v>0.15</v>
      </c>
      <c r="F595" s="1" t="str">
        <f>IF(Table1[[#This Row],[percentage_laid_off]]=100%,"1","0")</f>
        <v>0</v>
      </c>
      <c r="G595" t="s">
        <v>28</v>
      </c>
      <c r="H595" s="2">
        <v>44987</v>
      </c>
      <c r="I595" s="2" t="str">
        <f>TEXT(Table1[[#This Row],[date]],"dd")</f>
        <v>02</v>
      </c>
      <c r="J595" s="20">
        <f>DATE(2000,MONTH(Table1[[#This Row],[date]]),1)</f>
        <v>36586</v>
      </c>
      <c r="K595" s="18" t="str">
        <f>TEXT(Table1[[#This Row],[date]],"mm")</f>
        <v>03</v>
      </c>
      <c r="L595" s="16" t="s">
        <v>57</v>
      </c>
      <c r="M595">
        <v>2023</v>
      </c>
      <c r="N595" t="s">
        <v>47</v>
      </c>
      <c r="O595" t="s">
        <v>58</v>
      </c>
      <c r="P595">
        <v>30</v>
      </c>
      <c r="Q595">
        <f>AVERAGE(Table1[funds_raised_millions])</f>
        <v>470.28289473684208</v>
      </c>
      <c r="R595">
        <f>AVERAGE(Table1[total_laid_off])</f>
        <v>236.96936274509804</v>
      </c>
    </row>
    <row r="596" spans="1:18" x14ac:dyDescent="0.25">
      <c r="A596" s="3" t="s">
        <v>696</v>
      </c>
      <c r="B596" t="s">
        <v>257</v>
      </c>
      <c r="C596" t="s">
        <v>181</v>
      </c>
      <c r="D596">
        <v>16</v>
      </c>
      <c r="E596" s="1">
        <v>0.2</v>
      </c>
      <c r="F596" s="1" t="str">
        <f>IF(Table1[[#This Row],[percentage_laid_off]]=100%,"1","0")</f>
        <v>0</v>
      </c>
      <c r="G596" t="s">
        <v>28</v>
      </c>
      <c r="H596" s="2">
        <v>44729</v>
      </c>
      <c r="I596" s="2" t="str">
        <f>TEXT(Table1[[#This Row],[date]],"dd")</f>
        <v>17</v>
      </c>
      <c r="J596" s="20">
        <f>DATE(2000,MONTH(Table1[[#This Row],[date]]),1)</f>
        <v>36678</v>
      </c>
      <c r="K596" s="18" t="str">
        <f>TEXT(Table1[[#This Row],[date]],"mm")</f>
        <v>06</v>
      </c>
      <c r="L596" s="16" t="s">
        <v>73</v>
      </c>
      <c r="M596">
        <v>2022</v>
      </c>
      <c r="N596" t="s">
        <v>30</v>
      </c>
      <c r="O596" t="s">
        <v>19</v>
      </c>
      <c r="P596">
        <v>49</v>
      </c>
      <c r="Q596">
        <f>AVERAGE(Table1[funds_raised_millions])</f>
        <v>470.28289473684208</v>
      </c>
      <c r="R596">
        <f>AVERAGE(Table1[total_laid_off])</f>
        <v>236.96936274509804</v>
      </c>
    </row>
    <row r="597" spans="1:18" x14ac:dyDescent="0.25">
      <c r="A597" s="3" t="s">
        <v>697</v>
      </c>
      <c r="B597" t="s">
        <v>698</v>
      </c>
      <c r="C597" t="s">
        <v>82</v>
      </c>
      <c r="D597">
        <v>14</v>
      </c>
      <c r="E597" s="1">
        <v>0.1</v>
      </c>
      <c r="F597" s="1" t="str">
        <f>IF(Table1[[#This Row],[percentage_laid_off]]=100%,"1","0")</f>
        <v>0</v>
      </c>
      <c r="G597" t="s">
        <v>16</v>
      </c>
      <c r="H597" s="2">
        <v>44742</v>
      </c>
      <c r="I597" s="2" t="str">
        <f>TEXT(Table1[[#This Row],[date]],"dd")</f>
        <v>30</v>
      </c>
      <c r="J597" s="20">
        <f>DATE(2000,MONTH(Table1[[#This Row],[date]]),1)</f>
        <v>36678</v>
      </c>
      <c r="K597" s="18" t="str">
        <f>TEXT(Table1[[#This Row],[date]],"mm")</f>
        <v>06</v>
      </c>
      <c r="L597" s="16" t="s">
        <v>73</v>
      </c>
      <c r="M597">
        <v>2022</v>
      </c>
      <c r="N597" t="s">
        <v>24</v>
      </c>
      <c r="O597" t="s">
        <v>96</v>
      </c>
      <c r="P597">
        <v>22</v>
      </c>
      <c r="Q597">
        <f>AVERAGE(Table1[funds_raised_millions])</f>
        <v>470.28289473684208</v>
      </c>
      <c r="R597">
        <f>AVERAGE(Table1[total_laid_off])</f>
        <v>236.96936274509804</v>
      </c>
    </row>
    <row r="598" spans="1:18" x14ac:dyDescent="0.25">
      <c r="A598" s="3" t="s">
        <v>699</v>
      </c>
      <c r="B598" t="s">
        <v>187</v>
      </c>
      <c r="C598" t="s">
        <v>64</v>
      </c>
      <c r="D598" t="s">
        <v>15</v>
      </c>
      <c r="E598" s="1">
        <v>1</v>
      </c>
      <c r="F598" s="1" t="str">
        <f>IF(Table1[[#This Row],[percentage_laid_off]]=100%,"1","0")</f>
        <v>1</v>
      </c>
      <c r="G598" t="s">
        <v>114</v>
      </c>
      <c r="H598" s="2">
        <v>44977</v>
      </c>
      <c r="I598" s="2" t="str">
        <f>TEXT(Table1[[#This Row],[date]],"dd")</f>
        <v>20</v>
      </c>
      <c r="J598" s="20">
        <f>DATE(2000,MONTH(Table1[[#This Row],[date]]),1)</f>
        <v>36557</v>
      </c>
      <c r="K598" s="18" t="str">
        <f>TEXT(Table1[[#This Row],[date]],"mm")</f>
        <v>02</v>
      </c>
      <c r="L598" s="16" t="s">
        <v>42</v>
      </c>
      <c r="M598">
        <v>2023</v>
      </c>
      <c r="N598" t="s">
        <v>24</v>
      </c>
      <c r="O598" t="s">
        <v>19</v>
      </c>
      <c r="P598">
        <v>9</v>
      </c>
      <c r="Q598">
        <f>AVERAGE(Table1[funds_raised_millions])</f>
        <v>470.28289473684208</v>
      </c>
      <c r="R598">
        <f>AVERAGE(Table1[total_laid_off])</f>
        <v>236.96936274509804</v>
      </c>
    </row>
    <row r="599" spans="1:18" x14ac:dyDescent="0.25">
      <c r="A599" s="3" t="s">
        <v>700</v>
      </c>
      <c r="B599" t="s">
        <v>40</v>
      </c>
      <c r="C599" t="s">
        <v>46</v>
      </c>
      <c r="D599">
        <v>30</v>
      </c>
      <c r="E599" s="1">
        <v>0.05</v>
      </c>
      <c r="F599" s="1" t="str">
        <f>IF(Table1[[#This Row],[percentage_laid_off]]=100%,"1","0")</f>
        <v>0</v>
      </c>
      <c r="G599" t="s">
        <v>16</v>
      </c>
      <c r="H599" s="2">
        <v>44977</v>
      </c>
      <c r="I599" s="2" t="str">
        <f>TEXT(Table1[[#This Row],[date]],"dd")</f>
        <v>20</v>
      </c>
      <c r="J599" s="20">
        <f>DATE(2000,MONTH(Table1[[#This Row],[date]]),1)</f>
        <v>36557</v>
      </c>
      <c r="K599" s="18" t="str">
        <f>TEXT(Table1[[#This Row],[date]],"mm")</f>
        <v>02</v>
      </c>
      <c r="L599" s="16" t="s">
        <v>42</v>
      </c>
      <c r="M599">
        <v>2023</v>
      </c>
      <c r="N599" t="s">
        <v>18</v>
      </c>
      <c r="O599" t="s">
        <v>19</v>
      </c>
      <c r="P599">
        <v>1000</v>
      </c>
      <c r="Q599">
        <f>AVERAGE(Table1[funds_raised_millions])</f>
        <v>470.28289473684208</v>
      </c>
      <c r="R599">
        <f>AVERAGE(Table1[total_laid_off])</f>
        <v>236.96936274509804</v>
      </c>
    </row>
    <row r="600" spans="1:18" x14ac:dyDescent="0.25">
      <c r="A600" s="3" t="s">
        <v>701</v>
      </c>
      <c r="B600" t="s">
        <v>13</v>
      </c>
      <c r="C600" t="s">
        <v>41</v>
      </c>
      <c r="D600" t="s">
        <v>15</v>
      </c>
      <c r="E600" s="1">
        <v>0.1</v>
      </c>
      <c r="F600" s="1" t="str">
        <f>IF(Table1[[#This Row],[percentage_laid_off]]=100%,"1","0")</f>
        <v>0</v>
      </c>
      <c r="G600" t="s">
        <v>16</v>
      </c>
      <c r="H600" s="2">
        <v>44894</v>
      </c>
      <c r="I600" s="2" t="str">
        <f>TEXT(Table1[[#This Row],[date]],"dd")</f>
        <v>29</v>
      </c>
      <c r="J600" s="20">
        <f>DATE(2000,MONTH(Table1[[#This Row],[date]]),1)</f>
        <v>36831</v>
      </c>
      <c r="K600" s="18" t="str">
        <f>TEXT(Table1[[#This Row],[date]],"mm")</f>
        <v>11</v>
      </c>
      <c r="L600" s="16" t="s">
        <v>23</v>
      </c>
      <c r="M600">
        <v>2022</v>
      </c>
      <c r="N600" t="s">
        <v>30</v>
      </c>
      <c r="O600" t="s">
        <v>19</v>
      </c>
      <c r="P600">
        <v>269</v>
      </c>
      <c r="Q600">
        <f>AVERAGE(Table1[funds_raised_millions])</f>
        <v>470.28289473684208</v>
      </c>
      <c r="R600">
        <f>AVERAGE(Table1[total_laid_off])</f>
        <v>236.96936274509804</v>
      </c>
    </row>
    <row r="601" spans="1:18" x14ac:dyDescent="0.25">
      <c r="A601" s="3" t="s">
        <v>702</v>
      </c>
      <c r="B601" t="s">
        <v>50</v>
      </c>
      <c r="C601" t="s">
        <v>78</v>
      </c>
      <c r="D601">
        <v>30</v>
      </c>
      <c r="E601" t="s">
        <v>15</v>
      </c>
      <c r="F601" s="1" t="str">
        <f>IF(Table1[[#This Row],[percentage_laid_off]]=100%,"1","0")</f>
        <v>0</v>
      </c>
      <c r="G601" t="b">
        <v>0</v>
      </c>
      <c r="H601" s="2">
        <v>43865</v>
      </c>
      <c r="I601" s="2" t="str">
        <f>TEXT(Table1[[#This Row],[date]],"dd")</f>
        <v>04</v>
      </c>
      <c r="J601" s="20">
        <f>DATE(2000,MONTH(Table1[[#This Row],[date]]),1)</f>
        <v>36557</v>
      </c>
      <c r="K601" s="18" t="str">
        <f>TEXT(Table1[[#This Row],[date]],"mm")</f>
        <v>02</v>
      </c>
      <c r="L601" s="16" t="s">
        <v>42</v>
      </c>
      <c r="M601">
        <v>2020</v>
      </c>
      <c r="N601" t="s">
        <v>43</v>
      </c>
      <c r="O601" t="s">
        <v>19</v>
      </c>
      <c r="P601">
        <v>50</v>
      </c>
      <c r="Q601">
        <f>AVERAGE(Table1[funds_raised_millions])</f>
        <v>470.28289473684208</v>
      </c>
      <c r="R601">
        <f>AVERAGE(Table1[total_laid_off])</f>
        <v>236.96936274509804</v>
      </c>
    </row>
    <row r="602" spans="1:18" x14ac:dyDescent="0.25">
      <c r="A602" s="3" t="s">
        <v>703</v>
      </c>
      <c r="B602" t="s">
        <v>704</v>
      </c>
      <c r="C602" t="s">
        <v>468</v>
      </c>
      <c r="D602">
        <v>30</v>
      </c>
      <c r="E602" s="1">
        <v>0.11</v>
      </c>
      <c r="F602" s="1" t="str">
        <f>IF(Table1[[#This Row],[percentage_laid_off]]=100%,"1","0")</f>
        <v>0</v>
      </c>
      <c r="G602" t="s">
        <v>28</v>
      </c>
      <c r="H602" s="2">
        <v>44960</v>
      </c>
      <c r="I602" s="2" t="str">
        <f>TEXT(Table1[[#This Row],[date]],"dd")</f>
        <v>03</v>
      </c>
      <c r="J602" s="20">
        <f>DATE(2000,MONTH(Table1[[#This Row],[date]]),1)</f>
        <v>36557</v>
      </c>
      <c r="K602" s="18" t="str">
        <f>TEXT(Table1[[#This Row],[date]],"mm")</f>
        <v>02</v>
      </c>
      <c r="L602" s="16" t="s">
        <v>42</v>
      </c>
      <c r="M602">
        <v>2023</v>
      </c>
      <c r="N602" t="s">
        <v>24</v>
      </c>
      <c r="O602" t="s">
        <v>83</v>
      </c>
      <c r="P602">
        <v>13</v>
      </c>
      <c r="Q602">
        <f>AVERAGE(Table1[funds_raised_millions])</f>
        <v>470.28289473684208</v>
      </c>
      <c r="R602">
        <f>AVERAGE(Table1[total_laid_off])</f>
        <v>236.96936274509804</v>
      </c>
    </row>
    <row r="603" spans="1:18" x14ac:dyDescent="0.25">
      <c r="A603" s="3" t="s">
        <v>705</v>
      </c>
      <c r="B603" t="s">
        <v>170</v>
      </c>
      <c r="C603" t="s">
        <v>161</v>
      </c>
      <c r="D603">
        <v>60</v>
      </c>
      <c r="E603" s="1">
        <v>0.08</v>
      </c>
      <c r="F603" s="1" t="str">
        <f>IF(Table1[[#This Row],[percentage_laid_off]]=100%,"1","0")</f>
        <v>0</v>
      </c>
      <c r="G603" t="s">
        <v>16</v>
      </c>
      <c r="H603" s="2">
        <v>44768</v>
      </c>
      <c r="I603" s="2" t="str">
        <f>TEXT(Table1[[#This Row],[date]],"dd")</f>
        <v>26</v>
      </c>
      <c r="J603" s="20">
        <f>DATE(2000,MONTH(Table1[[#This Row],[date]]),1)</f>
        <v>36708</v>
      </c>
      <c r="K603" s="18" t="str">
        <f>TEXT(Table1[[#This Row],[date]],"mm")</f>
        <v>07</v>
      </c>
      <c r="L603" s="16" t="s">
        <v>17</v>
      </c>
      <c r="M603">
        <v>2022</v>
      </c>
      <c r="N603" t="s">
        <v>38</v>
      </c>
      <c r="O603" t="s">
        <v>172</v>
      </c>
      <c r="P603">
        <v>111</v>
      </c>
      <c r="Q603">
        <f>AVERAGE(Table1[funds_raised_millions])</f>
        <v>470.28289473684208</v>
      </c>
      <c r="R603">
        <f>AVERAGE(Table1[total_laid_off])</f>
        <v>236.96936274509804</v>
      </c>
    </row>
    <row r="604" spans="1:18" x14ac:dyDescent="0.25">
      <c r="A604" s="3" t="s">
        <v>706</v>
      </c>
      <c r="B604" t="s">
        <v>13</v>
      </c>
      <c r="C604" t="s">
        <v>89</v>
      </c>
      <c r="D604" t="s">
        <v>15</v>
      </c>
      <c r="E604" s="1">
        <v>0.05</v>
      </c>
      <c r="F604" s="1" t="str">
        <f>IF(Table1[[#This Row],[percentage_laid_off]]=100%,"1","0")</f>
        <v>0</v>
      </c>
      <c r="G604" t="s">
        <v>16</v>
      </c>
      <c r="H604" s="2">
        <v>44661</v>
      </c>
      <c r="I604" s="2" t="str">
        <f>TEXT(Table1[[#This Row],[date]],"dd")</f>
        <v>10</v>
      </c>
      <c r="J604" s="20">
        <f>DATE(2000,MONTH(Table1[[#This Row],[date]]),1)</f>
        <v>36617</v>
      </c>
      <c r="K604" s="18" t="str">
        <f>TEXT(Table1[[#This Row],[date]],"mm")</f>
        <v>04</v>
      </c>
      <c r="L604" s="16" t="s">
        <v>37</v>
      </c>
      <c r="M604">
        <v>2022</v>
      </c>
      <c r="N604" t="s">
        <v>43</v>
      </c>
      <c r="O604" t="s">
        <v>19</v>
      </c>
      <c r="P604" t="s">
        <v>15</v>
      </c>
      <c r="Q604">
        <f>AVERAGE(Table1[funds_raised_millions])</f>
        <v>470.28289473684208</v>
      </c>
      <c r="R604">
        <f>AVERAGE(Table1[total_laid_off])</f>
        <v>236.96936274509804</v>
      </c>
    </row>
    <row r="605" spans="1:18" x14ac:dyDescent="0.25">
      <c r="A605" s="3" t="s">
        <v>707</v>
      </c>
      <c r="B605" t="s">
        <v>40</v>
      </c>
      <c r="C605" t="s">
        <v>51</v>
      </c>
      <c r="D605">
        <v>100</v>
      </c>
      <c r="E605" t="s">
        <v>15</v>
      </c>
      <c r="F605" s="1" t="str">
        <f>IF(Table1[[#This Row],[percentage_laid_off]]=100%,"1","0")</f>
        <v>0</v>
      </c>
      <c r="G605" t="b">
        <v>0</v>
      </c>
      <c r="H605" s="2">
        <v>43987</v>
      </c>
      <c r="I605" s="2" t="str">
        <f>TEXT(Table1[[#This Row],[date]],"dd")</f>
        <v>05</v>
      </c>
      <c r="J605" s="20">
        <f>DATE(2000,MONTH(Table1[[#This Row],[date]]),1)</f>
        <v>36678</v>
      </c>
      <c r="K605" s="18" t="str">
        <f>TEXT(Table1[[#This Row],[date]],"mm")</f>
        <v>06</v>
      </c>
      <c r="L605" s="16" t="s">
        <v>73</v>
      </c>
      <c r="M605">
        <v>2020</v>
      </c>
      <c r="N605" t="s">
        <v>71</v>
      </c>
      <c r="O605" t="s">
        <v>19</v>
      </c>
      <c r="P605">
        <v>15</v>
      </c>
      <c r="Q605">
        <f>AVERAGE(Table1[funds_raised_millions])</f>
        <v>470.28289473684208</v>
      </c>
      <c r="R605">
        <f>AVERAGE(Table1[total_laid_off])</f>
        <v>236.96936274509804</v>
      </c>
    </row>
    <row r="606" spans="1:18" x14ac:dyDescent="0.25">
      <c r="A606" s="3" t="s">
        <v>708</v>
      </c>
      <c r="B606" t="s">
        <v>13</v>
      </c>
      <c r="C606" t="s">
        <v>120</v>
      </c>
      <c r="D606">
        <v>640</v>
      </c>
      <c r="E606" s="1">
        <v>0.2</v>
      </c>
      <c r="F606" s="1" t="str">
        <f>IF(Table1[[#This Row],[percentage_laid_off]]=100%,"1","0")</f>
        <v>0</v>
      </c>
      <c r="G606" t="s">
        <v>28</v>
      </c>
      <c r="H606" s="2">
        <v>45231</v>
      </c>
      <c r="I606" s="2" t="str">
        <f>TEXT(Table1[[#This Row],[date]],"dd")</f>
        <v>01</v>
      </c>
      <c r="J606" s="20">
        <f>DATE(2000,MONTH(Table1[[#This Row],[date]]),1)</f>
        <v>36831</v>
      </c>
      <c r="K606" s="18" t="str">
        <f>TEXT(Table1[[#This Row],[date]],"mm")</f>
        <v>11</v>
      </c>
      <c r="L606" s="16" t="s">
        <v>23</v>
      </c>
      <c r="M606">
        <v>2023</v>
      </c>
      <c r="N606" t="s">
        <v>18</v>
      </c>
      <c r="O606" t="s">
        <v>19</v>
      </c>
      <c r="P606">
        <v>2400</v>
      </c>
      <c r="Q606">
        <f>AVERAGE(Table1[funds_raised_millions])</f>
        <v>470.28289473684208</v>
      </c>
      <c r="R606">
        <f>AVERAGE(Table1[total_laid_off])</f>
        <v>236.96936274509804</v>
      </c>
    </row>
    <row r="607" spans="1:18" x14ac:dyDescent="0.25">
      <c r="A607" s="3" t="s">
        <v>709</v>
      </c>
      <c r="B607" t="s">
        <v>13</v>
      </c>
      <c r="C607" t="s">
        <v>78</v>
      </c>
      <c r="D607">
        <v>24</v>
      </c>
      <c r="E607" s="1">
        <v>0.21</v>
      </c>
      <c r="F607" s="1" t="str">
        <f>IF(Table1[[#This Row],[percentage_laid_off]]=100%,"1","0")</f>
        <v>0</v>
      </c>
      <c r="G607" t="s">
        <v>28</v>
      </c>
      <c r="H607" s="2">
        <v>44850</v>
      </c>
      <c r="I607" s="2" t="str">
        <f>TEXT(Table1[[#This Row],[date]],"dd")</f>
        <v>16</v>
      </c>
      <c r="J607" s="20">
        <f>DATE(2000,MONTH(Table1[[#This Row],[date]]),1)</f>
        <v>36800</v>
      </c>
      <c r="K607" s="18" t="str">
        <f>TEXT(Table1[[#This Row],[date]],"mm")</f>
        <v>10</v>
      </c>
      <c r="L607" s="16" t="s">
        <v>95</v>
      </c>
      <c r="M607">
        <v>2022</v>
      </c>
      <c r="N607" t="s">
        <v>47</v>
      </c>
      <c r="O607" t="s">
        <v>19</v>
      </c>
      <c r="P607">
        <v>235</v>
      </c>
      <c r="Q607">
        <f>AVERAGE(Table1[funds_raised_millions])</f>
        <v>470.28289473684208</v>
      </c>
      <c r="R607">
        <f>AVERAGE(Table1[total_laid_off])</f>
        <v>236.96936274509804</v>
      </c>
    </row>
    <row r="608" spans="1:18" x14ac:dyDescent="0.25">
      <c r="A608" s="3" t="s">
        <v>710</v>
      </c>
      <c r="B608" t="s">
        <v>13</v>
      </c>
      <c r="C608" t="s">
        <v>51</v>
      </c>
      <c r="D608">
        <v>37</v>
      </c>
      <c r="E608" s="1">
        <v>0.5</v>
      </c>
      <c r="F608" s="1" t="str">
        <f>IF(Table1[[#This Row],[percentage_laid_off]]=100%,"1","0")</f>
        <v>0</v>
      </c>
      <c r="G608" t="s">
        <v>28</v>
      </c>
      <c r="H608" s="2">
        <v>44432</v>
      </c>
      <c r="I608" s="2" t="str">
        <f>TEXT(Table1[[#This Row],[date]],"dd")</f>
        <v>24</v>
      </c>
      <c r="J608" s="20">
        <f>DATE(2000,MONTH(Table1[[#This Row],[date]]),1)</f>
        <v>36739</v>
      </c>
      <c r="K608" s="18" t="str">
        <f>TEXT(Table1[[#This Row],[date]],"mm")</f>
        <v>08</v>
      </c>
      <c r="L608" s="16" t="s">
        <v>53</v>
      </c>
      <c r="M608">
        <v>2021</v>
      </c>
      <c r="N608" t="s">
        <v>24</v>
      </c>
      <c r="O608" t="s">
        <v>19</v>
      </c>
      <c r="P608">
        <v>14</v>
      </c>
      <c r="Q608">
        <f>AVERAGE(Table1[funds_raised_millions])</f>
        <v>470.28289473684208</v>
      </c>
      <c r="R608">
        <f>AVERAGE(Table1[total_laid_off])</f>
        <v>236.96936274509804</v>
      </c>
    </row>
    <row r="609" spans="1:18" x14ac:dyDescent="0.25">
      <c r="A609" s="3" t="s">
        <v>711</v>
      </c>
      <c r="B609" t="s">
        <v>325</v>
      </c>
      <c r="C609" t="s">
        <v>41</v>
      </c>
      <c r="D609" t="s">
        <v>15</v>
      </c>
      <c r="E609" s="1">
        <v>0.15</v>
      </c>
      <c r="F609" s="1" t="str">
        <f>IF(Table1[[#This Row],[percentage_laid_off]]=100%,"1","0")</f>
        <v>0</v>
      </c>
      <c r="G609" t="s">
        <v>28</v>
      </c>
      <c r="H609" s="2">
        <v>44813</v>
      </c>
      <c r="I609" s="2" t="str">
        <f>TEXT(Table1[[#This Row],[date]],"dd")</f>
        <v>09</v>
      </c>
      <c r="J609" s="20">
        <f>DATE(2000,MONTH(Table1[[#This Row],[date]]),1)</f>
        <v>36770</v>
      </c>
      <c r="K609" s="18" t="str">
        <f>TEXT(Table1[[#This Row],[date]],"mm")</f>
        <v>09</v>
      </c>
      <c r="L609" s="16" t="s">
        <v>70</v>
      </c>
      <c r="M609">
        <v>2022</v>
      </c>
      <c r="N609" t="s">
        <v>47</v>
      </c>
      <c r="O609" t="s">
        <v>19</v>
      </c>
      <c r="P609">
        <v>45</v>
      </c>
      <c r="Q609">
        <f>AVERAGE(Table1[funds_raised_millions])</f>
        <v>470.28289473684208</v>
      </c>
      <c r="R609">
        <f>AVERAGE(Table1[total_laid_off])</f>
        <v>236.96936274509804</v>
      </c>
    </row>
    <row r="610" spans="1:18" x14ac:dyDescent="0.25">
      <c r="A610" s="3" t="s">
        <v>712</v>
      </c>
      <c r="B610" t="s">
        <v>27</v>
      </c>
      <c r="C610" t="s">
        <v>41</v>
      </c>
      <c r="D610" t="s">
        <v>15</v>
      </c>
      <c r="E610" s="1">
        <v>0.25</v>
      </c>
      <c r="F610" s="1" t="str">
        <f>IF(Table1[[#This Row],[percentage_laid_off]]=100%,"1","0")</f>
        <v>0</v>
      </c>
      <c r="G610" t="s">
        <v>28</v>
      </c>
      <c r="H610" s="2">
        <v>43914</v>
      </c>
      <c r="I610" s="2" t="str">
        <f>TEXT(Table1[[#This Row],[date]],"dd")</f>
        <v>24</v>
      </c>
      <c r="J610" s="20">
        <f>DATE(2000,MONTH(Table1[[#This Row],[date]]),1)</f>
        <v>36586</v>
      </c>
      <c r="K610" s="18" t="str">
        <f>TEXT(Table1[[#This Row],[date]],"mm")</f>
        <v>03</v>
      </c>
      <c r="L610" s="16" t="s">
        <v>57</v>
      </c>
      <c r="M610">
        <v>2020</v>
      </c>
      <c r="N610" t="s">
        <v>47</v>
      </c>
      <c r="O610" t="s">
        <v>31</v>
      </c>
      <c r="P610" t="s">
        <v>15</v>
      </c>
      <c r="Q610">
        <f>AVERAGE(Table1[funds_raised_millions])</f>
        <v>470.28289473684208</v>
      </c>
      <c r="R610">
        <f>AVERAGE(Table1[total_laid_off])</f>
        <v>236.96936274509804</v>
      </c>
    </row>
    <row r="611" spans="1:18" x14ac:dyDescent="0.25">
      <c r="A611" s="3" t="s">
        <v>713</v>
      </c>
      <c r="B611" t="s">
        <v>45</v>
      </c>
      <c r="C611" t="s">
        <v>161</v>
      </c>
      <c r="D611">
        <v>83</v>
      </c>
      <c r="E611" s="1">
        <v>0.82</v>
      </c>
      <c r="F611" s="1" t="str">
        <f>IF(Table1[[#This Row],[percentage_laid_off]]=100%,"1","0")</f>
        <v>0</v>
      </c>
      <c r="G611" t="s">
        <v>114</v>
      </c>
      <c r="H611" s="2">
        <v>44790</v>
      </c>
      <c r="I611" s="2" t="str">
        <f>TEXT(Table1[[#This Row],[date]],"dd")</f>
        <v>17</v>
      </c>
      <c r="J611" s="20">
        <f>DATE(2000,MONTH(Table1[[#This Row],[date]]),1)</f>
        <v>36739</v>
      </c>
      <c r="K611" s="18" t="str">
        <f>TEXT(Table1[[#This Row],[date]],"mm")</f>
        <v>08</v>
      </c>
      <c r="L611" s="16" t="s">
        <v>53</v>
      </c>
      <c r="M611">
        <v>2022</v>
      </c>
      <c r="N611" t="s">
        <v>139</v>
      </c>
      <c r="O611" t="s">
        <v>48</v>
      </c>
      <c r="P611" t="s">
        <v>15</v>
      </c>
      <c r="Q611">
        <f>AVERAGE(Table1[funds_raised_millions])</f>
        <v>470.28289473684208</v>
      </c>
      <c r="R611">
        <f>AVERAGE(Table1[total_laid_off])</f>
        <v>236.96936274509804</v>
      </c>
    </row>
    <row r="612" spans="1:18" x14ac:dyDescent="0.25">
      <c r="A612" s="3" t="s">
        <v>714</v>
      </c>
      <c r="B612" t="s">
        <v>199</v>
      </c>
      <c r="C612" t="s">
        <v>82</v>
      </c>
      <c r="D612" t="s">
        <v>15</v>
      </c>
      <c r="E612" s="1">
        <v>1</v>
      </c>
      <c r="F612" s="1" t="str">
        <f>IF(Table1[[#This Row],[percentage_laid_off]]=100%,"1","0")</f>
        <v>1</v>
      </c>
      <c r="G612" t="s">
        <v>114</v>
      </c>
      <c r="H612" s="2">
        <v>44848</v>
      </c>
      <c r="I612" s="2" t="str">
        <f>TEXT(Table1[[#This Row],[date]],"dd")</f>
        <v>14</v>
      </c>
      <c r="J612" s="20">
        <f>DATE(2000,MONTH(Table1[[#This Row],[date]]),1)</f>
        <v>36800</v>
      </c>
      <c r="K612" s="18" t="str">
        <f>TEXT(Table1[[#This Row],[date]],"mm")</f>
        <v>10</v>
      </c>
      <c r="L612" s="16" t="s">
        <v>95</v>
      </c>
      <c r="M612">
        <v>2022</v>
      </c>
      <c r="N612" t="s">
        <v>47</v>
      </c>
      <c r="O612" t="s">
        <v>200</v>
      </c>
      <c r="P612">
        <v>9</v>
      </c>
      <c r="Q612">
        <f>AVERAGE(Table1[funds_raised_millions])</f>
        <v>470.28289473684208</v>
      </c>
      <c r="R612">
        <f>AVERAGE(Table1[total_laid_off])</f>
        <v>236.96936274509804</v>
      </c>
    </row>
    <row r="613" spans="1:18" x14ac:dyDescent="0.25">
      <c r="A613" s="3" t="s">
        <v>715</v>
      </c>
      <c r="B613" t="s">
        <v>68</v>
      </c>
      <c r="C613" t="s">
        <v>174</v>
      </c>
      <c r="D613">
        <v>200</v>
      </c>
      <c r="E613" s="1">
        <v>0.2</v>
      </c>
      <c r="F613" s="1" t="str">
        <f>IF(Table1[[#This Row],[percentage_laid_off]]=100%,"1","0")</f>
        <v>0</v>
      </c>
      <c r="G613" t="s">
        <v>28</v>
      </c>
      <c r="H613" s="2">
        <v>44762</v>
      </c>
      <c r="I613" s="2" t="str">
        <f>TEXT(Table1[[#This Row],[date]],"dd")</f>
        <v>20</v>
      </c>
      <c r="J613" s="20">
        <f>DATE(2000,MONTH(Table1[[#This Row],[date]]),1)</f>
        <v>36708</v>
      </c>
      <c r="K613" s="18" t="str">
        <f>TEXT(Table1[[#This Row],[date]],"mm")</f>
        <v>07</v>
      </c>
      <c r="L613" s="16" t="s">
        <v>17</v>
      </c>
      <c r="M613">
        <v>2022</v>
      </c>
      <c r="N613" t="s">
        <v>35</v>
      </c>
      <c r="O613" t="s">
        <v>19</v>
      </c>
      <c r="P613">
        <v>310</v>
      </c>
      <c r="Q613">
        <f>AVERAGE(Table1[funds_raised_millions])</f>
        <v>470.28289473684208</v>
      </c>
      <c r="R613">
        <f>AVERAGE(Table1[total_laid_off])</f>
        <v>236.96936274509804</v>
      </c>
    </row>
    <row r="614" spans="1:18" x14ac:dyDescent="0.25">
      <c r="A614" s="3" t="s">
        <v>715</v>
      </c>
      <c r="B614" t="s">
        <v>68</v>
      </c>
      <c r="C614" t="s">
        <v>174</v>
      </c>
      <c r="D614">
        <v>300</v>
      </c>
      <c r="E614" s="1">
        <v>0.4</v>
      </c>
      <c r="F614" s="1" t="str">
        <f>IF(Table1[[#This Row],[percentage_laid_off]]=100%,"1","0")</f>
        <v>0</v>
      </c>
      <c r="G614" t="s">
        <v>28</v>
      </c>
      <c r="H614" s="2">
        <v>44815</v>
      </c>
      <c r="I614" s="2" t="str">
        <f>TEXT(Table1[[#This Row],[date]],"dd")</f>
        <v>11</v>
      </c>
      <c r="J614" s="20">
        <f>DATE(2000,MONTH(Table1[[#This Row],[date]]),1)</f>
        <v>36770</v>
      </c>
      <c r="K614" s="18" t="str">
        <f>TEXT(Table1[[#This Row],[date]],"mm")</f>
        <v>09</v>
      </c>
      <c r="L614" s="16" t="s">
        <v>70</v>
      </c>
      <c r="M614">
        <v>2022</v>
      </c>
      <c r="N614" t="s">
        <v>35</v>
      </c>
      <c r="O614" t="s">
        <v>19</v>
      </c>
      <c r="P614">
        <v>310</v>
      </c>
      <c r="Q614">
        <f>AVERAGE(Table1[funds_raised_millions])</f>
        <v>470.28289473684208</v>
      </c>
      <c r="R614">
        <f>AVERAGE(Table1[total_laid_off])</f>
        <v>236.96936274509804</v>
      </c>
    </row>
    <row r="615" spans="1:18" x14ac:dyDescent="0.25">
      <c r="A615" s="3" t="s">
        <v>716</v>
      </c>
      <c r="B615" t="s">
        <v>717</v>
      </c>
      <c r="C615" t="s">
        <v>112</v>
      </c>
      <c r="D615">
        <v>200</v>
      </c>
      <c r="E615" s="1">
        <v>0.33</v>
      </c>
      <c r="F615" s="1" t="str">
        <f>IF(Table1[[#This Row],[percentage_laid_off]]=100%,"1","0")</f>
        <v>0</v>
      </c>
      <c r="G615" t="s">
        <v>28</v>
      </c>
      <c r="H615" s="2">
        <v>43834</v>
      </c>
      <c r="I615" s="2" t="str">
        <f>TEXT(Table1[[#This Row],[date]],"dd")</f>
        <v>04</v>
      </c>
      <c r="J615" s="20">
        <f>DATE(2000,MONTH(Table1[[#This Row],[date]]),1)</f>
        <v>36526</v>
      </c>
      <c r="K615" s="18" t="str">
        <f>TEXT(Table1[[#This Row],[date]],"mm")</f>
        <v>01</v>
      </c>
      <c r="L615" s="16" t="s">
        <v>29</v>
      </c>
      <c r="M615">
        <v>2020</v>
      </c>
      <c r="N615" t="s">
        <v>47</v>
      </c>
      <c r="O615" t="s">
        <v>718</v>
      </c>
      <c r="P615" t="s">
        <v>15</v>
      </c>
      <c r="Q615">
        <f>AVERAGE(Table1[funds_raised_millions])</f>
        <v>470.28289473684208</v>
      </c>
      <c r="R615">
        <f>AVERAGE(Table1[total_laid_off])</f>
        <v>236.96936274509804</v>
      </c>
    </row>
    <row r="616" spans="1:18" x14ac:dyDescent="0.25">
      <c r="A616" s="3" t="s">
        <v>719</v>
      </c>
      <c r="B616" t="s">
        <v>228</v>
      </c>
      <c r="C616" t="s">
        <v>22</v>
      </c>
      <c r="D616">
        <v>4</v>
      </c>
      <c r="E616" s="1">
        <v>0.2</v>
      </c>
      <c r="F616" s="1" t="str">
        <f>IF(Table1[[#This Row],[percentage_laid_off]]=100%,"1","0")</f>
        <v>0</v>
      </c>
      <c r="G616" t="s">
        <v>28</v>
      </c>
      <c r="H616" s="2">
        <v>43908</v>
      </c>
      <c r="I616" s="2" t="str">
        <f>TEXT(Table1[[#This Row],[date]],"dd")</f>
        <v>18</v>
      </c>
      <c r="J616" s="20">
        <f>DATE(2000,MONTH(Table1[[#This Row],[date]]),1)</f>
        <v>36586</v>
      </c>
      <c r="K616" s="18" t="str">
        <f>TEXT(Table1[[#This Row],[date]],"mm")</f>
        <v>03</v>
      </c>
      <c r="L616" s="16" t="s">
        <v>57</v>
      </c>
      <c r="M616">
        <v>2020</v>
      </c>
      <c r="N616" t="s">
        <v>139</v>
      </c>
      <c r="O616" t="s">
        <v>19</v>
      </c>
      <c r="P616">
        <v>4</v>
      </c>
      <c r="Q616">
        <f>AVERAGE(Table1[funds_raised_millions])</f>
        <v>470.28289473684208</v>
      </c>
      <c r="R616">
        <f>AVERAGE(Table1[total_laid_off])</f>
        <v>236.96936274509804</v>
      </c>
    </row>
    <row r="617" spans="1:18" x14ac:dyDescent="0.25">
      <c r="A617" s="3" t="s">
        <v>720</v>
      </c>
      <c r="B617" t="s">
        <v>40</v>
      </c>
      <c r="C617" t="s">
        <v>468</v>
      </c>
      <c r="D617">
        <v>784</v>
      </c>
      <c r="E617" s="1">
        <v>0.98</v>
      </c>
      <c r="F617" s="1" t="str">
        <f>IF(Table1[[#This Row],[percentage_laid_off]]=100%,"1","0")</f>
        <v>0</v>
      </c>
      <c r="G617" t="s">
        <v>114</v>
      </c>
      <c r="H617" s="2">
        <v>43910</v>
      </c>
      <c r="I617" s="2" t="str">
        <f>TEXT(Table1[[#This Row],[date]],"dd")</f>
        <v>20</v>
      </c>
      <c r="J617" s="20">
        <f>DATE(2000,MONTH(Table1[[#This Row],[date]]),1)</f>
        <v>36586</v>
      </c>
      <c r="K617" s="18" t="str">
        <f>TEXT(Table1[[#This Row],[date]],"mm")</f>
        <v>03</v>
      </c>
      <c r="L617" s="16" t="s">
        <v>57</v>
      </c>
      <c r="M617">
        <v>2020</v>
      </c>
      <c r="N617" t="s">
        <v>71</v>
      </c>
      <c r="O617" t="s">
        <v>19</v>
      </c>
      <c r="P617">
        <v>120</v>
      </c>
      <c r="Q617">
        <f>AVERAGE(Table1[funds_raised_millions])</f>
        <v>470.28289473684208</v>
      </c>
      <c r="R617">
        <f>AVERAGE(Table1[total_laid_off])</f>
        <v>236.96936274509804</v>
      </c>
    </row>
    <row r="618" spans="1:18" x14ac:dyDescent="0.25">
      <c r="A618" s="3" t="s">
        <v>721</v>
      </c>
      <c r="B618" t="s">
        <v>88</v>
      </c>
      <c r="C618" t="s">
        <v>82</v>
      </c>
      <c r="D618">
        <v>60</v>
      </c>
      <c r="E618" s="1">
        <v>0.12</v>
      </c>
      <c r="F618" s="1" t="str">
        <f>IF(Table1[[#This Row],[percentage_laid_off]]=100%,"1","0")</f>
        <v>0</v>
      </c>
      <c r="G618" t="s">
        <v>28</v>
      </c>
      <c r="H618" s="2">
        <v>44017</v>
      </c>
      <c r="I618" s="2" t="str">
        <f>TEXT(Table1[[#This Row],[date]],"dd")</f>
        <v>05</v>
      </c>
      <c r="J618" s="20">
        <f>DATE(2000,MONTH(Table1[[#This Row],[date]]),1)</f>
        <v>36708</v>
      </c>
      <c r="K618" s="18" t="str">
        <f>TEXT(Table1[[#This Row],[date]],"mm")</f>
        <v>07</v>
      </c>
      <c r="L618" s="16" t="s">
        <v>17</v>
      </c>
      <c r="M618">
        <v>2020</v>
      </c>
      <c r="N618" t="s">
        <v>18</v>
      </c>
      <c r="O618" t="s">
        <v>19</v>
      </c>
      <c r="P618">
        <v>263</v>
      </c>
      <c r="Q618">
        <f>AVERAGE(Table1[funds_raised_millions])</f>
        <v>470.28289473684208</v>
      </c>
      <c r="R618">
        <f>AVERAGE(Table1[total_laid_off])</f>
        <v>236.96936274509804</v>
      </c>
    </row>
    <row r="619" spans="1:18" x14ac:dyDescent="0.25">
      <c r="A619" s="3" t="s">
        <v>722</v>
      </c>
      <c r="B619" t="s">
        <v>40</v>
      </c>
      <c r="C619" t="s">
        <v>64</v>
      </c>
      <c r="D619">
        <v>20</v>
      </c>
      <c r="E619" s="1">
        <v>0.1</v>
      </c>
      <c r="F619" s="1" t="str">
        <f>IF(Table1[[#This Row],[percentage_laid_off]]=100%,"1","0")</f>
        <v>0</v>
      </c>
      <c r="G619" t="s">
        <v>16</v>
      </c>
      <c r="H619" s="2">
        <v>44777</v>
      </c>
      <c r="I619" s="2" t="str">
        <f>TEXT(Table1[[#This Row],[date]],"dd")</f>
        <v>04</v>
      </c>
      <c r="J619" s="20">
        <f>DATE(2000,MONTH(Table1[[#This Row],[date]]),1)</f>
        <v>36739</v>
      </c>
      <c r="K619" s="18" t="str">
        <f>TEXT(Table1[[#This Row],[date]],"mm")</f>
        <v>08</v>
      </c>
      <c r="L619" s="16" t="s">
        <v>53</v>
      </c>
      <c r="M619">
        <v>2022</v>
      </c>
      <c r="N619" t="s">
        <v>71</v>
      </c>
      <c r="O619" t="s">
        <v>19</v>
      </c>
      <c r="P619">
        <v>176</v>
      </c>
      <c r="Q619">
        <f>AVERAGE(Table1[funds_raised_millions])</f>
        <v>470.28289473684208</v>
      </c>
      <c r="R619">
        <f>AVERAGE(Table1[total_laid_off])</f>
        <v>236.96936274509804</v>
      </c>
    </row>
    <row r="620" spans="1:18" x14ac:dyDescent="0.25">
      <c r="A620" s="3" t="s">
        <v>722</v>
      </c>
      <c r="B620" t="s">
        <v>40</v>
      </c>
      <c r="C620" t="s">
        <v>64</v>
      </c>
      <c r="D620">
        <v>21</v>
      </c>
      <c r="E620" s="1">
        <v>0.15</v>
      </c>
      <c r="F620" s="1" t="str">
        <f>IF(Table1[[#This Row],[percentage_laid_off]]=100%,"1","0")</f>
        <v>0</v>
      </c>
      <c r="G620" t="s">
        <v>28</v>
      </c>
      <c r="H620" s="2">
        <v>44626</v>
      </c>
      <c r="I620" s="2" t="str">
        <f>TEXT(Table1[[#This Row],[date]],"dd")</f>
        <v>06</v>
      </c>
      <c r="J620" s="20">
        <f>DATE(2000,MONTH(Table1[[#This Row],[date]]),1)</f>
        <v>36586</v>
      </c>
      <c r="K620" s="18" t="str">
        <f>TEXT(Table1[[#This Row],[date]],"mm")</f>
        <v>03</v>
      </c>
      <c r="L620" s="16" t="s">
        <v>57</v>
      </c>
      <c r="M620">
        <v>2022</v>
      </c>
      <c r="N620" t="s">
        <v>71</v>
      </c>
      <c r="O620" t="s">
        <v>19</v>
      </c>
      <c r="P620">
        <v>176</v>
      </c>
      <c r="Q620">
        <f>AVERAGE(Table1[funds_raised_millions])</f>
        <v>470.28289473684208</v>
      </c>
      <c r="R620">
        <f>AVERAGE(Table1[total_laid_off])</f>
        <v>236.96936274509804</v>
      </c>
    </row>
    <row r="621" spans="1:18" x14ac:dyDescent="0.25">
      <c r="A621" s="3" t="s">
        <v>723</v>
      </c>
      <c r="B621" t="s">
        <v>724</v>
      </c>
      <c r="C621" t="s">
        <v>64</v>
      </c>
      <c r="D621">
        <v>80</v>
      </c>
      <c r="E621" t="s">
        <v>15</v>
      </c>
      <c r="F621" s="1" t="str">
        <f>IF(Table1[[#This Row],[percentage_laid_off]]=100%,"1","0")</f>
        <v>0</v>
      </c>
      <c r="G621" t="b">
        <v>0</v>
      </c>
      <c r="H621" s="2">
        <v>44707</v>
      </c>
      <c r="I621" s="2" t="str">
        <f>TEXT(Table1[[#This Row],[date]],"dd")</f>
        <v>26</v>
      </c>
      <c r="J621" s="20">
        <f>DATE(2000,MONTH(Table1[[#This Row],[date]]),1)</f>
        <v>36647</v>
      </c>
      <c r="K621" s="18" t="str">
        <f>TEXT(Table1[[#This Row],[date]],"mm")</f>
        <v>05</v>
      </c>
      <c r="L621" s="16" t="s">
        <v>86</v>
      </c>
      <c r="M621">
        <v>2022</v>
      </c>
      <c r="N621" t="s">
        <v>71</v>
      </c>
      <c r="O621" t="s">
        <v>725</v>
      </c>
      <c r="P621">
        <v>749</v>
      </c>
      <c r="Q621">
        <f>AVERAGE(Table1[funds_raised_millions])</f>
        <v>470.28289473684208</v>
      </c>
      <c r="R621">
        <f>AVERAGE(Table1[total_laid_off])</f>
        <v>236.96936274509804</v>
      </c>
    </row>
    <row r="622" spans="1:18" x14ac:dyDescent="0.25">
      <c r="A622" s="3" t="s">
        <v>723</v>
      </c>
      <c r="B622" t="s">
        <v>111</v>
      </c>
      <c r="C622" t="s">
        <v>64</v>
      </c>
      <c r="D622">
        <v>60</v>
      </c>
      <c r="E622" t="s">
        <v>15</v>
      </c>
      <c r="F622" s="1" t="str">
        <f>IF(Table1[[#This Row],[percentage_laid_off]]=100%,"1","0")</f>
        <v>0</v>
      </c>
      <c r="G622" t="b">
        <v>0</v>
      </c>
      <c r="H622" s="2">
        <v>44751</v>
      </c>
      <c r="I622" s="2" t="str">
        <f>TEXT(Table1[[#This Row],[date]],"dd")</f>
        <v>09</v>
      </c>
      <c r="J622" s="20">
        <f>DATE(2000,MONTH(Table1[[#This Row],[date]]),1)</f>
        <v>36708</v>
      </c>
      <c r="K622" s="18" t="str">
        <f>TEXT(Table1[[#This Row],[date]],"mm")</f>
        <v>07</v>
      </c>
      <c r="L622" s="16" t="s">
        <v>17</v>
      </c>
      <c r="M622">
        <v>2022</v>
      </c>
      <c r="N622" t="s">
        <v>71</v>
      </c>
      <c r="O622" t="s">
        <v>111</v>
      </c>
      <c r="P622">
        <v>749</v>
      </c>
      <c r="Q622">
        <f>AVERAGE(Table1[funds_raised_millions])</f>
        <v>470.28289473684208</v>
      </c>
      <c r="R622">
        <f>AVERAGE(Table1[total_laid_off])</f>
        <v>236.96936274509804</v>
      </c>
    </row>
    <row r="623" spans="1:18" x14ac:dyDescent="0.25">
      <c r="A623" s="3" t="s">
        <v>726</v>
      </c>
      <c r="B623" t="s">
        <v>230</v>
      </c>
      <c r="C623" t="s">
        <v>64</v>
      </c>
      <c r="D623">
        <v>87</v>
      </c>
      <c r="E623" s="1">
        <v>0.67</v>
      </c>
      <c r="F623" s="1" t="str">
        <f>IF(Table1[[#This Row],[percentage_laid_off]]=100%,"1","0")</f>
        <v>0</v>
      </c>
      <c r="G623" t="s">
        <v>130</v>
      </c>
      <c r="H623" s="2">
        <v>43914</v>
      </c>
      <c r="I623" s="2" t="str">
        <f>TEXT(Table1[[#This Row],[date]],"dd")</f>
        <v>24</v>
      </c>
      <c r="J623" s="20">
        <f>DATE(2000,MONTH(Table1[[#This Row],[date]]),1)</f>
        <v>36586</v>
      </c>
      <c r="K623" s="18" t="str">
        <f>TEXT(Table1[[#This Row],[date]],"mm")</f>
        <v>03</v>
      </c>
      <c r="L623" s="16" t="s">
        <v>57</v>
      </c>
      <c r="M623">
        <v>2020</v>
      </c>
      <c r="N623" t="s">
        <v>30</v>
      </c>
      <c r="O623" t="s">
        <v>19</v>
      </c>
      <c r="P623">
        <v>20</v>
      </c>
      <c r="Q623">
        <f>AVERAGE(Table1[funds_raised_millions])</f>
        <v>470.28289473684208</v>
      </c>
      <c r="R623">
        <f>AVERAGE(Table1[total_laid_off])</f>
        <v>236.96936274509804</v>
      </c>
    </row>
    <row r="624" spans="1:18" x14ac:dyDescent="0.25">
      <c r="A624" s="3" t="s">
        <v>727</v>
      </c>
      <c r="B624" t="s">
        <v>13</v>
      </c>
      <c r="C624" t="s">
        <v>181</v>
      </c>
      <c r="D624">
        <v>100</v>
      </c>
      <c r="E624" s="1">
        <v>0.1</v>
      </c>
      <c r="F624" s="1" t="str">
        <f>IF(Table1[[#This Row],[percentage_laid_off]]=100%,"1","0")</f>
        <v>0</v>
      </c>
      <c r="G624" t="s">
        <v>16</v>
      </c>
      <c r="H624" s="2">
        <v>45200</v>
      </c>
      <c r="I624" s="2" t="str">
        <f>TEXT(Table1[[#This Row],[date]],"dd")</f>
        <v>01</v>
      </c>
      <c r="J624" s="20">
        <f>DATE(2000,MONTH(Table1[[#This Row],[date]]),1)</f>
        <v>36800</v>
      </c>
      <c r="K624" s="18" t="str">
        <f>TEXT(Table1[[#This Row],[date]],"mm")</f>
        <v>10</v>
      </c>
      <c r="L624" s="16" t="s">
        <v>95</v>
      </c>
      <c r="M624">
        <v>2023</v>
      </c>
      <c r="N624" t="s">
        <v>38</v>
      </c>
      <c r="O624" t="s">
        <v>19</v>
      </c>
      <c r="P624">
        <v>125</v>
      </c>
      <c r="Q624">
        <f>AVERAGE(Table1[funds_raised_millions])</f>
        <v>470.28289473684208</v>
      </c>
      <c r="R624">
        <f>AVERAGE(Table1[total_laid_off])</f>
        <v>236.96936274509804</v>
      </c>
    </row>
    <row r="625" spans="1:18" x14ac:dyDescent="0.25">
      <c r="A625" s="3" t="s">
        <v>728</v>
      </c>
      <c r="B625" t="s">
        <v>13</v>
      </c>
      <c r="C625" t="s">
        <v>82</v>
      </c>
      <c r="D625" t="s">
        <v>15</v>
      </c>
      <c r="E625" s="1">
        <v>0.4</v>
      </c>
      <c r="F625" s="1" t="str">
        <f>IF(Table1[[#This Row],[percentage_laid_off]]=100%,"1","0")</f>
        <v>0</v>
      </c>
      <c r="G625" t="s">
        <v>28</v>
      </c>
      <c r="H625" s="2">
        <v>44722</v>
      </c>
      <c r="I625" s="2" t="str">
        <f>TEXT(Table1[[#This Row],[date]],"dd")</f>
        <v>10</v>
      </c>
      <c r="J625" s="20">
        <f>DATE(2000,MONTH(Table1[[#This Row],[date]]),1)</f>
        <v>36678</v>
      </c>
      <c r="K625" s="18" t="str">
        <f>TEXT(Table1[[#This Row],[date]],"mm")</f>
        <v>06</v>
      </c>
      <c r="L625" s="16" t="s">
        <v>73</v>
      </c>
      <c r="M625">
        <v>2022</v>
      </c>
      <c r="N625" t="s">
        <v>30</v>
      </c>
      <c r="O625" t="s">
        <v>19</v>
      </c>
      <c r="P625">
        <v>58</v>
      </c>
      <c r="Q625">
        <f>AVERAGE(Table1[funds_raised_millions])</f>
        <v>470.28289473684208</v>
      </c>
      <c r="R625">
        <f>AVERAGE(Table1[total_laid_off])</f>
        <v>236.96936274509804</v>
      </c>
    </row>
    <row r="626" spans="1:18" x14ac:dyDescent="0.25">
      <c r="A626" s="3" t="s">
        <v>729</v>
      </c>
      <c r="B626" t="s">
        <v>27</v>
      </c>
      <c r="C626" t="s">
        <v>60</v>
      </c>
      <c r="D626">
        <v>15</v>
      </c>
      <c r="E626" s="1">
        <v>0.09</v>
      </c>
      <c r="F626" s="1" t="str">
        <f>IF(Table1[[#This Row],[percentage_laid_off]]=100%,"1","0")</f>
        <v>0</v>
      </c>
      <c r="G626" t="s">
        <v>16</v>
      </c>
      <c r="H626" s="2">
        <v>44762</v>
      </c>
      <c r="I626" s="2" t="str">
        <f>TEXT(Table1[[#This Row],[date]],"dd")</f>
        <v>20</v>
      </c>
      <c r="J626" s="20">
        <f>DATE(2000,MONTH(Table1[[#This Row],[date]]),1)</f>
        <v>36708</v>
      </c>
      <c r="K626" s="18" t="str">
        <f>TEXT(Table1[[#This Row],[date]],"mm")</f>
        <v>07</v>
      </c>
      <c r="L626" s="16" t="s">
        <v>17</v>
      </c>
      <c r="M626">
        <v>2022</v>
      </c>
      <c r="N626" t="s">
        <v>30</v>
      </c>
      <c r="O626" t="s">
        <v>31</v>
      </c>
      <c r="P626">
        <v>58</v>
      </c>
      <c r="Q626">
        <f>AVERAGE(Table1[funds_raised_millions])</f>
        <v>470.28289473684208</v>
      </c>
      <c r="R626">
        <f>AVERAGE(Table1[total_laid_off])</f>
        <v>236.96936274509804</v>
      </c>
    </row>
    <row r="627" spans="1:18" x14ac:dyDescent="0.25">
      <c r="A627" s="3" t="s">
        <v>730</v>
      </c>
      <c r="B627" t="s">
        <v>94</v>
      </c>
      <c r="C627" t="s">
        <v>120</v>
      </c>
      <c r="D627">
        <v>60</v>
      </c>
      <c r="E627" s="1">
        <v>0.08</v>
      </c>
      <c r="F627" s="1" t="str">
        <f>IF(Table1[[#This Row],[percentage_laid_off]]=100%,"1","0")</f>
        <v>0</v>
      </c>
      <c r="G627" t="s">
        <v>16</v>
      </c>
      <c r="H627" s="2">
        <v>44876</v>
      </c>
      <c r="I627" s="2" t="str">
        <f>TEXT(Table1[[#This Row],[date]],"dd")</f>
        <v>11</v>
      </c>
      <c r="J627" s="20">
        <f>DATE(2000,MONTH(Table1[[#This Row],[date]]),1)</f>
        <v>36831</v>
      </c>
      <c r="K627" s="18" t="str">
        <f>TEXT(Table1[[#This Row],[date]],"mm")</f>
        <v>11</v>
      </c>
      <c r="L627" s="16" t="s">
        <v>23</v>
      </c>
      <c r="M627">
        <v>2022</v>
      </c>
      <c r="N627" t="s">
        <v>43</v>
      </c>
      <c r="O627" t="s">
        <v>19</v>
      </c>
      <c r="P627">
        <v>593</v>
      </c>
      <c r="Q627">
        <f>AVERAGE(Table1[funds_raised_millions])</f>
        <v>470.28289473684208</v>
      </c>
      <c r="R627">
        <f>AVERAGE(Table1[total_laid_off])</f>
        <v>236.96936274509804</v>
      </c>
    </row>
    <row r="628" spans="1:18" x14ac:dyDescent="0.25">
      <c r="A628" s="3" t="s">
        <v>731</v>
      </c>
      <c r="B628" t="s">
        <v>13</v>
      </c>
      <c r="C628" t="s">
        <v>14</v>
      </c>
      <c r="D628" t="s">
        <v>15</v>
      </c>
      <c r="E628" s="1">
        <v>0.05</v>
      </c>
      <c r="F628" s="1" t="str">
        <f>IF(Table1[[#This Row],[percentage_laid_off]]=100%,"1","0")</f>
        <v>0</v>
      </c>
      <c r="G628" t="s">
        <v>16</v>
      </c>
      <c r="H628" s="2">
        <v>44872</v>
      </c>
      <c r="I628" s="2" t="str">
        <f>TEXT(Table1[[#This Row],[date]],"dd")</f>
        <v>07</v>
      </c>
      <c r="J628" s="20">
        <f>DATE(2000,MONTH(Table1[[#This Row],[date]]),1)</f>
        <v>36831</v>
      </c>
      <c r="K628" s="18" t="str">
        <f>TEXT(Table1[[#This Row],[date]],"mm")</f>
        <v>11</v>
      </c>
      <c r="L628" s="16" t="s">
        <v>23</v>
      </c>
      <c r="M628">
        <v>2022</v>
      </c>
      <c r="N628" t="s">
        <v>43</v>
      </c>
      <c r="O628" t="s">
        <v>19</v>
      </c>
      <c r="P628">
        <v>225</v>
      </c>
      <c r="Q628">
        <f>AVERAGE(Table1[funds_raised_millions])</f>
        <v>470.28289473684208</v>
      </c>
      <c r="R628">
        <f>AVERAGE(Table1[total_laid_off])</f>
        <v>236.96936274509804</v>
      </c>
    </row>
    <row r="629" spans="1:18" x14ac:dyDescent="0.25">
      <c r="A629" s="3" t="s">
        <v>731</v>
      </c>
      <c r="B629" t="s">
        <v>13</v>
      </c>
      <c r="C629" t="s">
        <v>14</v>
      </c>
      <c r="D629">
        <v>10</v>
      </c>
      <c r="E629" s="1">
        <v>0.03</v>
      </c>
      <c r="F629" s="1" t="str">
        <f>IF(Table1[[#This Row],[percentage_laid_off]]=100%,"1","0")</f>
        <v>0</v>
      </c>
      <c r="G629" t="s">
        <v>16</v>
      </c>
      <c r="H629" s="2">
        <v>43941</v>
      </c>
      <c r="I629" s="2" t="str">
        <f>TEXT(Table1[[#This Row],[date]],"dd")</f>
        <v>20</v>
      </c>
      <c r="J629" s="20">
        <f>DATE(2000,MONTH(Table1[[#This Row],[date]]),1)</f>
        <v>36617</v>
      </c>
      <c r="K629" s="18" t="str">
        <f>TEXT(Table1[[#This Row],[date]],"mm")</f>
        <v>04</v>
      </c>
      <c r="L629" s="16" t="s">
        <v>37</v>
      </c>
      <c r="M629">
        <v>2020</v>
      </c>
      <c r="N629" t="s">
        <v>35</v>
      </c>
      <c r="O629" t="s">
        <v>19</v>
      </c>
      <c r="P629">
        <v>100</v>
      </c>
      <c r="Q629">
        <f>AVERAGE(Table1[funds_raised_millions])</f>
        <v>470.28289473684208</v>
      </c>
      <c r="R629">
        <f>AVERAGE(Table1[total_laid_off])</f>
        <v>236.96936274509804</v>
      </c>
    </row>
    <row r="630" spans="1:18" x14ac:dyDescent="0.25">
      <c r="A630" s="3" t="s">
        <v>732</v>
      </c>
      <c r="B630" t="s">
        <v>91</v>
      </c>
      <c r="C630" t="s">
        <v>120</v>
      </c>
      <c r="D630">
        <v>60</v>
      </c>
      <c r="E630" s="1">
        <v>0.08</v>
      </c>
      <c r="F630" s="1" t="str">
        <f>IF(Table1[[#This Row],[percentage_laid_off]]=100%,"1","0")</f>
        <v>0</v>
      </c>
      <c r="G630" t="s">
        <v>16</v>
      </c>
      <c r="H630" s="2">
        <v>44873</v>
      </c>
      <c r="I630" s="2" t="str">
        <f>TEXT(Table1[[#This Row],[date]],"dd")</f>
        <v>08</v>
      </c>
      <c r="J630" s="20">
        <f>DATE(2000,MONTH(Table1[[#This Row],[date]]),1)</f>
        <v>36831</v>
      </c>
      <c r="K630" s="18" t="str">
        <f>TEXT(Table1[[#This Row],[date]],"mm")</f>
        <v>11</v>
      </c>
      <c r="L630" s="16" t="s">
        <v>23</v>
      </c>
      <c r="M630">
        <v>2022</v>
      </c>
      <c r="N630" t="s">
        <v>43</v>
      </c>
      <c r="O630" t="s">
        <v>19</v>
      </c>
      <c r="P630">
        <v>201</v>
      </c>
      <c r="Q630">
        <f>AVERAGE(Table1[funds_raised_millions])</f>
        <v>470.28289473684208</v>
      </c>
      <c r="R630">
        <f>AVERAGE(Table1[total_laid_off])</f>
        <v>236.96936274509804</v>
      </c>
    </row>
    <row r="631" spans="1:18" x14ac:dyDescent="0.25">
      <c r="A631" s="3" t="s">
        <v>733</v>
      </c>
      <c r="B631" t="s">
        <v>91</v>
      </c>
      <c r="C631" t="s">
        <v>64</v>
      </c>
      <c r="D631">
        <v>26</v>
      </c>
      <c r="E631" s="1">
        <v>0.04</v>
      </c>
      <c r="F631" s="1" t="str">
        <f>IF(Table1[[#This Row],[percentage_laid_off]]=100%,"1","0")</f>
        <v>0</v>
      </c>
      <c r="G631" t="s">
        <v>16</v>
      </c>
      <c r="H631" s="2">
        <v>44827</v>
      </c>
      <c r="I631" s="2" t="str">
        <f>TEXT(Table1[[#This Row],[date]],"dd")</f>
        <v>23</v>
      </c>
      <c r="J631" s="20">
        <f>DATE(2000,MONTH(Table1[[#This Row],[date]]),1)</f>
        <v>36770</v>
      </c>
      <c r="K631" s="18" t="str">
        <f>TEXT(Table1[[#This Row],[date]],"mm")</f>
        <v>09</v>
      </c>
      <c r="L631" s="16" t="s">
        <v>70</v>
      </c>
      <c r="M631">
        <v>2022</v>
      </c>
      <c r="N631" t="s">
        <v>35</v>
      </c>
      <c r="O631" t="s">
        <v>19</v>
      </c>
      <c r="P631">
        <v>166</v>
      </c>
      <c r="Q631">
        <f>AVERAGE(Table1[funds_raised_millions])</f>
        <v>470.28289473684208</v>
      </c>
      <c r="R631">
        <f>AVERAGE(Table1[total_laid_off])</f>
        <v>236.96936274509804</v>
      </c>
    </row>
    <row r="632" spans="1:18" x14ac:dyDescent="0.25">
      <c r="A632" s="3" t="s">
        <v>734</v>
      </c>
      <c r="B632" t="s">
        <v>81</v>
      </c>
      <c r="C632" t="s">
        <v>64</v>
      </c>
      <c r="D632">
        <v>150</v>
      </c>
      <c r="E632" t="s">
        <v>15</v>
      </c>
      <c r="F632" s="1" t="str">
        <f>IF(Table1[[#This Row],[percentage_laid_off]]=100%,"1","0")</f>
        <v>0</v>
      </c>
      <c r="G632" t="b">
        <v>0</v>
      </c>
      <c r="H632" s="2">
        <v>44902</v>
      </c>
      <c r="I632" s="2" t="str">
        <f>TEXT(Table1[[#This Row],[date]],"dd")</f>
        <v>07</v>
      </c>
      <c r="J632" s="20">
        <f>DATE(2000,MONTH(Table1[[#This Row],[date]]),1)</f>
        <v>36861</v>
      </c>
      <c r="K632" s="18" t="str">
        <f>TEXT(Table1[[#This Row],[date]],"mm")</f>
        <v>12</v>
      </c>
      <c r="L632" s="16" t="s">
        <v>61</v>
      </c>
      <c r="M632">
        <v>2022</v>
      </c>
      <c r="N632" t="s">
        <v>30</v>
      </c>
      <c r="O632" t="s">
        <v>83</v>
      </c>
      <c r="P632">
        <v>63</v>
      </c>
      <c r="Q632">
        <f>AVERAGE(Table1[funds_raised_millions])</f>
        <v>470.28289473684208</v>
      </c>
      <c r="R632">
        <f>AVERAGE(Table1[total_laid_off])</f>
        <v>236.96936274509804</v>
      </c>
    </row>
    <row r="633" spans="1:18" x14ac:dyDescent="0.25">
      <c r="A633" s="3" t="s">
        <v>735</v>
      </c>
      <c r="B633" t="s">
        <v>199</v>
      </c>
      <c r="C633" t="s">
        <v>82</v>
      </c>
      <c r="D633">
        <v>45</v>
      </c>
      <c r="E633" s="1">
        <v>0.15</v>
      </c>
      <c r="F633" s="1" t="str">
        <f>IF(Table1[[#This Row],[percentage_laid_off]]=100%,"1","0")</f>
        <v>0</v>
      </c>
      <c r="G633" t="s">
        <v>28</v>
      </c>
      <c r="H633" s="2">
        <v>44840</v>
      </c>
      <c r="I633" s="2" t="str">
        <f>TEXT(Table1[[#This Row],[date]],"dd")</f>
        <v>06</v>
      </c>
      <c r="J633" s="20">
        <f>DATE(2000,MONTH(Table1[[#This Row],[date]]),1)</f>
        <v>36800</v>
      </c>
      <c r="K633" s="18" t="str">
        <f>TEXT(Table1[[#This Row],[date]],"mm")</f>
        <v>10</v>
      </c>
      <c r="L633" s="16" t="s">
        <v>95</v>
      </c>
      <c r="M633">
        <v>2022</v>
      </c>
      <c r="N633" t="s">
        <v>47</v>
      </c>
      <c r="O633" t="s">
        <v>200</v>
      </c>
      <c r="P633">
        <v>133</v>
      </c>
      <c r="Q633">
        <f>AVERAGE(Table1[funds_raised_millions])</f>
        <v>470.28289473684208</v>
      </c>
      <c r="R633">
        <f>AVERAGE(Table1[total_laid_off])</f>
        <v>236.96936274509804</v>
      </c>
    </row>
    <row r="634" spans="1:18" x14ac:dyDescent="0.25">
      <c r="A634" s="3" t="s">
        <v>736</v>
      </c>
      <c r="B634" t="s">
        <v>88</v>
      </c>
      <c r="C634" t="s">
        <v>14</v>
      </c>
      <c r="D634" t="s">
        <v>15</v>
      </c>
      <c r="E634" s="1">
        <v>0.5</v>
      </c>
      <c r="F634" s="1" t="str">
        <f>IF(Table1[[#This Row],[percentage_laid_off]]=100%,"1","0")</f>
        <v>0</v>
      </c>
      <c r="G634" t="s">
        <v>28</v>
      </c>
      <c r="H634" s="2">
        <v>44928</v>
      </c>
      <c r="I634" s="2" t="str">
        <f>TEXT(Table1[[#This Row],[date]],"dd")</f>
        <v>02</v>
      </c>
      <c r="J634" s="20">
        <f>DATE(2000,MONTH(Table1[[#This Row],[date]]),1)</f>
        <v>36526</v>
      </c>
      <c r="K634" s="18" t="str">
        <f>TEXT(Table1[[#This Row],[date]],"mm")</f>
        <v>01</v>
      </c>
      <c r="L634" s="16" t="s">
        <v>29</v>
      </c>
      <c r="M634">
        <v>2023</v>
      </c>
      <c r="N634" t="s">
        <v>38</v>
      </c>
      <c r="O634" t="s">
        <v>19</v>
      </c>
      <c r="P634">
        <v>76</v>
      </c>
      <c r="Q634">
        <f>AVERAGE(Table1[funds_raised_millions])</f>
        <v>470.28289473684208</v>
      </c>
      <c r="R634">
        <f>AVERAGE(Table1[total_laid_off])</f>
        <v>236.96936274509804</v>
      </c>
    </row>
    <row r="635" spans="1:18" x14ac:dyDescent="0.25">
      <c r="A635" s="3" t="s">
        <v>737</v>
      </c>
      <c r="B635" t="s">
        <v>27</v>
      </c>
      <c r="C635" t="s">
        <v>82</v>
      </c>
      <c r="D635">
        <v>38</v>
      </c>
      <c r="E635" s="1">
        <v>0.09</v>
      </c>
      <c r="F635" s="1" t="str">
        <f>IF(Table1[[#This Row],[percentage_laid_off]]=100%,"1","0")</f>
        <v>0</v>
      </c>
      <c r="G635" t="s">
        <v>16</v>
      </c>
      <c r="H635" s="2">
        <v>43942</v>
      </c>
      <c r="I635" s="2" t="str">
        <f>TEXT(Table1[[#This Row],[date]],"dd")</f>
        <v>21</v>
      </c>
      <c r="J635" s="20">
        <f>DATE(2000,MONTH(Table1[[#This Row],[date]]),1)</f>
        <v>36617</v>
      </c>
      <c r="K635" s="18" t="str">
        <f>TEXT(Table1[[#This Row],[date]],"mm")</f>
        <v>04</v>
      </c>
      <c r="L635" s="16" t="s">
        <v>37</v>
      </c>
      <c r="M635">
        <v>2020</v>
      </c>
      <c r="N635" t="s">
        <v>30</v>
      </c>
      <c r="O635" t="s">
        <v>31</v>
      </c>
      <c r="P635">
        <v>75</v>
      </c>
      <c r="Q635">
        <f>AVERAGE(Table1[funds_raised_millions])</f>
        <v>470.28289473684208</v>
      </c>
      <c r="R635">
        <f>AVERAGE(Table1[total_laid_off])</f>
        <v>236.96936274509804</v>
      </c>
    </row>
    <row r="636" spans="1:18" x14ac:dyDescent="0.25">
      <c r="A636" s="3" t="s">
        <v>738</v>
      </c>
      <c r="B636" t="s">
        <v>327</v>
      </c>
      <c r="C636" t="s">
        <v>64</v>
      </c>
      <c r="D636">
        <v>40</v>
      </c>
      <c r="E636" t="s">
        <v>15</v>
      </c>
      <c r="F636" s="1" t="str">
        <f>IF(Table1[[#This Row],[percentage_laid_off]]=100%,"1","0")</f>
        <v>0</v>
      </c>
      <c r="G636" t="b">
        <v>0</v>
      </c>
      <c r="H636" s="2">
        <v>44798</v>
      </c>
      <c r="I636" s="2" t="str">
        <f>TEXT(Table1[[#This Row],[date]],"dd")</f>
        <v>25</v>
      </c>
      <c r="J636" s="20">
        <f>DATE(2000,MONTH(Table1[[#This Row],[date]]),1)</f>
        <v>36739</v>
      </c>
      <c r="K636" s="18" t="str">
        <f>TEXT(Table1[[#This Row],[date]],"mm")</f>
        <v>08</v>
      </c>
      <c r="L636" s="16" t="s">
        <v>53</v>
      </c>
      <c r="M636">
        <v>2022</v>
      </c>
      <c r="N636" t="s">
        <v>71</v>
      </c>
      <c r="O636" t="s">
        <v>19</v>
      </c>
      <c r="P636">
        <v>280</v>
      </c>
      <c r="Q636">
        <f>AVERAGE(Table1[funds_raised_millions])</f>
        <v>470.28289473684208</v>
      </c>
      <c r="R636">
        <f>AVERAGE(Table1[total_laid_off])</f>
        <v>236.96936274509804</v>
      </c>
    </row>
    <row r="637" spans="1:18" x14ac:dyDescent="0.25">
      <c r="A637" s="3" t="s">
        <v>739</v>
      </c>
      <c r="B637" t="s">
        <v>40</v>
      </c>
      <c r="C637" t="s">
        <v>64</v>
      </c>
      <c r="D637" t="s">
        <v>15</v>
      </c>
      <c r="E637" s="1">
        <v>0.25</v>
      </c>
      <c r="F637" s="1" t="str">
        <f>IF(Table1[[#This Row],[percentage_laid_off]]=100%,"1","0")</f>
        <v>0</v>
      </c>
      <c r="G637" t="s">
        <v>28</v>
      </c>
      <c r="H637" s="2">
        <v>44760</v>
      </c>
      <c r="I637" s="2" t="str">
        <f>TEXT(Table1[[#This Row],[date]],"dd")</f>
        <v>18</v>
      </c>
      <c r="J637" s="20">
        <f>DATE(2000,MONTH(Table1[[#This Row],[date]]),1)</f>
        <v>36708</v>
      </c>
      <c r="K637" s="18" t="str">
        <f>TEXT(Table1[[#This Row],[date]],"mm")</f>
        <v>07</v>
      </c>
      <c r="L637" s="16" t="s">
        <v>17</v>
      </c>
      <c r="M637">
        <v>2022</v>
      </c>
      <c r="N637" t="s">
        <v>71</v>
      </c>
      <c r="O637" t="s">
        <v>19</v>
      </c>
      <c r="P637">
        <v>107</v>
      </c>
      <c r="Q637">
        <f>AVERAGE(Table1[funds_raised_millions])</f>
        <v>470.28289473684208</v>
      </c>
      <c r="R637">
        <f>AVERAGE(Table1[total_laid_off])</f>
        <v>236.96936274509804</v>
      </c>
    </row>
    <row r="638" spans="1:18" x14ac:dyDescent="0.25">
      <c r="A638" s="3" t="s">
        <v>739</v>
      </c>
      <c r="B638" t="s">
        <v>233</v>
      </c>
      <c r="C638" t="s">
        <v>64</v>
      </c>
      <c r="D638">
        <v>329</v>
      </c>
      <c r="E638" t="s">
        <v>15</v>
      </c>
      <c r="F638" s="1" t="str">
        <f>IF(Table1[[#This Row],[percentage_laid_off]]=100%,"1","0")</f>
        <v>0</v>
      </c>
      <c r="G638" t="b">
        <v>0</v>
      </c>
      <c r="H638" s="2">
        <v>44907</v>
      </c>
      <c r="I638" s="2" t="str">
        <f>TEXT(Table1[[#This Row],[date]],"dd")</f>
        <v>12</v>
      </c>
      <c r="J638" s="20">
        <f>DATE(2000,MONTH(Table1[[#This Row],[date]]),1)</f>
        <v>36861</v>
      </c>
      <c r="K638" s="18" t="str">
        <f>TEXT(Table1[[#This Row],[date]],"mm")</f>
        <v>12</v>
      </c>
      <c r="L638" s="16" t="s">
        <v>61</v>
      </c>
      <c r="M638">
        <v>2022</v>
      </c>
      <c r="N638" t="s">
        <v>71</v>
      </c>
      <c r="O638" t="s">
        <v>19</v>
      </c>
      <c r="P638">
        <v>107</v>
      </c>
      <c r="Q638">
        <f>AVERAGE(Table1[funds_raised_millions])</f>
        <v>470.28289473684208</v>
      </c>
      <c r="R638">
        <f>AVERAGE(Table1[total_laid_off])</f>
        <v>236.96936274509804</v>
      </c>
    </row>
    <row r="639" spans="1:18" x14ac:dyDescent="0.25">
      <c r="A639" s="3" t="s">
        <v>740</v>
      </c>
      <c r="B639" t="s">
        <v>13</v>
      </c>
      <c r="C639" t="s">
        <v>66</v>
      </c>
      <c r="D639">
        <v>90</v>
      </c>
      <c r="E639" s="1">
        <v>0.02</v>
      </c>
      <c r="F639" s="1" t="str">
        <f>IF(Table1[[#This Row],[percentage_laid_off]]=100%,"1","0")</f>
        <v>0</v>
      </c>
      <c r="G639" t="s">
        <v>16</v>
      </c>
      <c r="H639" s="2">
        <v>44910</v>
      </c>
      <c r="I639" s="2" t="str">
        <f>TEXT(Table1[[#This Row],[date]],"dd")</f>
        <v>15</v>
      </c>
      <c r="J639" s="20">
        <f>DATE(2000,MONTH(Table1[[#This Row],[date]]),1)</f>
        <v>36861</v>
      </c>
      <c r="K639" s="18" t="str">
        <f>TEXT(Table1[[#This Row],[date]],"mm")</f>
        <v>12</v>
      </c>
      <c r="L639" s="16" t="s">
        <v>61</v>
      </c>
      <c r="M639">
        <v>2022</v>
      </c>
      <c r="N639" t="s">
        <v>38</v>
      </c>
      <c r="O639" t="s">
        <v>19</v>
      </c>
      <c r="P639">
        <v>484</v>
      </c>
      <c r="Q639">
        <f>AVERAGE(Table1[funds_raised_millions])</f>
        <v>470.28289473684208</v>
      </c>
      <c r="R639">
        <f>AVERAGE(Table1[total_laid_off])</f>
        <v>236.96936274509804</v>
      </c>
    </row>
    <row r="640" spans="1:18" x14ac:dyDescent="0.25">
      <c r="A640" s="3" t="s">
        <v>741</v>
      </c>
      <c r="B640" t="s">
        <v>742</v>
      </c>
      <c r="C640" t="s">
        <v>112</v>
      </c>
      <c r="D640">
        <v>35</v>
      </c>
      <c r="E640" s="1">
        <v>0.16</v>
      </c>
      <c r="F640" s="1" t="str">
        <f>IF(Table1[[#This Row],[percentage_laid_off]]=100%,"1","0")</f>
        <v>0</v>
      </c>
      <c r="G640" t="s">
        <v>28</v>
      </c>
      <c r="H640" s="2">
        <v>44108</v>
      </c>
      <c r="I640" s="2" t="str">
        <f>TEXT(Table1[[#This Row],[date]],"dd")</f>
        <v>04</v>
      </c>
      <c r="J640" s="20">
        <f>DATE(2000,MONTH(Table1[[#This Row],[date]]),1)</f>
        <v>36800</v>
      </c>
      <c r="K640" s="18" t="str">
        <f>TEXT(Table1[[#This Row],[date]],"mm")</f>
        <v>10</v>
      </c>
      <c r="L640" s="16" t="s">
        <v>95</v>
      </c>
      <c r="M640">
        <v>2020</v>
      </c>
      <c r="N640" t="s">
        <v>47</v>
      </c>
      <c r="O640" t="s">
        <v>19</v>
      </c>
      <c r="P640">
        <v>3</v>
      </c>
      <c r="Q640">
        <f>AVERAGE(Table1[funds_raised_millions])</f>
        <v>470.28289473684208</v>
      </c>
      <c r="R640">
        <f>AVERAGE(Table1[total_laid_off])</f>
        <v>236.96936274509804</v>
      </c>
    </row>
    <row r="641" spans="1:18" x14ac:dyDescent="0.25">
      <c r="A641" s="3" t="s">
        <v>743</v>
      </c>
      <c r="B641" t="s">
        <v>313</v>
      </c>
      <c r="C641" t="s">
        <v>51</v>
      </c>
      <c r="D641">
        <v>130</v>
      </c>
      <c r="E641" s="1">
        <v>0.75</v>
      </c>
      <c r="F641" s="1" t="str">
        <f>IF(Table1[[#This Row],[percentage_laid_off]]=100%,"1","0")</f>
        <v>0</v>
      </c>
      <c r="G641" t="s">
        <v>130</v>
      </c>
      <c r="H641" s="2">
        <v>44905</v>
      </c>
      <c r="I641" s="2" t="str">
        <f>TEXT(Table1[[#This Row],[date]],"dd")</f>
        <v>10</v>
      </c>
      <c r="J641" s="20">
        <f>DATE(2000,MONTH(Table1[[#This Row],[date]]),1)</f>
        <v>36861</v>
      </c>
      <c r="K641" s="18" t="str">
        <f>TEXT(Table1[[#This Row],[date]],"mm")</f>
        <v>12</v>
      </c>
      <c r="L641" s="16" t="s">
        <v>61</v>
      </c>
      <c r="M641">
        <v>2022</v>
      </c>
      <c r="N641" t="s">
        <v>24</v>
      </c>
      <c r="O641" t="s">
        <v>83</v>
      </c>
      <c r="P641">
        <v>17</v>
      </c>
      <c r="Q641">
        <f>AVERAGE(Table1[funds_raised_millions])</f>
        <v>470.28289473684208</v>
      </c>
      <c r="R641">
        <f>AVERAGE(Table1[total_laid_off])</f>
        <v>236.96936274509804</v>
      </c>
    </row>
    <row r="642" spans="1:18" x14ac:dyDescent="0.25">
      <c r="A642" s="3" t="s">
        <v>743</v>
      </c>
      <c r="B642" t="s">
        <v>313</v>
      </c>
      <c r="C642" t="s">
        <v>51</v>
      </c>
      <c r="D642">
        <v>145</v>
      </c>
      <c r="E642" s="1">
        <v>0.3</v>
      </c>
      <c r="F642" s="1" t="str">
        <f>IF(Table1[[#This Row],[percentage_laid_off]]=100%,"1","0")</f>
        <v>0</v>
      </c>
      <c r="G642" t="s">
        <v>28</v>
      </c>
      <c r="H642" s="2">
        <v>44708</v>
      </c>
      <c r="I642" s="2" t="str">
        <f>TEXT(Table1[[#This Row],[date]],"dd")</f>
        <v>27</v>
      </c>
      <c r="J642" s="20">
        <f>DATE(2000,MONTH(Table1[[#This Row],[date]]),1)</f>
        <v>36647</v>
      </c>
      <c r="K642" s="18" t="str">
        <f>TEXT(Table1[[#This Row],[date]],"mm")</f>
        <v>05</v>
      </c>
      <c r="L642" s="16" t="s">
        <v>86</v>
      </c>
      <c r="M642">
        <v>2022</v>
      </c>
      <c r="N642" t="s">
        <v>24</v>
      </c>
      <c r="O642" t="s">
        <v>83</v>
      </c>
      <c r="P642">
        <v>17</v>
      </c>
      <c r="Q642">
        <f>AVERAGE(Table1[funds_raised_millions])</f>
        <v>470.28289473684208</v>
      </c>
      <c r="R642">
        <f>AVERAGE(Table1[total_laid_off])</f>
        <v>236.96936274509804</v>
      </c>
    </row>
    <row r="643" spans="1:18" x14ac:dyDescent="0.25">
      <c r="A643" s="3" t="s">
        <v>744</v>
      </c>
      <c r="B643" t="s">
        <v>745</v>
      </c>
      <c r="C643" t="s">
        <v>64</v>
      </c>
      <c r="D643" t="s">
        <v>15</v>
      </c>
      <c r="E643" s="1">
        <v>0.03</v>
      </c>
      <c r="F643" s="1" t="str">
        <f>IF(Table1[[#This Row],[percentage_laid_off]]=100%,"1","0")</f>
        <v>0</v>
      </c>
      <c r="G643" t="s">
        <v>16</v>
      </c>
      <c r="H643" s="2">
        <v>44733</v>
      </c>
      <c r="I643" s="2" t="str">
        <f>TEXT(Table1[[#This Row],[date]],"dd")</f>
        <v>21</v>
      </c>
      <c r="J643" s="20">
        <f>DATE(2000,MONTH(Table1[[#This Row],[date]]),1)</f>
        <v>36678</v>
      </c>
      <c r="K643" s="18" t="str">
        <f>TEXT(Table1[[#This Row],[date]],"mm")</f>
        <v>06</v>
      </c>
      <c r="L643" s="16" t="s">
        <v>73</v>
      </c>
      <c r="M643">
        <v>2022</v>
      </c>
      <c r="N643" t="s">
        <v>35</v>
      </c>
      <c r="O643" t="s">
        <v>746</v>
      </c>
      <c r="P643">
        <v>202</v>
      </c>
      <c r="Q643">
        <f>AVERAGE(Table1[funds_raised_millions])</f>
        <v>470.28289473684208</v>
      </c>
      <c r="R643">
        <f>AVERAGE(Table1[total_laid_off])</f>
        <v>236.96936274509804</v>
      </c>
    </row>
    <row r="644" spans="1:18" x14ac:dyDescent="0.25">
      <c r="A644" s="3" t="s">
        <v>747</v>
      </c>
      <c r="B644" t="s">
        <v>213</v>
      </c>
      <c r="C644" t="s">
        <v>22</v>
      </c>
      <c r="D644" t="s">
        <v>15</v>
      </c>
      <c r="E644" s="1">
        <v>0.12</v>
      </c>
      <c r="F644" s="1" t="str">
        <f>IF(Table1[[#This Row],[percentage_laid_off]]=100%,"1","0")</f>
        <v>0</v>
      </c>
      <c r="G644" t="s">
        <v>28</v>
      </c>
      <c r="H644" s="2">
        <v>44817</v>
      </c>
      <c r="I644" s="2" t="str">
        <f>TEXT(Table1[[#This Row],[date]],"dd")</f>
        <v>13</v>
      </c>
      <c r="J644" s="20">
        <f>DATE(2000,MONTH(Table1[[#This Row],[date]]),1)</f>
        <v>36770</v>
      </c>
      <c r="K644" s="18" t="str">
        <f>TEXT(Table1[[#This Row],[date]],"mm")</f>
        <v>09</v>
      </c>
      <c r="L644" s="16" t="s">
        <v>70</v>
      </c>
      <c r="M644">
        <v>2022</v>
      </c>
      <c r="N644" t="s">
        <v>47</v>
      </c>
      <c r="O644" t="s">
        <v>19</v>
      </c>
      <c r="P644">
        <v>197</v>
      </c>
      <c r="Q644">
        <f>AVERAGE(Table1[funds_raised_millions])</f>
        <v>470.28289473684208</v>
      </c>
      <c r="R644">
        <f>AVERAGE(Table1[total_laid_off])</f>
        <v>236.96936274509804</v>
      </c>
    </row>
    <row r="645" spans="1:18" x14ac:dyDescent="0.25">
      <c r="A645" s="3" t="s">
        <v>748</v>
      </c>
      <c r="B645" t="s">
        <v>13</v>
      </c>
      <c r="C645" t="s">
        <v>82</v>
      </c>
      <c r="D645">
        <v>14</v>
      </c>
      <c r="E645" s="1">
        <v>0.15</v>
      </c>
      <c r="F645" s="1" t="str">
        <f>IF(Table1[[#This Row],[percentage_laid_off]]=100%,"1","0")</f>
        <v>0</v>
      </c>
      <c r="G645" t="s">
        <v>28</v>
      </c>
      <c r="H645" s="2">
        <v>43867</v>
      </c>
      <c r="I645" s="2" t="str">
        <f>TEXT(Table1[[#This Row],[date]],"dd")</f>
        <v>06</v>
      </c>
      <c r="J645" s="20">
        <f>DATE(2000,MONTH(Table1[[#This Row],[date]]),1)</f>
        <v>36557</v>
      </c>
      <c r="K645" s="18" t="str">
        <f>TEXT(Table1[[#This Row],[date]],"mm")</f>
        <v>02</v>
      </c>
      <c r="L645" s="16" t="s">
        <v>42</v>
      </c>
      <c r="M645">
        <v>2020</v>
      </c>
      <c r="N645" t="s">
        <v>35</v>
      </c>
      <c r="O645" t="s">
        <v>19</v>
      </c>
      <c r="P645">
        <v>453</v>
      </c>
      <c r="Q645">
        <f>AVERAGE(Table1[funds_raised_millions])</f>
        <v>470.28289473684208</v>
      </c>
      <c r="R645">
        <f>AVERAGE(Table1[total_laid_off])</f>
        <v>236.96936274509804</v>
      </c>
    </row>
    <row r="646" spans="1:18" x14ac:dyDescent="0.25">
      <c r="A646" s="3" t="s">
        <v>748</v>
      </c>
      <c r="B646" t="s">
        <v>13</v>
      </c>
      <c r="C646" t="s">
        <v>82</v>
      </c>
      <c r="D646">
        <v>150</v>
      </c>
      <c r="E646" s="1">
        <v>0.42</v>
      </c>
      <c r="F646" s="1" t="str">
        <f>IF(Table1[[#This Row],[percentage_laid_off]]=100%,"1","0")</f>
        <v>0</v>
      </c>
      <c r="G646" t="s">
        <v>28</v>
      </c>
      <c r="H646" s="2">
        <v>44859</v>
      </c>
      <c r="I646" s="2" t="str">
        <f>TEXT(Table1[[#This Row],[date]],"dd")</f>
        <v>25</v>
      </c>
      <c r="J646" s="20">
        <f>DATE(2000,MONTH(Table1[[#This Row],[date]]),1)</f>
        <v>36800</v>
      </c>
      <c r="K646" s="18" t="str">
        <f>TEXT(Table1[[#This Row],[date]],"mm")</f>
        <v>10</v>
      </c>
      <c r="L646" s="16" t="s">
        <v>95</v>
      </c>
      <c r="M646">
        <v>2022</v>
      </c>
      <c r="N646" t="s">
        <v>43</v>
      </c>
      <c r="O646" t="s">
        <v>19</v>
      </c>
      <c r="P646">
        <v>553</v>
      </c>
      <c r="Q646">
        <f>AVERAGE(Table1[funds_raised_millions])</f>
        <v>470.28289473684208</v>
      </c>
      <c r="R646">
        <f>AVERAGE(Table1[total_laid_off])</f>
        <v>236.96936274509804</v>
      </c>
    </row>
    <row r="647" spans="1:18" x14ac:dyDescent="0.25">
      <c r="A647" s="3" t="s">
        <v>749</v>
      </c>
      <c r="B647" t="s">
        <v>13</v>
      </c>
      <c r="C647" t="s">
        <v>82</v>
      </c>
      <c r="D647">
        <v>85</v>
      </c>
      <c r="E647" t="s">
        <v>15</v>
      </c>
      <c r="F647" s="1" t="str">
        <f>IF(Table1[[#This Row],[percentage_laid_off]]=100%,"1","0")</f>
        <v>0</v>
      </c>
      <c r="G647" t="b">
        <v>0</v>
      </c>
      <c r="H647" s="2">
        <v>44050</v>
      </c>
      <c r="I647" s="2" t="str">
        <f>TEXT(Table1[[#This Row],[date]],"dd")</f>
        <v>07</v>
      </c>
      <c r="J647" s="20">
        <f>DATE(2000,MONTH(Table1[[#This Row],[date]]),1)</f>
        <v>36739</v>
      </c>
      <c r="K647" s="18" t="str">
        <f>TEXT(Table1[[#This Row],[date]],"mm")</f>
        <v>08</v>
      </c>
      <c r="L647" s="16" t="s">
        <v>53</v>
      </c>
      <c r="M647">
        <v>2020</v>
      </c>
      <c r="N647" t="s">
        <v>38</v>
      </c>
      <c r="O647" t="s">
        <v>19</v>
      </c>
      <c r="P647">
        <v>746</v>
      </c>
      <c r="Q647">
        <f>AVERAGE(Table1[funds_raised_millions])</f>
        <v>470.28289473684208</v>
      </c>
      <c r="R647">
        <f>AVERAGE(Table1[total_laid_off])</f>
        <v>236.96936274509804</v>
      </c>
    </row>
    <row r="648" spans="1:18" x14ac:dyDescent="0.25">
      <c r="A648" s="3" t="s">
        <v>750</v>
      </c>
      <c r="B648" t="s">
        <v>111</v>
      </c>
      <c r="C648" t="s">
        <v>82</v>
      </c>
      <c r="D648">
        <v>65</v>
      </c>
      <c r="E648" s="1">
        <v>0.18</v>
      </c>
      <c r="F648" s="1" t="str">
        <f>IF(Table1[[#This Row],[percentage_laid_off]]=100%,"1","0")</f>
        <v>0</v>
      </c>
      <c r="G648" t="s">
        <v>28</v>
      </c>
      <c r="H648" s="2">
        <v>43937</v>
      </c>
      <c r="I648" s="2" t="str">
        <f>TEXT(Table1[[#This Row],[date]],"dd")</f>
        <v>16</v>
      </c>
      <c r="J648" s="20">
        <f>DATE(2000,MONTH(Table1[[#This Row],[date]]),1)</f>
        <v>36617</v>
      </c>
      <c r="K648" s="18" t="str">
        <f>TEXT(Table1[[#This Row],[date]],"mm")</f>
        <v>04</v>
      </c>
      <c r="L648" s="16" t="s">
        <v>37</v>
      </c>
      <c r="M648">
        <v>2020</v>
      </c>
      <c r="N648" t="s">
        <v>30</v>
      </c>
      <c r="O648" t="s">
        <v>111</v>
      </c>
      <c r="P648">
        <v>42</v>
      </c>
      <c r="Q648">
        <f>AVERAGE(Table1[funds_raised_millions])</f>
        <v>470.28289473684208</v>
      </c>
      <c r="R648">
        <f>AVERAGE(Table1[total_laid_off])</f>
        <v>236.96936274509804</v>
      </c>
    </row>
    <row r="649" spans="1:18" x14ac:dyDescent="0.25">
      <c r="A649" s="3" t="s">
        <v>751</v>
      </c>
      <c r="B649" t="s">
        <v>313</v>
      </c>
      <c r="C649" t="s">
        <v>41</v>
      </c>
      <c r="D649">
        <v>180</v>
      </c>
      <c r="E649" t="s">
        <v>15</v>
      </c>
      <c r="F649" s="1" t="str">
        <f>IF(Table1[[#This Row],[percentage_laid_off]]=100%,"1","0")</f>
        <v>0</v>
      </c>
      <c r="G649" t="b">
        <v>0</v>
      </c>
      <c r="H649" s="2">
        <v>44646</v>
      </c>
      <c r="I649" s="2" t="str">
        <f>TEXT(Table1[[#This Row],[date]],"dd")</f>
        <v>26</v>
      </c>
      <c r="J649" s="20">
        <f>DATE(2000,MONTH(Table1[[#This Row],[date]]),1)</f>
        <v>36586</v>
      </c>
      <c r="K649" s="18" t="str">
        <f>TEXT(Table1[[#This Row],[date]],"mm")</f>
        <v>03</v>
      </c>
      <c r="L649" s="16" t="s">
        <v>57</v>
      </c>
      <c r="M649">
        <v>2022</v>
      </c>
      <c r="N649" t="s">
        <v>43</v>
      </c>
      <c r="O649" t="s">
        <v>83</v>
      </c>
      <c r="P649">
        <v>228</v>
      </c>
      <c r="Q649">
        <f>AVERAGE(Table1[funds_raised_millions])</f>
        <v>470.28289473684208</v>
      </c>
      <c r="R649">
        <f>AVERAGE(Table1[total_laid_off])</f>
        <v>236.96936274509804</v>
      </c>
    </row>
    <row r="650" spans="1:18" x14ac:dyDescent="0.25">
      <c r="A650" s="3" t="s">
        <v>752</v>
      </c>
      <c r="B650" t="s">
        <v>40</v>
      </c>
      <c r="C650" t="s">
        <v>78</v>
      </c>
      <c r="D650">
        <v>14</v>
      </c>
      <c r="E650" s="1">
        <v>0.05</v>
      </c>
      <c r="F650" s="1" t="str">
        <f>IF(Table1[[#This Row],[percentage_laid_off]]=100%,"1","0")</f>
        <v>0</v>
      </c>
      <c r="G650" t="s">
        <v>16</v>
      </c>
      <c r="H650" s="2">
        <v>43894</v>
      </c>
      <c r="I650" s="2" t="str">
        <f>TEXT(Table1[[#This Row],[date]],"dd")</f>
        <v>04</v>
      </c>
      <c r="J650" s="20">
        <f>DATE(2000,MONTH(Table1[[#This Row],[date]]),1)</f>
        <v>36586</v>
      </c>
      <c r="K650" s="18" t="str">
        <f>TEXT(Table1[[#This Row],[date]],"mm")</f>
        <v>03</v>
      </c>
      <c r="L650" s="16" t="s">
        <v>57</v>
      </c>
      <c r="M650">
        <v>2020</v>
      </c>
      <c r="N650" t="s">
        <v>47</v>
      </c>
      <c r="O650" t="s">
        <v>19</v>
      </c>
      <c r="P650" t="s">
        <v>15</v>
      </c>
      <c r="Q650">
        <f>AVERAGE(Table1[funds_raised_millions])</f>
        <v>470.28289473684208</v>
      </c>
      <c r="R650">
        <f>AVERAGE(Table1[total_laid_off])</f>
        <v>236.96936274509804</v>
      </c>
    </row>
    <row r="651" spans="1:18" x14ac:dyDescent="0.25">
      <c r="A651" s="3" t="s">
        <v>753</v>
      </c>
      <c r="B651" t="s">
        <v>91</v>
      </c>
      <c r="C651" t="s">
        <v>22</v>
      </c>
      <c r="D651">
        <v>17</v>
      </c>
      <c r="E651" s="1">
        <v>0.05</v>
      </c>
      <c r="F651" s="1" t="str">
        <f>IF(Table1[[#This Row],[percentage_laid_off]]=100%,"1","0")</f>
        <v>0</v>
      </c>
      <c r="G651" t="s">
        <v>16</v>
      </c>
      <c r="H651" s="2">
        <v>44012</v>
      </c>
      <c r="I651" s="2" t="str">
        <f>TEXT(Table1[[#This Row],[date]],"dd")</f>
        <v>30</v>
      </c>
      <c r="J651" s="20">
        <f>DATE(2000,MONTH(Table1[[#This Row],[date]]),1)</f>
        <v>36678</v>
      </c>
      <c r="K651" s="18" t="str">
        <f>TEXT(Table1[[#This Row],[date]],"mm")</f>
        <v>06</v>
      </c>
      <c r="L651" s="16" t="s">
        <v>73</v>
      </c>
      <c r="M651">
        <v>2020</v>
      </c>
      <c r="N651" t="s">
        <v>35</v>
      </c>
      <c r="O651" t="s">
        <v>19</v>
      </c>
      <c r="P651">
        <v>101</v>
      </c>
      <c r="Q651">
        <f>AVERAGE(Table1[funds_raised_millions])</f>
        <v>470.28289473684208</v>
      </c>
      <c r="R651">
        <f>AVERAGE(Table1[total_laid_off])</f>
        <v>236.96936274509804</v>
      </c>
    </row>
    <row r="652" spans="1:18" x14ac:dyDescent="0.25">
      <c r="A652" s="3" t="s">
        <v>754</v>
      </c>
      <c r="B652" t="s">
        <v>13</v>
      </c>
      <c r="C652" t="s">
        <v>34</v>
      </c>
      <c r="D652">
        <v>30</v>
      </c>
      <c r="E652" s="1">
        <v>0.33</v>
      </c>
      <c r="F652" s="1" t="str">
        <f>IF(Table1[[#This Row],[percentage_laid_off]]=100%,"1","0")</f>
        <v>0</v>
      </c>
      <c r="G652" t="s">
        <v>28</v>
      </c>
      <c r="H652" s="2">
        <v>44598</v>
      </c>
      <c r="I652" s="2" t="str">
        <f>TEXT(Table1[[#This Row],[date]],"dd")</f>
        <v>06</v>
      </c>
      <c r="J652" s="20">
        <f>DATE(2000,MONTH(Table1[[#This Row],[date]]),1)</f>
        <v>36557</v>
      </c>
      <c r="K652" s="18" t="str">
        <f>TEXT(Table1[[#This Row],[date]],"mm")</f>
        <v>02</v>
      </c>
      <c r="L652" s="16" t="s">
        <v>42</v>
      </c>
      <c r="M652">
        <v>2022</v>
      </c>
      <c r="N652" t="s">
        <v>30</v>
      </c>
      <c r="O652" t="s">
        <v>19</v>
      </c>
      <c r="P652">
        <v>76</v>
      </c>
      <c r="Q652">
        <f>AVERAGE(Table1[funds_raised_millions])</f>
        <v>470.28289473684208</v>
      </c>
      <c r="R652">
        <f>AVERAGE(Table1[total_laid_off])</f>
        <v>236.96936274509804</v>
      </c>
    </row>
    <row r="653" spans="1:18" x14ac:dyDescent="0.25">
      <c r="A653" s="3" t="s">
        <v>755</v>
      </c>
      <c r="B653" t="s">
        <v>213</v>
      </c>
      <c r="C653" t="s">
        <v>22</v>
      </c>
      <c r="D653" t="s">
        <v>15</v>
      </c>
      <c r="E653" s="1">
        <v>0.5</v>
      </c>
      <c r="F653" s="1" t="str">
        <f>IF(Table1[[#This Row],[percentage_laid_off]]=100%,"1","0")</f>
        <v>0</v>
      </c>
      <c r="G653" t="s">
        <v>28</v>
      </c>
      <c r="H653" s="2">
        <v>44773</v>
      </c>
      <c r="I653" s="2" t="str">
        <f>TEXT(Table1[[#This Row],[date]],"dd")</f>
        <v>31</v>
      </c>
      <c r="J653" s="20">
        <f>DATE(2000,MONTH(Table1[[#This Row],[date]]),1)</f>
        <v>36708</v>
      </c>
      <c r="K653" s="18" t="str">
        <f>TEXT(Table1[[#This Row],[date]],"mm")</f>
        <v>07</v>
      </c>
      <c r="L653" s="16" t="s">
        <v>17</v>
      </c>
      <c r="M653">
        <v>2022</v>
      </c>
      <c r="N653" t="s">
        <v>15</v>
      </c>
      <c r="O653" t="s">
        <v>19</v>
      </c>
      <c r="P653" t="s">
        <v>15</v>
      </c>
      <c r="Q653">
        <f>AVERAGE(Table1[funds_raised_millions])</f>
        <v>470.28289473684208</v>
      </c>
      <c r="R653">
        <f>AVERAGE(Table1[total_laid_off])</f>
        <v>236.96936274509804</v>
      </c>
    </row>
    <row r="654" spans="1:18" x14ac:dyDescent="0.25">
      <c r="A654" s="3" t="s">
        <v>756</v>
      </c>
      <c r="B654" t="s">
        <v>33</v>
      </c>
      <c r="C654" t="s">
        <v>535</v>
      </c>
      <c r="D654" t="s">
        <v>15</v>
      </c>
      <c r="E654" s="1">
        <v>1</v>
      </c>
      <c r="F654" s="1" t="str">
        <f>IF(Table1[[#This Row],[percentage_laid_off]]=100%,"1","0")</f>
        <v>1</v>
      </c>
      <c r="G654" t="s">
        <v>114</v>
      </c>
      <c r="H654" s="2">
        <v>44742</v>
      </c>
      <c r="I654" s="2" t="str">
        <f>TEXT(Table1[[#This Row],[date]],"dd")</f>
        <v>30</v>
      </c>
      <c r="J654" s="20">
        <f>DATE(2000,MONTH(Table1[[#This Row],[date]]),1)</f>
        <v>36678</v>
      </c>
      <c r="K654" s="18" t="str">
        <f>TEXT(Table1[[#This Row],[date]],"mm")</f>
        <v>06</v>
      </c>
      <c r="L654" s="16" t="s">
        <v>73</v>
      </c>
      <c r="M654">
        <v>2022</v>
      </c>
      <c r="N654" t="s">
        <v>139</v>
      </c>
      <c r="O654" t="s">
        <v>19</v>
      </c>
      <c r="P654">
        <v>5</v>
      </c>
      <c r="Q654">
        <f>AVERAGE(Table1[funds_raised_millions])</f>
        <v>470.28289473684208</v>
      </c>
      <c r="R654">
        <f>AVERAGE(Table1[total_laid_off])</f>
        <v>236.96936274509804</v>
      </c>
    </row>
    <row r="655" spans="1:18" x14ac:dyDescent="0.25">
      <c r="A655" s="3" t="s">
        <v>757</v>
      </c>
      <c r="B655" t="s">
        <v>68</v>
      </c>
      <c r="C655" t="s">
        <v>78</v>
      </c>
      <c r="D655">
        <v>5</v>
      </c>
      <c r="E655" s="1">
        <v>0.31</v>
      </c>
      <c r="F655" s="1" t="str">
        <f>IF(Table1[[#This Row],[percentage_laid_off]]=100%,"1","0")</f>
        <v>0</v>
      </c>
      <c r="G655" t="s">
        <v>28</v>
      </c>
      <c r="H655" s="2">
        <v>44108</v>
      </c>
      <c r="I655" s="2" t="str">
        <f>TEXT(Table1[[#This Row],[date]],"dd")</f>
        <v>04</v>
      </c>
      <c r="J655" s="20">
        <f>DATE(2000,MONTH(Table1[[#This Row],[date]]),1)</f>
        <v>36800</v>
      </c>
      <c r="K655" s="18" t="str">
        <f>TEXT(Table1[[#This Row],[date]],"mm")</f>
        <v>10</v>
      </c>
      <c r="L655" s="16" t="s">
        <v>95</v>
      </c>
      <c r="M655">
        <v>2020</v>
      </c>
      <c r="N655" t="s">
        <v>47</v>
      </c>
      <c r="O655" t="s">
        <v>19</v>
      </c>
      <c r="P655" t="s">
        <v>15</v>
      </c>
      <c r="Q655">
        <f>AVERAGE(Table1[funds_raised_millions])</f>
        <v>470.28289473684208</v>
      </c>
      <c r="R655">
        <f>AVERAGE(Table1[total_laid_off])</f>
        <v>236.96936274509804</v>
      </c>
    </row>
    <row r="656" spans="1:18" x14ac:dyDescent="0.25">
      <c r="A656" s="3" t="s">
        <v>758</v>
      </c>
      <c r="B656" t="s">
        <v>13</v>
      </c>
      <c r="C656" t="s">
        <v>167</v>
      </c>
      <c r="D656">
        <v>100</v>
      </c>
      <c r="E656" s="1">
        <v>0.33</v>
      </c>
      <c r="F656" s="1" t="str">
        <f>IF(Table1[[#This Row],[percentage_laid_off]]=100%,"1","0")</f>
        <v>0</v>
      </c>
      <c r="G656" t="s">
        <v>28</v>
      </c>
      <c r="H656" s="2">
        <v>44572</v>
      </c>
      <c r="I656" s="2" t="str">
        <f>TEXT(Table1[[#This Row],[date]],"dd")</f>
        <v>11</v>
      </c>
      <c r="J656" s="20">
        <f>DATE(2000,MONTH(Table1[[#This Row],[date]]),1)</f>
        <v>36526</v>
      </c>
      <c r="K656" s="18" t="str">
        <f>TEXT(Table1[[#This Row],[date]],"mm")</f>
        <v>01</v>
      </c>
      <c r="L656" s="16" t="s">
        <v>29</v>
      </c>
      <c r="M656">
        <v>2022</v>
      </c>
      <c r="N656" t="s">
        <v>35</v>
      </c>
      <c r="O656" t="s">
        <v>19</v>
      </c>
      <c r="P656">
        <v>148</v>
      </c>
      <c r="Q656">
        <f>AVERAGE(Table1[funds_raised_millions])</f>
        <v>470.28289473684208</v>
      </c>
      <c r="R656">
        <f>AVERAGE(Table1[total_laid_off])</f>
        <v>236.96936274509804</v>
      </c>
    </row>
    <row r="657" spans="1:18" x14ac:dyDescent="0.25">
      <c r="A657" s="3" t="s">
        <v>759</v>
      </c>
      <c r="B657" t="s">
        <v>40</v>
      </c>
      <c r="C657" t="s">
        <v>46</v>
      </c>
      <c r="D657" t="s">
        <v>15</v>
      </c>
      <c r="E657" s="1">
        <v>0.1</v>
      </c>
      <c r="F657" s="1" t="str">
        <f>IF(Table1[[#This Row],[percentage_laid_off]]=100%,"1","0")</f>
        <v>0</v>
      </c>
      <c r="G657" t="s">
        <v>16</v>
      </c>
      <c r="H657" s="2">
        <v>44949</v>
      </c>
      <c r="I657" s="2" t="str">
        <f>TEXT(Table1[[#This Row],[date]],"dd")</f>
        <v>23</v>
      </c>
      <c r="J657" s="20">
        <f>DATE(2000,MONTH(Table1[[#This Row],[date]]),1)</f>
        <v>36526</v>
      </c>
      <c r="K657" s="18" t="str">
        <f>TEXT(Table1[[#This Row],[date]],"mm")</f>
        <v>01</v>
      </c>
      <c r="L657" s="16" t="s">
        <v>29</v>
      </c>
      <c r="M657">
        <v>2023</v>
      </c>
      <c r="N657" t="s">
        <v>47</v>
      </c>
      <c r="O657" t="s">
        <v>19</v>
      </c>
      <c r="P657">
        <v>423</v>
      </c>
      <c r="Q657">
        <f>AVERAGE(Table1[funds_raised_millions])</f>
        <v>470.28289473684208</v>
      </c>
      <c r="R657">
        <f>AVERAGE(Table1[total_laid_off])</f>
        <v>236.96936274509804</v>
      </c>
    </row>
    <row r="658" spans="1:18" x14ac:dyDescent="0.25">
      <c r="A658" s="3" t="s">
        <v>759</v>
      </c>
      <c r="B658" t="s">
        <v>40</v>
      </c>
      <c r="C658" t="s">
        <v>46</v>
      </c>
      <c r="D658">
        <v>100</v>
      </c>
      <c r="E658" s="1">
        <v>0.1</v>
      </c>
      <c r="F658" s="1" t="str">
        <f>IF(Table1[[#This Row],[percentage_laid_off]]=100%,"1","0")</f>
        <v>0</v>
      </c>
      <c r="G658" t="s">
        <v>16</v>
      </c>
      <c r="H658" s="2">
        <v>44598</v>
      </c>
      <c r="I658" s="2" t="str">
        <f>TEXT(Table1[[#This Row],[date]],"dd")</f>
        <v>06</v>
      </c>
      <c r="J658" s="20">
        <f>DATE(2000,MONTH(Table1[[#This Row],[date]]),1)</f>
        <v>36557</v>
      </c>
      <c r="K658" s="18" t="str">
        <f>TEXT(Table1[[#This Row],[date]],"mm")</f>
        <v>02</v>
      </c>
      <c r="L658" s="16" t="s">
        <v>42</v>
      </c>
      <c r="M658">
        <v>2022</v>
      </c>
      <c r="N658" t="s">
        <v>47</v>
      </c>
      <c r="O658" t="s">
        <v>19</v>
      </c>
      <c r="P658">
        <v>423</v>
      </c>
      <c r="Q658">
        <f>AVERAGE(Table1[funds_raised_millions])</f>
        <v>470.28289473684208</v>
      </c>
      <c r="R658">
        <f>AVERAGE(Table1[total_laid_off])</f>
        <v>236.96936274509804</v>
      </c>
    </row>
    <row r="659" spans="1:18" x14ac:dyDescent="0.25">
      <c r="A659" s="3" t="s">
        <v>759</v>
      </c>
      <c r="B659" t="s">
        <v>40</v>
      </c>
      <c r="C659" t="s">
        <v>46</v>
      </c>
      <c r="D659">
        <v>68</v>
      </c>
      <c r="E659" s="1">
        <v>7.0000000000000007E-2</v>
      </c>
      <c r="F659" s="1" t="str">
        <f>IF(Table1[[#This Row],[percentage_laid_off]]=100%,"1","0")</f>
        <v>0</v>
      </c>
      <c r="G659" t="s">
        <v>16</v>
      </c>
      <c r="H659" s="2">
        <v>44760</v>
      </c>
      <c r="I659" s="2" t="str">
        <f>TEXT(Table1[[#This Row],[date]],"dd")</f>
        <v>18</v>
      </c>
      <c r="J659" s="20">
        <f>DATE(2000,MONTH(Table1[[#This Row],[date]]),1)</f>
        <v>36708</v>
      </c>
      <c r="K659" s="18" t="str">
        <f>TEXT(Table1[[#This Row],[date]],"mm")</f>
        <v>07</v>
      </c>
      <c r="L659" s="16" t="s">
        <v>17</v>
      </c>
      <c r="M659">
        <v>2022</v>
      </c>
      <c r="N659" t="s">
        <v>47</v>
      </c>
      <c r="O659" t="s">
        <v>19</v>
      </c>
      <c r="P659">
        <v>423</v>
      </c>
      <c r="Q659">
        <f>AVERAGE(Table1[funds_raised_millions])</f>
        <v>470.28289473684208</v>
      </c>
      <c r="R659">
        <f>AVERAGE(Table1[total_laid_off])</f>
        <v>236.96936274509804</v>
      </c>
    </row>
    <row r="660" spans="1:18" x14ac:dyDescent="0.25">
      <c r="A660" s="3" t="s">
        <v>760</v>
      </c>
      <c r="B660" t="s">
        <v>40</v>
      </c>
      <c r="C660" t="s">
        <v>46</v>
      </c>
      <c r="D660">
        <v>52</v>
      </c>
      <c r="E660" s="1">
        <v>0.2</v>
      </c>
      <c r="F660" s="1" t="str">
        <f>IF(Table1[[#This Row],[percentage_laid_off]]=100%,"1","0")</f>
        <v>0</v>
      </c>
      <c r="G660" t="s">
        <v>28</v>
      </c>
      <c r="H660" s="2">
        <v>44790</v>
      </c>
      <c r="I660" s="2" t="str">
        <f>TEXT(Table1[[#This Row],[date]],"dd")</f>
        <v>17</v>
      </c>
      <c r="J660" s="20">
        <f>DATE(2000,MONTH(Table1[[#This Row],[date]]),1)</f>
        <v>36739</v>
      </c>
      <c r="K660" s="18" t="str">
        <f>TEXT(Table1[[#This Row],[date]],"mm")</f>
        <v>08</v>
      </c>
      <c r="L660" s="16" t="s">
        <v>53</v>
      </c>
      <c r="M660">
        <v>2022</v>
      </c>
      <c r="N660" t="s">
        <v>24</v>
      </c>
      <c r="O660" t="s">
        <v>19</v>
      </c>
      <c r="P660" t="s">
        <v>15</v>
      </c>
      <c r="Q660">
        <f>AVERAGE(Table1[funds_raised_millions])</f>
        <v>470.28289473684208</v>
      </c>
      <c r="R660">
        <f>AVERAGE(Table1[total_laid_off])</f>
        <v>236.96936274509804</v>
      </c>
    </row>
    <row r="661" spans="1:18" x14ac:dyDescent="0.25">
      <c r="A661" s="3" t="s">
        <v>760</v>
      </c>
      <c r="B661" t="s">
        <v>40</v>
      </c>
      <c r="C661" t="s">
        <v>46</v>
      </c>
      <c r="D661">
        <v>60</v>
      </c>
      <c r="E661" s="1">
        <v>0.3</v>
      </c>
      <c r="F661" s="1" t="str">
        <f>IF(Table1[[#This Row],[percentage_laid_off]]=100%,"1","0")</f>
        <v>0</v>
      </c>
      <c r="G661" t="s">
        <v>28</v>
      </c>
      <c r="H661" s="2">
        <v>45047</v>
      </c>
      <c r="I661" s="2" t="str">
        <f>TEXT(Table1[[#This Row],[date]],"dd")</f>
        <v>01</v>
      </c>
      <c r="J661" s="20">
        <f>DATE(2000,MONTH(Table1[[#This Row],[date]]),1)</f>
        <v>36647</v>
      </c>
      <c r="K661" s="18" t="str">
        <f>TEXT(Table1[[#This Row],[date]],"mm")</f>
        <v>05</v>
      </c>
      <c r="L661" s="16" t="s">
        <v>86</v>
      </c>
      <c r="M661">
        <v>2023</v>
      </c>
      <c r="N661" t="s">
        <v>24</v>
      </c>
      <c r="O661" t="s">
        <v>19</v>
      </c>
      <c r="P661" t="s">
        <v>15</v>
      </c>
      <c r="Q661">
        <f>AVERAGE(Table1[funds_raised_millions])</f>
        <v>470.28289473684208</v>
      </c>
      <c r="R661">
        <f>AVERAGE(Table1[total_laid_off])</f>
        <v>236.96936274509804</v>
      </c>
    </row>
    <row r="662" spans="1:18" x14ac:dyDescent="0.25">
      <c r="A662" s="3" t="s">
        <v>761</v>
      </c>
      <c r="B662" t="s">
        <v>13</v>
      </c>
      <c r="C662" t="s">
        <v>14</v>
      </c>
      <c r="D662">
        <v>23</v>
      </c>
      <c r="E662" t="s">
        <v>15</v>
      </c>
      <c r="F662" s="1" t="str">
        <f>IF(Table1[[#This Row],[percentage_laid_off]]=100%,"1","0")</f>
        <v>0</v>
      </c>
      <c r="G662" t="b">
        <v>0</v>
      </c>
      <c r="H662" s="2">
        <v>44782</v>
      </c>
      <c r="I662" s="2" t="str">
        <f>TEXT(Table1[[#This Row],[date]],"dd")</f>
        <v>09</v>
      </c>
      <c r="J662" s="20">
        <f>DATE(2000,MONTH(Table1[[#This Row],[date]]),1)</f>
        <v>36739</v>
      </c>
      <c r="K662" s="18" t="str">
        <f>TEXT(Table1[[#This Row],[date]],"mm")</f>
        <v>08</v>
      </c>
      <c r="L662" s="16" t="s">
        <v>53</v>
      </c>
      <c r="M662">
        <v>2022</v>
      </c>
      <c r="N662" t="s">
        <v>35</v>
      </c>
      <c r="O662" t="s">
        <v>19</v>
      </c>
      <c r="P662">
        <v>120</v>
      </c>
      <c r="Q662">
        <f>AVERAGE(Table1[funds_raised_millions])</f>
        <v>470.28289473684208</v>
      </c>
      <c r="R662">
        <f>AVERAGE(Table1[total_laid_off])</f>
        <v>236.96936274509804</v>
      </c>
    </row>
    <row r="663" spans="1:18" x14ac:dyDescent="0.25">
      <c r="A663" s="3" t="s">
        <v>762</v>
      </c>
      <c r="B663" t="s">
        <v>13</v>
      </c>
      <c r="C663" t="s">
        <v>69</v>
      </c>
      <c r="D663" t="s">
        <v>15</v>
      </c>
      <c r="E663" s="1">
        <v>0.1</v>
      </c>
      <c r="F663" s="1" t="str">
        <f>IF(Table1[[#This Row],[percentage_laid_off]]=100%,"1","0")</f>
        <v>0</v>
      </c>
      <c r="G663" t="s">
        <v>16</v>
      </c>
      <c r="H663" s="2">
        <v>44959</v>
      </c>
      <c r="I663" s="2" t="str">
        <f>TEXT(Table1[[#This Row],[date]],"dd")</f>
        <v>02</v>
      </c>
      <c r="J663" s="20">
        <f>DATE(2000,MONTH(Table1[[#This Row],[date]]),1)</f>
        <v>36557</v>
      </c>
      <c r="K663" s="18" t="str">
        <f>TEXT(Table1[[#This Row],[date]],"mm")</f>
        <v>02</v>
      </c>
      <c r="L663" s="16" t="s">
        <v>42</v>
      </c>
      <c r="M663">
        <v>2023</v>
      </c>
      <c r="N663" t="s">
        <v>38</v>
      </c>
      <c r="O663" t="s">
        <v>19</v>
      </c>
      <c r="P663">
        <v>948</v>
      </c>
      <c r="Q663">
        <f>AVERAGE(Table1[funds_raised_millions])</f>
        <v>470.28289473684208</v>
      </c>
      <c r="R663">
        <f>AVERAGE(Table1[total_laid_off])</f>
        <v>236.96936274509804</v>
      </c>
    </row>
    <row r="664" spans="1:18" x14ac:dyDescent="0.25">
      <c r="A664" s="3" t="s">
        <v>762</v>
      </c>
      <c r="B664" t="s">
        <v>13</v>
      </c>
      <c r="C664" t="s">
        <v>69</v>
      </c>
      <c r="D664">
        <v>100</v>
      </c>
      <c r="E664" s="1">
        <v>0.25</v>
      </c>
      <c r="F664" s="1" t="str">
        <f>IF(Table1[[#This Row],[percentage_laid_off]]=100%,"1","0")</f>
        <v>0</v>
      </c>
      <c r="G664" t="s">
        <v>28</v>
      </c>
      <c r="H664" s="2">
        <v>43917</v>
      </c>
      <c r="I664" s="2" t="str">
        <f>TEXT(Table1[[#This Row],[date]],"dd")</f>
        <v>27</v>
      </c>
      <c r="J664" s="20">
        <f>DATE(2000,MONTH(Table1[[#This Row],[date]]),1)</f>
        <v>36586</v>
      </c>
      <c r="K664" s="18" t="str">
        <f>TEXT(Table1[[#This Row],[date]],"mm")</f>
        <v>03</v>
      </c>
      <c r="L664" s="16" t="s">
        <v>57</v>
      </c>
      <c r="M664">
        <v>2020</v>
      </c>
      <c r="N664" t="s">
        <v>43</v>
      </c>
      <c r="O664" t="s">
        <v>19</v>
      </c>
      <c r="P664">
        <v>403</v>
      </c>
      <c r="Q664">
        <f>AVERAGE(Table1[funds_raised_millions])</f>
        <v>470.28289473684208</v>
      </c>
      <c r="R664">
        <f>AVERAGE(Table1[total_laid_off])</f>
        <v>236.96936274509804</v>
      </c>
    </row>
    <row r="665" spans="1:18" x14ac:dyDescent="0.25">
      <c r="A665" s="3" t="s">
        <v>763</v>
      </c>
      <c r="B665" t="s">
        <v>764</v>
      </c>
      <c r="C665" t="s">
        <v>64</v>
      </c>
      <c r="D665" t="s">
        <v>15</v>
      </c>
      <c r="E665" s="1">
        <v>0.14000000000000001</v>
      </c>
      <c r="F665" s="1" t="str">
        <f>IF(Table1[[#This Row],[percentage_laid_off]]=100%,"1","0")</f>
        <v>0</v>
      </c>
      <c r="G665" t="s">
        <v>28</v>
      </c>
      <c r="H665" s="2">
        <v>44706</v>
      </c>
      <c r="I665" s="2" t="str">
        <f>TEXT(Table1[[#This Row],[date]],"dd")</f>
        <v>25</v>
      </c>
      <c r="J665" s="20">
        <f>DATE(2000,MONTH(Table1[[#This Row],[date]]),1)</f>
        <v>36647</v>
      </c>
      <c r="K665" s="18" t="str">
        <f>TEXT(Table1[[#This Row],[date]],"mm")</f>
        <v>05</v>
      </c>
      <c r="L665" s="16" t="s">
        <v>86</v>
      </c>
      <c r="M665">
        <v>2022</v>
      </c>
      <c r="N665" t="s">
        <v>18</v>
      </c>
      <c r="O665" t="s">
        <v>765</v>
      </c>
      <c r="P665">
        <v>1800</v>
      </c>
      <c r="Q665">
        <f>AVERAGE(Table1[funds_raised_millions])</f>
        <v>470.28289473684208</v>
      </c>
      <c r="R665">
        <f>AVERAGE(Table1[total_laid_off])</f>
        <v>236.96936274509804</v>
      </c>
    </row>
    <row r="666" spans="1:18" x14ac:dyDescent="0.25">
      <c r="A666" s="3" t="s">
        <v>763</v>
      </c>
      <c r="B666" t="s">
        <v>40</v>
      </c>
      <c r="C666" t="s">
        <v>64</v>
      </c>
      <c r="D666">
        <v>100</v>
      </c>
      <c r="E666" t="s">
        <v>15</v>
      </c>
      <c r="F666" s="1" t="str">
        <f>IF(Table1[[#This Row],[percentage_laid_off]]=100%,"1","0")</f>
        <v>0</v>
      </c>
      <c r="G666" t="b">
        <v>0</v>
      </c>
      <c r="H666" s="2">
        <v>44959</v>
      </c>
      <c r="I666" s="2" t="str">
        <f>TEXT(Table1[[#This Row],[date]],"dd")</f>
        <v>02</v>
      </c>
      <c r="J666" s="20">
        <f>DATE(2000,MONTH(Table1[[#This Row],[date]]),1)</f>
        <v>36557</v>
      </c>
      <c r="K666" s="18" t="str">
        <f>TEXT(Table1[[#This Row],[date]],"mm")</f>
        <v>02</v>
      </c>
      <c r="L666" s="16" t="s">
        <v>42</v>
      </c>
      <c r="M666">
        <v>2023</v>
      </c>
      <c r="N666" t="s">
        <v>18</v>
      </c>
      <c r="O666" t="s">
        <v>19</v>
      </c>
      <c r="P666">
        <v>1800</v>
      </c>
      <c r="Q666">
        <f>AVERAGE(Table1[funds_raised_millions])</f>
        <v>470.28289473684208</v>
      </c>
      <c r="R666">
        <f>AVERAGE(Table1[total_laid_off])</f>
        <v>236.96936274509804</v>
      </c>
    </row>
    <row r="667" spans="1:18" x14ac:dyDescent="0.25">
      <c r="A667" s="3" t="s">
        <v>766</v>
      </c>
      <c r="B667" t="s">
        <v>45</v>
      </c>
      <c r="C667" t="s">
        <v>34</v>
      </c>
      <c r="D667">
        <v>11</v>
      </c>
      <c r="E667" s="1">
        <v>0.1</v>
      </c>
      <c r="F667" s="1" t="str">
        <f>IF(Table1[[#This Row],[percentage_laid_off]]=100%,"1","0")</f>
        <v>0</v>
      </c>
      <c r="G667" t="s">
        <v>16</v>
      </c>
      <c r="H667" s="2">
        <v>44047</v>
      </c>
      <c r="I667" s="2" t="str">
        <f>TEXT(Table1[[#This Row],[date]],"dd")</f>
        <v>04</v>
      </c>
      <c r="J667" s="20">
        <f>DATE(2000,MONTH(Table1[[#This Row],[date]]),1)</f>
        <v>36739</v>
      </c>
      <c r="K667" s="18" t="str">
        <f>TEXT(Table1[[#This Row],[date]],"mm")</f>
        <v>08</v>
      </c>
      <c r="L667" s="16" t="s">
        <v>53</v>
      </c>
      <c r="M667">
        <v>2020</v>
      </c>
      <c r="N667" t="s">
        <v>30</v>
      </c>
      <c r="O667" t="s">
        <v>48</v>
      </c>
      <c r="P667">
        <v>16</v>
      </c>
      <c r="Q667">
        <f>AVERAGE(Table1[funds_raised_millions])</f>
        <v>470.28289473684208</v>
      </c>
      <c r="R667">
        <f>AVERAGE(Table1[total_laid_off])</f>
        <v>236.96936274509804</v>
      </c>
    </row>
    <row r="668" spans="1:18" x14ac:dyDescent="0.25">
      <c r="A668" s="3" t="s">
        <v>767</v>
      </c>
      <c r="B668" t="s">
        <v>170</v>
      </c>
      <c r="C668" t="s">
        <v>69</v>
      </c>
      <c r="D668">
        <v>30</v>
      </c>
      <c r="E668" t="s">
        <v>15</v>
      </c>
      <c r="F668" s="1" t="str">
        <f>IF(Table1[[#This Row],[percentage_laid_off]]=100%,"1","0")</f>
        <v>0</v>
      </c>
      <c r="G668" t="b">
        <v>0</v>
      </c>
      <c r="H668" s="2">
        <v>44712</v>
      </c>
      <c r="I668" s="2" t="str">
        <f>TEXT(Table1[[#This Row],[date]],"dd")</f>
        <v>31</v>
      </c>
      <c r="J668" s="20">
        <f>DATE(2000,MONTH(Table1[[#This Row],[date]]),1)</f>
        <v>36647</v>
      </c>
      <c r="K668" s="18" t="str">
        <f>TEXT(Table1[[#This Row],[date]],"mm")</f>
        <v>05</v>
      </c>
      <c r="L668" s="16" t="s">
        <v>86</v>
      </c>
      <c r="M668">
        <v>2022</v>
      </c>
      <c r="N668" t="s">
        <v>24</v>
      </c>
      <c r="O668" t="s">
        <v>172</v>
      </c>
      <c r="P668">
        <v>49</v>
      </c>
      <c r="Q668">
        <f>AVERAGE(Table1[funds_raised_millions])</f>
        <v>470.28289473684208</v>
      </c>
      <c r="R668">
        <f>AVERAGE(Table1[total_laid_off])</f>
        <v>236.96936274509804</v>
      </c>
    </row>
    <row r="669" spans="1:18" x14ac:dyDescent="0.25">
      <c r="A669" s="3" t="s">
        <v>768</v>
      </c>
      <c r="B669" t="s">
        <v>94</v>
      </c>
      <c r="C669" t="s">
        <v>112</v>
      </c>
      <c r="D669">
        <v>90</v>
      </c>
      <c r="E669" s="1">
        <v>0.17</v>
      </c>
      <c r="F669" s="1" t="str">
        <f>IF(Table1[[#This Row],[percentage_laid_off]]=100%,"1","0")</f>
        <v>0</v>
      </c>
      <c r="G669" t="s">
        <v>28</v>
      </c>
      <c r="H669" s="2">
        <v>44118</v>
      </c>
      <c r="I669" s="2" t="str">
        <f>TEXT(Table1[[#This Row],[date]],"dd")</f>
        <v>14</v>
      </c>
      <c r="J669" s="20">
        <f>DATE(2000,MONTH(Table1[[#This Row],[date]]),1)</f>
        <v>36800</v>
      </c>
      <c r="K669" s="18" t="str">
        <f>TEXT(Table1[[#This Row],[date]],"mm")</f>
        <v>10</v>
      </c>
      <c r="L669" s="16" t="s">
        <v>95</v>
      </c>
      <c r="M669">
        <v>2020</v>
      </c>
      <c r="N669" t="s">
        <v>18</v>
      </c>
      <c r="O669" t="s">
        <v>96</v>
      </c>
      <c r="P669">
        <v>656</v>
      </c>
      <c r="Q669">
        <f>AVERAGE(Table1[funds_raised_millions])</f>
        <v>470.28289473684208</v>
      </c>
      <c r="R669">
        <f>AVERAGE(Table1[total_laid_off])</f>
        <v>236.96936274509804</v>
      </c>
    </row>
    <row r="670" spans="1:18" x14ac:dyDescent="0.25">
      <c r="A670" s="3" t="s">
        <v>769</v>
      </c>
      <c r="B670" t="s">
        <v>13</v>
      </c>
      <c r="C670" t="s">
        <v>123</v>
      </c>
      <c r="D670" t="s">
        <v>15</v>
      </c>
      <c r="E670" s="1">
        <v>0.1</v>
      </c>
      <c r="F670" s="1" t="str">
        <f>IF(Table1[[#This Row],[percentage_laid_off]]=100%,"1","0")</f>
        <v>0</v>
      </c>
      <c r="G670" t="s">
        <v>16</v>
      </c>
      <c r="H670" s="2">
        <v>45171</v>
      </c>
      <c r="I670" s="2" t="str">
        <f>TEXT(Table1[[#This Row],[date]],"dd")</f>
        <v>02</v>
      </c>
      <c r="J670" s="20">
        <f>DATE(2000,MONTH(Table1[[#This Row],[date]]),1)</f>
        <v>36770</v>
      </c>
      <c r="K670" s="18" t="str">
        <f>TEXT(Table1[[#This Row],[date]],"mm")</f>
        <v>09</v>
      </c>
      <c r="L670" s="16" t="s">
        <v>70</v>
      </c>
      <c r="M670">
        <v>2023</v>
      </c>
      <c r="N670" t="s">
        <v>71</v>
      </c>
      <c r="O670" t="s">
        <v>19</v>
      </c>
      <c r="P670">
        <v>350</v>
      </c>
      <c r="Q670">
        <f>AVERAGE(Table1[funds_raised_millions])</f>
        <v>470.28289473684208</v>
      </c>
      <c r="R670">
        <f>AVERAGE(Table1[total_laid_off])</f>
        <v>236.96936274509804</v>
      </c>
    </row>
    <row r="671" spans="1:18" x14ac:dyDescent="0.25">
      <c r="A671" s="3" t="s">
        <v>770</v>
      </c>
      <c r="B671" t="s">
        <v>13</v>
      </c>
      <c r="C671" t="s">
        <v>123</v>
      </c>
      <c r="D671">
        <v>130</v>
      </c>
      <c r="E671" s="1">
        <v>7.0000000000000007E-2</v>
      </c>
      <c r="F671" s="1" t="str">
        <f>IF(Table1[[#This Row],[percentage_laid_off]]=100%,"1","0")</f>
        <v>0</v>
      </c>
      <c r="G671" t="s">
        <v>16</v>
      </c>
      <c r="H671" s="2">
        <v>45171</v>
      </c>
      <c r="I671" s="2" t="str">
        <f>TEXT(Table1[[#This Row],[date]],"dd")</f>
        <v>02</v>
      </c>
      <c r="J671" s="20">
        <f>DATE(2000,MONTH(Table1[[#This Row],[date]]),1)</f>
        <v>36770</v>
      </c>
      <c r="K671" s="18" t="str">
        <f>TEXT(Table1[[#This Row],[date]],"mm")</f>
        <v>09</v>
      </c>
      <c r="L671" s="16" t="s">
        <v>70</v>
      </c>
      <c r="M671">
        <v>2023</v>
      </c>
      <c r="N671" t="s">
        <v>38</v>
      </c>
      <c r="O671" t="s">
        <v>19</v>
      </c>
      <c r="P671">
        <v>413</v>
      </c>
      <c r="Q671">
        <f>AVERAGE(Table1[funds_raised_millions])</f>
        <v>470.28289473684208</v>
      </c>
      <c r="R671">
        <f>AVERAGE(Table1[total_laid_off])</f>
        <v>236.96936274509804</v>
      </c>
    </row>
    <row r="672" spans="1:18" x14ac:dyDescent="0.25">
      <c r="A672" s="3" t="s">
        <v>771</v>
      </c>
      <c r="B672" t="s">
        <v>772</v>
      </c>
      <c r="C672" t="s">
        <v>123</v>
      </c>
      <c r="D672">
        <v>21</v>
      </c>
      <c r="E672" s="1">
        <v>0.28000000000000003</v>
      </c>
      <c r="F672" s="1" t="str">
        <f>IF(Table1[[#This Row],[percentage_laid_off]]=100%,"1","0")</f>
        <v>0</v>
      </c>
      <c r="G672" t="s">
        <v>28</v>
      </c>
      <c r="H672" s="2">
        <v>44950</v>
      </c>
      <c r="I672" s="2" t="str">
        <f>TEXT(Table1[[#This Row],[date]],"dd")</f>
        <v>24</v>
      </c>
      <c r="J672" s="20">
        <f>DATE(2000,MONTH(Table1[[#This Row],[date]]),1)</f>
        <v>36526</v>
      </c>
      <c r="K672" s="18" t="str">
        <f>TEXT(Table1[[#This Row],[date]],"mm")</f>
        <v>01</v>
      </c>
      <c r="L672" s="16" t="s">
        <v>29</v>
      </c>
      <c r="M672">
        <v>2023</v>
      </c>
      <c r="N672" t="s">
        <v>24</v>
      </c>
      <c r="O672" t="s">
        <v>96</v>
      </c>
      <c r="P672">
        <v>41</v>
      </c>
      <c r="Q672">
        <f>AVERAGE(Table1[funds_raised_millions])</f>
        <v>470.28289473684208</v>
      </c>
      <c r="R672">
        <f>AVERAGE(Table1[total_laid_off])</f>
        <v>236.96936274509804</v>
      </c>
    </row>
    <row r="673" spans="1:18" x14ac:dyDescent="0.25">
      <c r="A673" s="3" t="s">
        <v>773</v>
      </c>
      <c r="B673" t="s">
        <v>13</v>
      </c>
      <c r="C673" t="s">
        <v>167</v>
      </c>
      <c r="D673">
        <v>300</v>
      </c>
      <c r="E673" s="1">
        <v>0.3</v>
      </c>
      <c r="F673" s="1" t="str">
        <f>IF(Table1[[#This Row],[percentage_laid_off]]=100%,"1","0")</f>
        <v>0</v>
      </c>
      <c r="G673" t="s">
        <v>28</v>
      </c>
      <c r="H673" s="2">
        <v>44017</v>
      </c>
      <c r="I673" s="2" t="str">
        <f>TEXT(Table1[[#This Row],[date]],"dd")</f>
        <v>05</v>
      </c>
      <c r="J673" s="20">
        <f>DATE(2000,MONTH(Table1[[#This Row],[date]]),1)</f>
        <v>36708</v>
      </c>
      <c r="K673" s="18" t="str">
        <f>TEXT(Table1[[#This Row],[date]],"mm")</f>
        <v>07</v>
      </c>
      <c r="L673" s="16" t="s">
        <v>17</v>
      </c>
      <c r="M673">
        <v>2020</v>
      </c>
      <c r="N673" t="s">
        <v>71</v>
      </c>
      <c r="O673" t="s">
        <v>19</v>
      </c>
      <c r="P673">
        <v>204</v>
      </c>
      <c r="Q673">
        <f>AVERAGE(Table1[funds_raised_millions])</f>
        <v>470.28289473684208</v>
      </c>
      <c r="R673">
        <f>AVERAGE(Table1[total_laid_off])</f>
        <v>236.96936274509804</v>
      </c>
    </row>
    <row r="674" spans="1:18" x14ac:dyDescent="0.25">
      <c r="A674" s="3" t="s">
        <v>774</v>
      </c>
      <c r="B674" t="s">
        <v>111</v>
      </c>
      <c r="C674" t="s">
        <v>190</v>
      </c>
      <c r="D674">
        <v>198</v>
      </c>
      <c r="E674" s="1">
        <v>0.18</v>
      </c>
      <c r="F674" s="1" t="str">
        <f>IF(Table1[[#This Row],[percentage_laid_off]]=100%,"1","0")</f>
        <v>0</v>
      </c>
      <c r="G674" t="s">
        <v>28</v>
      </c>
      <c r="H674" s="2">
        <v>44785</v>
      </c>
      <c r="I674" s="2" t="str">
        <f>TEXT(Table1[[#This Row],[date]],"dd")</f>
        <v>12</v>
      </c>
      <c r="J674" s="20">
        <f>DATE(2000,MONTH(Table1[[#This Row],[date]]),1)</f>
        <v>36739</v>
      </c>
      <c r="K674" s="18" t="str">
        <f>TEXT(Table1[[#This Row],[date]],"mm")</f>
        <v>08</v>
      </c>
      <c r="L674" s="16" t="s">
        <v>53</v>
      </c>
      <c r="M674">
        <v>2022</v>
      </c>
      <c r="N674" t="s">
        <v>43</v>
      </c>
      <c r="O674" t="s">
        <v>111</v>
      </c>
      <c r="P674">
        <v>82</v>
      </c>
      <c r="Q674">
        <f>AVERAGE(Table1[funds_raised_millions])</f>
        <v>470.28289473684208</v>
      </c>
      <c r="R674">
        <f>AVERAGE(Table1[total_laid_off])</f>
        <v>236.96936274509804</v>
      </c>
    </row>
    <row r="675" spans="1:18" x14ac:dyDescent="0.25">
      <c r="A675" s="3" t="s">
        <v>775</v>
      </c>
      <c r="B675" t="s">
        <v>40</v>
      </c>
      <c r="C675" t="s">
        <v>123</v>
      </c>
      <c r="D675">
        <v>18</v>
      </c>
      <c r="E675" s="1">
        <v>0.36</v>
      </c>
      <c r="F675" s="1" t="str">
        <f>IF(Table1[[#This Row],[percentage_laid_off]]=100%,"1","0")</f>
        <v>0</v>
      </c>
      <c r="G675" t="s">
        <v>28</v>
      </c>
      <c r="H675" s="2">
        <v>43972</v>
      </c>
      <c r="I675" s="2" t="str">
        <f>TEXT(Table1[[#This Row],[date]],"dd")</f>
        <v>21</v>
      </c>
      <c r="J675" s="20">
        <f>DATE(2000,MONTH(Table1[[#This Row],[date]]),1)</f>
        <v>36647</v>
      </c>
      <c r="K675" s="18" t="str">
        <f>TEXT(Table1[[#This Row],[date]],"mm")</f>
        <v>05</v>
      </c>
      <c r="L675" s="16" t="s">
        <v>86</v>
      </c>
      <c r="M675">
        <v>2020</v>
      </c>
      <c r="N675" t="s">
        <v>24</v>
      </c>
      <c r="O675" t="s">
        <v>19</v>
      </c>
      <c r="P675">
        <v>30</v>
      </c>
      <c r="Q675">
        <f>AVERAGE(Table1[funds_raised_millions])</f>
        <v>470.28289473684208</v>
      </c>
      <c r="R675">
        <f>AVERAGE(Table1[total_laid_off])</f>
        <v>236.96936274509804</v>
      </c>
    </row>
    <row r="676" spans="1:18" x14ac:dyDescent="0.25">
      <c r="A676" s="3" t="s">
        <v>776</v>
      </c>
      <c r="B676" t="s">
        <v>267</v>
      </c>
      <c r="C676" t="s">
        <v>82</v>
      </c>
      <c r="D676" t="s">
        <v>15</v>
      </c>
      <c r="E676" s="1">
        <v>1</v>
      </c>
      <c r="F676" s="1" t="str">
        <f>IF(Table1[[#This Row],[percentage_laid_off]]=100%,"1","0")</f>
        <v>1</v>
      </c>
      <c r="G676" t="s">
        <v>114</v>
      </c>
      <c r="H676" s="2">
        <v>44886</v>
      </c>
      <c r="I676" s="2" t="str">
        <f>TEXT(Table1[[#This Row],[date]],"dd")</f>
        <v>21</v>
      </c>
      <c r="J676" s="20">
        <f>DATE(2000,MONTH(Table1[[#This Row],[date]]),1)</f>
        <v>36831</v>
      </c>
      <c r="K676" s="18" t="str">
        <f>TEXT(Table1[[#This Row],[date]],"mm")</f>
        <v>11</v>
      </c>
      <c r="L676" s="16" t="s">
        <v>23</v>
      </c>
      <c r="M676">
        <v>2022</v>
      </c>
      <c r="N676" t="s">
        <v>47</v>
      </c>
      <c r="O676" t="s">
        <v>19</v>
      </c>
      <c r="P676" t="s">
        <v>15</v>
      </c>
      <c r="Q676">
        <f>AVERAGE(Table1[funds_raised_millions])</f>
        <v>470.28289473684208</v>
      </c>
      <c r="R676">
        <f>AVERAGE(Table1[total_laid_off])</f>
        <v>236.96936274509804</v>
      </c>
    </row>
    <row r="677" spans="1:18" x14ac:dyDescent="0.25">
      <c r="A677" s="3" t="s">
        <v>777</v>
      </c>
      <c r="B677" t="s">
        <v>40</v>
      </c>
      <c r="C677" t="s">
        <v>34</v>
      </c>
      <c r="D677">
        <v>80</v>
      </c>
      <c r="E677" s="1">
        <v>0.33</v>
      </c>
      <c r="F677" s="1" t="str">
        <f>IF(Table1[[#This Row],[percentage_laid_off]]=100%,"1","0")</f>
        <v>0</v>
      </c>
      <c r="G677" t="s">
        <v>28</v>
      </c>
      <c r="H677" s="2">
        <v>44587</v>
      </c>
      <c r="I677" s="2" t="str">
        <f>TEXT(Table1[[#This Row],[date]],"dd")</f>
        <v>26</v>
      </c>
      <c r="J677" s="20">
        <f>DATE(2000,MONTH(Table1[[#This Row],[date]]),1)</f>
        <v>36526</v>
      </c>
      <c r="K677" s="18" t="str">
        <f>TEXT(Table1[[#This Row],[date]],"mm")</f>
        <v>01</v>
      </c>
      <c r="L677" s="16" t="s">
        <v>29</v>
      </c>
      <c r="M677">
        <v>2022</v>
      </c>
      <c r="N677" t="s">
        <v>18</v>
      </c>
      <c r="O677" t="s">
        <v>19</v>
      </c>
      <c r="P677">
        <v>266</v>
      </c>
      <c r="Q677">
        <f>AVERAGE(Table1[funds_raised_millions])</f>
        <v>470.28289473684208</v>
      </c>
      <c r="R677">
        <f>AVERAGE(Table1[total_laid_off])</f>
        <v>236.96936274509804</v>
      </c>
    </row>
    <row r="678" spans="1:18" x14ac:dyDescent="0.25">
      <c r="A678" s="3" t="s">
        <v>777</v>
      </c>
      <c r="B678" t="s">
        <v>40</v>
      </c>
      <c r="C678" t="s">
        <v>41</v>
      </c>
      <c r="D678">
        <v>19</v>
      </c>
      <c r="E678" s="1">
        <v>0.08</v>
      </c>
      <c r="F678" s="1" t="str">
        <f>IF(Table1[[#This Row],[percentage_laid_off]]=100%,"1","0")</f>
        <v>0</v>
      </c>
      <c r="G678" t="s">
        <v>16</v>
      </c>
      <c r="H678" s="2">
        <v>44600</v>
      </c>
      <c r="I678" s="2" t="str">
        <f>TEXT(Table1[[#This Row],[date]],"dd")</f>
        <v>08</v>
      </c>
      <c r="J678" s="20">
        <f>DATE(2000,MONTH(Table1[[#This Row],[date]]),1)</f>
        <v>36557</v>
      </c>
      <c r="K678" s="18" t="str">
        <f>TEXT(Table1[[#This Row],[date]],"mm")</f>
        <v>02</v>
      </c>
      <c r="L678" s="16" t="s">
        <v>42</v>
      </c>
      <c r="M678">
        <v>2022</v>
      </c>
      <c r="N678" t="s">
        <v>18</v>
      </c>
      <c r="O678" t="s">
        <v>19</v>
      </c>
      <c r="P678">
        <v>266</v>
      </c>
      <c r="Q678">
        <f>AVERAGE(Table1[funds_raised_millions])</f>
        <v>470.28289473684208</v>
      </c>
      <c r="R678">
        <f>AVERAGE(Table1[total_laid_off])</f>
        <v>236.96936274509804</v>
      </c>
    </row>
    <row r="679" spans="1:18" x14ac:dyDescent="0.25">
      <c r="A679" s="3" t="s">
        <v>777</v>
      </c>
      <c r="B679" t="s">
        <v>40</v>
      </c>
      <c r="C679" t="s">
        <v>41</v>
      </c>
      <c r="D679">
        <v>150</v>
      </c>
      <c r="E679" s="1">
        <v>0.38</v>
      </c>
      <c r="F679" s="1" t="str">
        <f>IF(Table1[[#This Row],[percentage_laid_off]]=100%,"1","0")</f>
        <v>0</v>
      </c>
      <c r="G679" t="s">
        <v>28</v>
      </c>
      <c r="H679" s="2">
        <v>44020</v>
      </c>
      <c r="I679" s="2" t="str">
        <f>TEXT(Table1[[#This Row],[date]],"dd")</f>
        <v>08</v>
      </c>
      <c r="J679" s="20">
        <f>DATE(2000,MONTH(Table1[[#This Row],[date]]),1)</f>
        <v>36708</v>
      </c>
      <c r="K679" s="18" t="str">
        <f>TEXT(Table1[[#This Row],[date]],"mm")</f>
        <v>07</v>
      </c>
      <c r="L679" s="16" t="s">
        <v>17</v>
      </c>
      <c r="M679">
        <v>2020</v>
      </c>
      <c r="N679" t="s">
        <v>43</v>
      </c>
      <c r="O679" t="s">
        <v>19</v>
      </c>
      <c r="P679">
        <v>186</v>
      </c>
      <c r="Q679">
        <f>AVERAGE(Table1[funds_raised_millions])</f>
        <v>470.28289473684208</v>
      </c>
      <c r="R679">
        <f>AVERAGE(Table1[total_laid_off])</f>
        <v>236.96936274509804</v>
      </c>
    </row>
    <row r="680" spans="1:18" x14ac:dyDescent="0.25">
      <c r="A680" s="3" t="s">
        <v>778</v>
      </c>
      <c r="B680" t="s">
        <v>779</v>
      </c>
      <c r="C680" t="s">
        <v>64</v>
      </c>
      <c r="D680">
        <v>250</v>
      </c>
      <c r="E680" s="1">
        <v>0.06</v>
      </c>
      <c r="F680" s="1" t="str">
        <f>IF(Table1[[#This Row],[percentage_laid_off]]=100%,"1","0")</f>
        <v>0</v>
      </c>
      <c r="G680" t="s">
        <v>16</v>
      </c>
      <c r="H680" s="2">
        <v>44956</v>
      </c>
      <c r="I680" s="2" t="str">
        <f>TEXT(Table1[[#This Row],[date]],"dd")</f>
        <v>30</v>
      </c>
      <c r="J680" s="20">
        <f>DATE(2000,MONTH(Table1[[#This Row],[date]]),1)</f>
        <v>36526</v>
      </c>
      <c r="K680" s="18" t="str">
        <f>TEXT(Table1[[#This Row],[date]],"mm")</f>
        <v>01</v>
      </c>
      <c r="L680" s="16" t="s">
        <v>29</v>
      </c>
      <c r="M680">
        <v>2023</v>
      </c>
      <c r="N680" t="s">
        <v>71</v>
      </c>
      <c r="O680" t="s">
        <v>780</v>
      </c>
      <c r="P680">
        <v>1200</v>
      </c>
      <c r="Q680">
        <f>AVERAGE(Table1[funds_raised_millions])</f>
        <v>470.28289473684208</v>
      </c>
      <c r="R680">
        <f>AVERAGE(Table1[total_laid_off])</f>
        <v>236.96936274509804</v>
      </c>
    </row>
    <row r="681" spans="1:18" x14ac:dyDescent="0.25">
      <c r="A681" s="3" t="s">
        <v>781</v>
      </c>
      <c r="B681" t="s">
        <v>111</v>
      </c>
      <c r="C681" t="s">
        <v>82</v>
      </c>
      <c r="D681">
        <v>22</v>
      </c>
      <c r="E681" s="1">
        <v>0.11</v>
      </c>
      <c r="F681" s="1" t="str">
        <f>IF(Table1[[#This Row],[percentage_laid_off]]=100%,"1","0")</f>
        <v>0</v>
      </c>
      <c r="G681" t="s">
        <v>28</v>
      </c>
      <c r="H681" s="2">
        <v>43839</v>
      </c>
      <c r="I681" s="2" t="str">
        <f>TEXT(Table1[[#This Row],[date]],"dd")</f>
        <v>09</v>
      </c>
      <c r="J681" s="20">
        <f>DATE(2000,MONTH(Table1[[#This Row],[date]]),1)</f>
        <v>36526</v>
      </c>
      <c r="K681" s="18" t="str">
        <f>TEXT(Table1[[#This Row],[date]],"mm")</f>
        <v>01</v>
      </c>
      <c r="L681" s="16" t="s">
        <v>29</v>
      </c>
      <c r="M681">
        <v>2020</v>
      </c>
      <c r="N681" t="s">
        <v>47</v>
      </c>
      <c r="O681" t="s">
        <v>111</v>
      </c>
      <c r="P681">
        <v>97</v>
      </c>
      <c r="Q681">
        <f>AVERAGE(Table1[funds_raised_millions])</f>
        <v>470.28289473684208</v>
      </c>
      <c r="R681">
        <f>AVERAGE(Table1[total_laid_off])</f>
        <v>236.96936274509804</v>
      </c>
    </row>
    <row r="682" spans="1:18" x14ac:dyDescent="0.25">
      <c r="A682" s="3" t="s">
        <v>782</v>
      </c>
      <c r="B682" t="s">
        <v>27</v>
      </c>
      <c r="C682" t="s">
        <v>120</v>
      </c>
      <c r="D682">
        <v>55</v>
      </c>
      <c r="E682" s="1">
        <v>0.05</v>
      </c>
      <c r="F682" s="1" t="str">
        <f>IF(Table1[[#This Row],[percentage_laid_off]]=100%,"1","0")</f>
        <v>0</v>
      </c>
      <c r="G682" t="s">
        <v>16</v>
      </c>
      <c r="H682" s="2">
        <v>45200</v>
      </c>
      <c r="I682" s="2" t="str">
        <f>TEXT(Table1[[#This Row],[date]],"dd")</f>
        <v>01</v>
      </c>
      <c r="J682" s="20">
        <f>DATE(2000,MONTH(Table1[[#This Row],[date]]),1)</f>
        <v>36800</v>
      </c>
      <c r="K682" s="18" t="str">
        <f>TEXT(Table1[[#This Row],[date]],"mm")</f>
        <v>10</v>
      </c>
      <c r="L682" s="16" t="s">
        <v>95</v>
      </c>
      <c r="M682">
        <v>2023</v>
      </c>
      <c r="N682" t="s">
        <v>35</v>
      </c>
      <c r="O682" t="s">
        <v>31</v>
      </c>
      <c r="P682">
        <v>178</v>
      </c>
      <c r="Q682">
        <f>AVERAGE(Table1[funds_raised_millions])</f>
        <v>470.28289473684208</v>
      </c>
      <c r="R682">
        <f>AVERAGE(Table1[total_laid_off])</f>
        <v>236.96936274509804</v>
      </c>
    </row>
    <row r="683" spans="1:18" x14ac:dyDescent="0.25">
      <c r="A683" s="3" t="s">
        <v>783</v>
      </c>
      <c r="B683" t="s">
        <v>202</v>
      </c>
      <c r="C683" t="s">
        <v>22</v>
      </c>
      <c r="D683">
        <v>451</v>
      </c>
      <c r="E683" s="1">
        <v>0.06</v>
      </c>
      <c r="F683" s="1" t="str">
        <f>IF(Table1[[#This Row],[percentage_laid_off]]=100%,"1","0")</f>
        <v>0</v>
      </c>
      <c r="G683" t="s">
        <v>16</v>
      </c>
      <c r="H683" s="2">
        <v>44006</v>
      </c>
      <c r="I683" s="2" t="str">
        <f>TEXT(Table1[[#This Row],[date]],"dd")</f>
        <v>24</v>
      </c>
      <c r="J683" s="20">
        <f>DATE(2000,MONTH(Table1[[#This Row],[date]]),1)</f>
        <v>36678</v>
      </c>
      <c r="K683" s="18" t="str">
        <f>TEXT(Table1[[#This Row],[date]],"mm")</f>
        <v>06</v>
      </c>
      <c r="L683" s="16" t="s">
        <v>73</v>
      </c>
      <c r="M683">
        <v>2020</v>
      </c>
      <c r="N683" t="s">
        <v>38</v>
      </c>
      <c r="O683" t="s">
        <v>19</v>
      </c>
      <c r="P683" t="s">
        <v>15</v>
      </c>
      <c r="Q683">
        <f>AVERAGE(Table1[funds_raised_millions])</f>
        <v>470.28289473684208</v>
      </c>
      <c r="R683">
        <f>AVERAGE(Table1[total_laid_off])</f>
        <v>236.96936274509804</v>
      </c>
    </row>
    <row r="684" spans="1:18" x14ac:dyDescent="0.25">
      <c r="A684" s="3" t="s">
        <v>783</v>
      </c>
      <c r="B684" t="s">
        <v>233</v>
      </c>
      <c r="C684" t="s">
        <v>22</v>
      </c>
      <c r="D684">
        <v>530</v>
      </c>
      <c r="E684" s="1">
        <v>0.08</v>
      </c>
      <c r="F684" s="1" t="str">
        <f>IF(Table1[[#This Row],[percentage_laid_off]]=100%,"1","0")</f>
        <v>0</v>
      </c>
      <c r="G684" t="s">
        <v>16</v>
      </c>
      <c r="H684" s="2">
        <v>45140</v>
      </c>
      <c r="I684" s="2" t="str">
        <f>TEXT(Table1[[#This Row],[date]],"dd")</f>
        <v>02</v>
      </c>
      <c r="J684" s="20">
        <f>DATE(2000,MONTH(Table1[[#This Row],[date]]),1)</f>
        <v>36739</v>
      </c>
      <c r="K684" s="18" t="str">
        <f>TEXT(Table1[[#This Row],[date]],"mm")</f>
        <v>08</v>
      </c>
      <c r="L684" s="16" t="s">
        <v>53</v>
      </c>
      <c r="M684">
        <v>2023</v>
      </c>
      <c r="N684" t="s">
        <v>38</v>
      </c>
      <c r="O684" t="s">
        <v>19</v>
      </c>
      <c r="P684">
        <v>800</v>
      </c>
      <c r="Q684">
        <f>AVERAGE(Table1[funds_raised_millions])</f>
        <v>470.28289473684208</v>
      </c>
      <c r="R684">
        <f>AVERAGE(Table1[total_laid_off])</f>
        <v>236.96936274509804</v>
      </c>
    </row>
    <row r="685" spans="1:18" x14ac:dyDescent="0.25">
      <c r="A685" s="3" t="s">
        <v>784</v>
      </c>
      <c r="B685" t="s">
        <v>13</v>
      </c>
      <c r="C685" t="s">
        <v>82</v>
      </c>
      <c r="D685">
        <v>94</v>
      </c>
      <c r="E685" s="1">
        <v>0.12</v>
      </c>
      <c r="F685" s="1" t="str">
        <f>IF(Table1[[#This Row],[percentage_laid_off]]=100%,"1","0")</f>
        <v>0</v>
      </c>
      <c r="G685" t="s">
        <v>28</v>
      </c>
      <c r="H685" s="2">
        <v>44860</v>
      </c>
      <c r="I685" s="2" t="str">
        <f>TEXT(Table1[[#This Row],[date]],"dd")</f>
        <v>26</v>
      </c>
      <c r="J685" s="20">
        <f>DATE(2000,MONTH(Table1[[#This Row],[date]]),1)</f>
        <v>36800</v>
      </c>
      <c r="K685" s="18" t="str">
        <f>TEXT(Table1[[#This Row],[date]],"mm")</f>
        <v>10</v>
      </c>
      <c r="L685" s="16" t="s">
        <v>95</v>
      </c>
      <c r="M685">
        <v>2022</v>
      </c>
      <c r="N685" t="s">
        <v>24</v>
      </c>
      <c r="O685" t="s">
        <v>19</v>
      </c>
      <c r="P685" t="s">
        <v>15</v>
      </c>
      <c r="Q685">
        <f>AVERAGE(Table1[funds_raised_millions])</f>
        <v>470.28289473684208</v>
      </c>
      <c r="R685">
        <f>AVERAGE(Table1[total_laid_off])</f>
        <v>236.96936274509804</v>
      </c>
    </row>
    <row r="686" spans="1:18" x14ac:dyDescent="0.25">
      <c r="A686" s="3" t="s">
        <v>785</v>
      </c>
      <c r="B686" t="s">
        <v>91</v>
      </c>
      <c r="C686" t="s">
        <v>14</v>
      </c>
      <c r="D686">
        <v>800</v>
      </c>
      <c r="E686" s="1">
        <v>0.2</v>
      </c>
      <c r="F686" s="1" t="str">
        <f>IF(Table1[[#This Row],[percentage_laid_off]]=100%,"1","0")</f>
        <v>0</v>
      </c>
      <c r="G686" t="s">
        <v>28</v>
      </c>
      <c r="H686" s="2">
        <v>44812</v>
      </c>
      <c r="I686" s="2" t="str">
        <f>TEXT(Table1[[#This Row],[date]],"dd")</f>
        <v>08</v>
      </c>
      <c r="J686" s="20">
        <f>DATE(2000,MONTH(Table1[[#This Row],[date]]),1)</f>
        <v>36770</v>
      </c>
      <c r="K686" s="18" t="str">
        <f>TEXT(Table1[[#This Row],[date]],"mm")</f>
        <v>09</v>
      </c>
      <c r="L686" s="16" t="s">
        <v>70</v>
      </c>
      <c r="M686">
        <v>2022</v>
      </c>
      <c r="N686" t="s">
        <v>38</v>
      </c>
      <c r="O686" t="s">
        <v>19</v>
      </c>
      <c r="P686">
        <v>75</v>
      </c>
      <c r="Q686">
        <f>AVERAGE(Table1[funds_raised_millions])</f>
        <v>470.28289473684208</v>
      </c>
      <c r="R686">
        <f>AVERAGE(Table1[total_laid_off])</f>
        <v>236.96936274509804</v>
      </c>
    </row>
    <row r="687" spans="1:18" x14ac:dyDescent="0.25">
      <c r="A687" s="3" t="s">
        <v>786</v>
      </c>
      <c r="B687" t="s">
        <v>129</v>
      </c>
      <c r="C687" t="s">
        <v>69</v>
      </c>
      <c r="D687">
        <v>430</v>
      </c>
      <c r="E687" s="1">
        <v>0.09</v>
      </c>
      <c r="F687" s="1" t="str">
        <f>IF(Table1[[#This Row],[percentage_laid_off]]=100%,"1","0")</f>
        <v>0</v>
      </c>
      <c r="G687" t="s">
        <v>16</v>
      </c>
      <c r="H687" s="2">
        <v>44005</v>
      </c>
      <c r="I687" s="2" t="str">
        <f>TEXT(Table1[[#This Row],[date]],"dd")</f>
        <v>23</v>
      </c>
      <c r="J687" s="20">
        <f>DATE(2000,MONTH(Table1[[#This Row],[date]]),1)</f>
        <v>36678</v>
      </c>
      <c r="K687" s="18" t="str">
        <f>TEXT(Table1[[#This Row],[date]],"mm")</f>
        <v>06</v>
      </c>
      <c r="L687" s="16" t="s">
        <v>73</v>
      </c>
      <c r="M687">
        <v>2020</v>
      </c>
      <c r="N687" t="s">
        <v>100</v>
      </c>
      <c r="O687" t="s">
        <v>131</v>
      </c>
      <c r="P687">
        <v>4800</v>
      </c>
      <c r="Q687">
        <f>AVERAGE(Table1[funds_raised_millions])</f>
        <v>470.28289473684208</v>
      </c>
      <c r="R687">
        <f>AVERAGE(Table1[total_laid_off])</f>
        <v>236.96936274509804</v>
      </c>
    </row>
    <row r="688" spans="1:18" x14ac:dyDescent="0.25">
      <c r="A688" s="3" t="s">
        <v>787</v>
      </c>
      <c r="B688" t="s">
        <v>329</v>
      </c>
      <c r="C688" t="s">
        <v>69</v>
      </c>
      <c r="D688">
        <v>20</v>
      </c>
      <c r="E688" t="s">
        <v>15</v>
      </c>
      <c r="F688" s="1" t="str">
        <f>IF(Table1[[#This Row],[percentage_laid_off]]=100%,"1","0")</f>
        <v>0</v>
      </c>
      <c r="G688" t="b">
        <v>0</v>
      </c>
      <c r="H688" s="2">
        <v>44879</v>
      </c>
      <c r="I688" s="2" t="str">
        <f>TEXT(Table1[[#This Row],[date]],"dd")</f>
        <v>14</v>
      </c>
      <c r="J688" s="20">
        <f>DATE(2000,MONTH(Table1[[#This Row],[date]]),1)</f>
        <v>36831</v>
      </c>
      <c r="K688" s="18" t="str">
        <f>TEXT(Table1[[#This Row],[date]],"mm")</f>
        <v>11</v>
      </c>
      <c r="L688" s="16" t="s">
        <v>23</v>
      </c>
      <c r="M688">
        <v>2022</v>
      </c>
      <c r="N688" t="s">
        <v>47</v>
      </c>
      <c r="O688" t="s">
        <v>146</v>
      </c>
      <c r="P688">
        <v>12</v>
      </c>
      <c r="Q688">
        <f>AVERAGE(Table1[funds_raised_millions])</f>
        <v>470.28289473684208</v>
      </c>
      <c r="R688">
        <f>AVERAGE(Table1[total_laid_off])</f>
        <v>236.96936274509804</v>
      </c>
    </row>
    <row r="689" spans="1:18" x14ac:dyDescent="0.25">
      <c r="A689" s="3" t="s">
        <v>787</v>
      </c>
      <c r="B689" t="s">
        <v>329</v>
      </c>
      <c r="C689" t="s">
        <v>69</v>
      </c>
      <c r="D689">
        <v>54</v>
      </c>
      <c r="E689" t="s">
        <v>15</v>
      </c>
      <c r="F689" s="1" t="str">
        <f>IF(Table1[[#This Row],[percentage_laid_off]]=100%,"1","0")</f>
        <v>0</v>
      </c>
      <c r="G689" t="b">
        <v>0</v>
      </c>
      <c r="H689" s="2">
        <v>44957</v>
      </c>
      <c r="I689" s="2" t="str">
        <f>TEXT(Table1[[#This Row],[date]],"dd")</f>
        <v>31</v>
      </c>
      <c r="J689" s="20">
        <f>DATE(2000,MONTH(Table1[[#This Row],[date]]),1)</f>
        <v>36526</v>
      </c>
      <c r="K689" s="18" t="str">
        <f>TEXT(Table1[[#This Row],[date]],"mm")</f>
        <v>01</v>
      </c>
      <c r="L689" s="16" t="s">
        <v>29</v>
      </c>
      <c r="M689">
        <v>2023</v>
      </c>
      <c r="N689" t="s">
        <v>47</v>
      </c>
      <c r="O689" t="s">
        <v>146</v>
      </c>
      <c r="P689">
        <v>12</v>
      </c>
      <c r="Q689">
        <f>AVERAGE(Table1[funds_raised_millions])</f>
        <v>470.28289473684208</v>
      </c>
      <c r="R689">
        <f>AVERAGE(Table1[total_laid_off])</f>
        <v>236.96936274509804</v>
      </c>
    </row>
    <row r="690" spans="1:18" x14ac:dyDescent="0.25">
      <c r="A690" s="3" t="s">
        <v>788</v>
      </c>
      <c r="B690" t="s">
        <v>406</v>
      </c>
      <c r="C690" t="s">
        <v>69</v>
      </c>
      <c r="D690" t="s">
        <v>15</v>
      </c>
      <c r="E690" s="1">
        <v>0.7</v>
      </c>
      <c r="F690" s="1" t="str">
        <f>IF(Table1[[#This Row],[percentage_laid_off]]=100%,"1","0")</f>
        <v>0</v>
      </c>
      <c r="G690" t="s">
        <v>130</v>
      </c>
      <c r="H690" s="2">
        <v>44943</v>
      </c>
      <c r="I690" s="2" t="str">
        <f>TEXT(Table1[[#This Row],[date]],"dd")</f>
        <v>17</v>
      </c>
      <c r="J690" s="20">
        <f>DATE(2000,MONTH(Table1[[#This Row],[date]]),1)</f>
        <v>36526</v>
      </c>
      <c r="K690" s="18" t="str">
        <f>TEXT(Table1[[#This Row],[date]],"mm")</f>
        <v>01</v>
      </c>
      <c r="L690" s="16" t="s">
        <v>29</v>
      </c>
      <c r="M690">
        <v>2023</v>
      </c>
      <c r="N690" t="s">
        <v>35</v>
      </c>
      <c r="O690" t="s">
        <v>83</v>
      </c>
      <c r="P690">
        <v>54</v>
      </c>
      <c r="Q690">
        <f>AVERAGE(Table1[funds_raised_millions])</f>
        <v>470.28289473684208</v>
      </c>
      <c r="R690">
        <f>AVERAGE(Table1[total_laid_off])</f>
        <v>236.96936274509804</v>
      </c>
    </row>
    <row r="691" spans="1:18" x14ac:dyDescent="0.25">
      <c r="A691" s="3" t="s">
        <v>789</v>
      </c>
      <c r="B691" t="s">
        <v>13</v>
      </c>
      <c r="C691" t="s">
        <v>60</v>
      </c>
      <c r="D691">
        <v>80</v>
      </c>
      <c r="E691" s="1">
        <v>7.0000000000000007E-2</v>
      </c>
      <c r="F691" s="1" t="str">
        <f>IF(Table1[[#This Row],[percentage_laid_off]]=100%,"1","0")</f>
        <v>0</v>
      </c>
      <c r="G691" t="s">
        <v>16</v>
      </c>
      <c r="H691" s="2">
        <v>45140</v>
      </c>
      <c r="I691" s="2" t="str">
        <f>TEXT(Table1[[#This Row],[date]],"dd")</f>
        <v>02</v>
      </c>
      <c r="J691" s="20">
        <f>DATE(2000,MONTH(Table1[[#This Row],[date]]),1)</f>
        <v>36739</v>
      </c>
      <c r="K691" s="18" t="str">
        <f>TEXT(Table1[[#This Row],[date]],"mm")</f>
        <v>08</v>
      </c>
      <c r="L691" s="16" t="s">
        <v>53</v>
      </c>
      <c r="M691">
        <v>2023</v>
      </c>
      <c r="N691" t="s">
        <v>18</v>
      </c>
      <c r="O691" t="s">
        <v>19</v>
      </c>
      <c r="P691">
        <v>583</v>
      </c>
      <c r="Q691">
        <f>AVERAGE(Table1[funds_raised_millions])</f>
        <v>470.28289473684208</v>
      </c>
      <c r="R691">
        <f>AVERAGE(Table1[total_laid_off])</f>
        <v>236.96936274509804</v>
      </c>
    </row>
    <row r="692" spans="1:18" x14ac:dyDescent="0.25">
      <c r="A692" s="3" t="s">
        <v>790</v>
      </c>
      <c r="B692" t="s">
        <v>81</v>
      </c>
      <c r="C692" t="s">
        <v>78</v>
      </c>
      <c r="D692" t="s">
        <v>15</v>
      </c>
      <c r="E692" s="1">
        <v>1</v>
      </c>
      <c r="F692" s="1" t="str">
        <f>IF(Table1[[#This Row],[percentage_laid_off]]=100%,"1","0")</f>
        <v>1</v>
      </c>
      <c r="G692" t="s">
        <v>114</v>
      </c>
      <c r="H692" s="2">
        <v>44861</v>
      </c>
      <c r="I692" s="2" t="str">
        <f>TEXT(Table1[[#This Row],[date]],"dd")</f>
        <v>27</v>
      </c>
      <c r="J692" s="20">
        <f>DATE(2000,MONTH(Table1[[#This Row],[date]]),1)</f>
        <v>36800</v>
      </c>
      <c r="K692" s="18" t="str">
        <f>TEXT(Table1[[#This Row],[date]],"mm")</f>
        <v>10</v>
      </c>
      <c r="L692" s="16" t="s">
        <v>95</v>
      </c>
      <c r="M692">
        <v>2022</v>
      </c>
      <c r="N692" t="s">
        <v>139</v>
      </c>
      <c r="O692" t="s">
        <v>83</v>
      </c>
      <c r="P692" t="s">
        <v>15</v>
      </c>
      <c r="Q692">
        <f>AVERAGE(Table1[funds_raised_millions])</f>
        <v>470.28289473684208</v>
      </c>
      <c r="R692">
        <f>AVERAGE(Table1[total_laid_off])</f>
        <v>236.96936274509804</v>
      </c>
    </row>
    <row r="693" spans="1:18" x14ac:dyDescent="0.25">
      <c r="A693" s="3" t="s">
        <v>791</v>
      </c>
      <c r="B693" t="s">
        <v>262</v>
      </c>
      <c r="C693" t="s">
        <v>64</v>
      </c>
      <c r="D693">
        <v>70</v>
      </c>
      <c r="E693" t="s">
        <v>15</v>
      </c>
      <c r="F693" s="1" t="str">
        <f>IF(Table1[[#This Row],[percentage_laid_off]]=100%,"1","0")</f>
        <v>0</v>
      </c>
      <c r="G693" t="b">
        <v>0</v>
      </c>
      <c r="H693" s="2">
        <v>44746</v>
      </c>
      <c r="I693" s="2" t="str">
        <f>TEXT(Table1[[#This Row],[date]],"dd")</f>
        <v>04</v>
      </c>
      <c r="J693" s="20">
        <f>DATE(2000,MONTH(Table1[[#This Row],[date]]),1)</f>
        <v>36708</v>
      </c>
      <c r="K693" s="18" t="str">
        <f>TEXT(Table1[[#This Row],[date]],"mm")</f>
        <v>07</v>
      </c>
      <c r="L693" s="16" t="s">
        <v>17</v>
      </c>
      <c r="M693">
        <v>2022</v>
      </c>
      <c r="N693" t="s">
        <v>38</v>
      </c>
      <c r="O693" t="s">
        <v>31</v>
      </c>
      <c r="P693">
        <v>16</v>
      </c>
      <c r="Q693">
        <f>AVERAGE(Table1[funds_raised_millions])</f>
        <v>470.28289473684208</v>
      </c>
      <c r="R693">
        <f>AVERAGE(Table1[total_laid_off])</f>
        <v>236.96936274509804</v>
      </c>
    </row>
    <row r="694" spans="1:18" x14ac:dyDescent="0.25">
      <c r="A694" s="3" t="s">
        <v>792</v>
      </c>
      <c r="B694" t="s">
        <v>27</v>
      </c>
      <c r="C694" t="s">
        <v>41</v>
      </c>
      <c r="D694" t="s">
        <v>15</v>
      </c>
      <c r="E694" s="1">
        <v>1</v>
      </c>
      <c r="F694" s="1" t="str">
        <f>IF(Table1[[#This Row],[percentage_laid_off]]=100%,"1","0")</f>
        <v>1</v>
      </c>
      <c r="G694" t="s">
        <v>114</v>
      </c>
      <c r="H694" s="2">
        <v>44888</v>
      </c>
      <c r="I694" s="2" t="str">
        <f>TEXT(Table1[[#This Row],[date]],"dd")</f>
        <v>23</v>
      </c>
      <c r="J694" s="20">
        <f>DATE(2000,MONTH(Table1[[#This Row],[date]]),1)</f>
        <v>36831</v>
      </c>
      <c r="K694" s="18" t="str">
        <f>TEXT(Table1[[#This Row],[date]],"mm")</f>
        <v>11</v>
      </c>
      <c r="L694" s="16" t="s">
        <v>23</v>
      </c>
      <c r="M694">
        <v>2022</v>
      </c>
      <c r="N694" t="s">
        <v>139</v>
      </c>
      <c r="O694" t="s">
        <v>31</v>
      </c>
      <c r="P694">
        <v>6</v>
      </c>
      <c r="Q694">
        <f>AVERAGE(Table1[funds_raised_millions])</f>
        <v>470.28289473684208</v>
      </c>
      <c r="R694">
        <f>AVERAGE(Table1[total_laid_off])</f>
        <v>236.96936274509804</v>
      </c>
    </row>
    <row r="695" spans="1:18" x14ac:dyDescent="0.25">
      <c r="A695" s="3" t="s">
        <v>793</v>
      </c>
      <c r="B695" t="s">
        <v>33</v>
      </c>
      <c r="C695" t="s">
        <v>14</v>
      </c>
      <c r="D695">
        <v>140</v>
      </c>
      <c r="E695" s="1">
        <v>0.16</v>
      </c>
      <c r="F695" s="1" t="str">
        <f>IF(Table1[[#This Row],[percentage_laid_off]]=100%,"1","0")</f>
        <v>0</v>
      </c>
      <c r="G695" t="s">
        <v>28</v>
      </c>
      <c r="H695" s="2">
        <v>44804</v>
      </c>
      <c r="I695" s="2" t="str">
        <f>TEXT(Table1[[#This Row],[date]],"dd")</f>
        <v>31</v>
      </c>
      <c r="J695" s="20">
        <f>DATE(2000,MONTH(Table1[[#This Row],[date]]),1)</f>
        <v>36739</v>
      </c>
      <c r="K695" s="18" t="str">
        <f>TEXT(Table1[[#This Row],[date]],"mm")</f>
        <v>08</v>
      </c>
      <c r="L695" s="16" t="s">
        <v>53</v>
      </c>
      <c r="M695">
        <v>2022</v>
      </c>
      <c r="N695" t="s">
        <v>38</v>
      </c>
      <c r="O695" t="s">
        <v>19</v>
      </c>
      <c r="P695">
        <v>910</v>
      </c>
      <c r="Q695">
        <f>AVERAGE(Table1[funds_raised_millions])</f>
        <v>470.28289473684208</v>
      </c>
      <c r="R695">
        <f>AVERAGE(Table1[total_laid_off])</f>
        <v>236.96936274509804</v>
      </c>
    </row>
    <row r="696" spans="1:18" x14ac:dyDescent="0.25">
      <c r="A696" s="3" t="s">
        <v>794</v>
      </c>
      <c r="B696" t="s">
        <v>13</v>
      </c>
      <c r="C696" t="s">
        <v>34</v>
      </c>
      <c r="D696">
        <v>12000</v>
      </c>
      <c r="E696" s="1">
        <v>0.06</v>
      </c>
      <c r="F696" s="1" t="str">
        <f>IF(Table1[[#This Row],[percentage_laid_off]]=100%,"1","0")</f>
        <v>0</v>
      </c>
      <c r="G696" t="s">
        <v>16</v>
      </c>
      <c r="H696" s="2">
        <v>44946</v>
      </c>
      <c r="I696" s="2" t="str">
        <f>TEXT(Table1[[#This Row],[date]],"dd")</f>
        <v>20</v>
      </c>
      <c r="J696" s="20">
        <f>DATE(2000,MONTH(Table1[[#This Row],[date]]),1)</f>
        <v>36526</v>
      </c>
      <c r="K696" s="18" t="str">
        <f>TEXT(Table1[[#This Row],[date]],"mm")</f>
        <v>01</v>
      </c>
      <c r="L696" s="16" t="s">
        <v>29</v>
      </c>
      <c r="M696">
        <v>2023</v>
      </c>
      <c r="N696" t="s">
        <v>38</v>
      </c>
      <c r="O696" t="s">
        <v>19</v>
      </c>
      <c r="P696">
        <v>26</v>
      </c>
      <c r="Q696">
        <f>AVERAGE(Table1[funds_raised_millions])</f>
        <v>470.28289473684208</v>
      </c>
      <c r="R696">
        <f>AVERAGE(Table1[total_laid_off])</f>
        <v>236.96936274509804</v>
      </c>
    </row>
    <row r="697" spans="1:18" x14ac:dyDescent="0.25">
      <c r="A697" s="3" t="s">
        <v>795</v>
      </c>
      <c r="B697" t="s">
        <v>13</v>
      </c>
      <c r="C697" t="s">
        <v>34</v>
      </c>
      <c r="D697">
        <v>200</v>
      </c>
      <c r="E697" s="1">
        <v>0.2</v>
      </c>
      <c r="F697" s="1" t="str">
        <f>IF(Table1[[#This Row],[percentage_laid_off]]=100%,"1","0")</f>
        <v>0</v>
      </c>
      <c r="G697" t="s">
        <v>28</v>
      </c>
      <c r="H697" s="2">
        <v>43936</v>
      </c>
      <c r="I697" s="2" t="str">
        <f>TEXT(Table1[[#This Row],[date]],"dd")</f>
        <v>15</v>
      </c>
      <c r="J697" s="20">
        <f>DATE(2000,MONTH(Table1[[#This Row],[date]]),1)</f>
        <v>36617</v>
      </c>
      <c r="K697" s="18" t="str">
        <f>TEXT(Table1[[#This Row],[date]],"mm")</f>
        <v>04</v>
      </c>
      <c r="L697" s="16" t="s">
        <v>37</v>
      </c>
      <c r="M697">
        <v>2020</v>
      </c>
      <c r="N697" t="s">
        <v>38</v>
      </c>
      <c r="O697" t="s">
        <v>19</v>
      </c>
      <c r="P697">
        <v>288</v>
      </c>
      <c r="Q697">
        <f>AVERAGE(Table1[funds_raised_millions])</f>
        <v>470.28289473684208</v>
      </c>
      <c r="R697">
        <f>AVERAGE(Table1[total_laid_off])</f>
        <v>236.96936274509804</v>
      </c>
    </row>
    <row r="698" spans="1:18" x14ac:dyDescent="0.25">
      <c r="A698" s="3" t="s">
        <v>796</v>
      </c>
      <c r="B698" t="s">
        <v>327</v>
      </c>
      <c r="C698" t="s">
        <v>64</v>
      </c>
      <c r="D698">
        <v>100</v>
      </c>
      <c r="E698" t="s">
        <v>15</v>
      </c>
      <c r="F698" s="1" t="str">
        <f>IF(Table1[[#This Row],[percentage_laid_off]]=100%,"1","0")</f>
        <v>0</v>
      </c>
      <c r="G698" t="b">
        <v>0</v>
      </c>
      <c r="H698" s="2">
        <v>44587</v>
      </c>
      <c r="I698" s="2" t="str">
        <f>TEXT(Table1[[#This Row],[date]],"dd")</f>
        <v>26</v>
      </c>
      <c r="J698" s="20">
        <f>DATE(2000,MONTH(Table1[[#This Row],[date]]),1)</f>
        <v>36526</v>
      </c>
      <c r="K698" s="18" t="str">
        <f>TEXT(Table1[[#This Row],[date]],"mm")</f>
        <v>01</v>
      </c>
      <c r="L698" s="16" t="s">
        <v>29</v>
      </c>
      <c r="M698">
        <v>2022</v>
      </c>
      <c r="N698" t="s">
        <v>396</v>
      </c>
      <c r="O698" t="s">
        <v>19</v>
      </c>
      <c r="P698">
        <v>3400</v>
      </c>
      <c r="Q698">
        <f>AVERAGE(Table1[funds_raised_millions])</f>
        <v>470.28289473684208</v>
      </c>
      <c r="R698">
        <f>AVERAGE(Table1[total_laid_off])</f>
        <v>236.96936274509804</v>
      </c>
    </row>
    <row r="699" spans="1:18" x14ac:dyDescent="0.25">
      <c r="A699" s="3" t="s">
        <v>796</v>
      </c>
      <c r="B699" t="s">
        <v>327</v>
      </c>
      <c r="C699" t="s">
        <v>64</v>
      </c>
      <c r="D699">
        <v>250</v>
      </c>
      <c r="E699" t="s">
        <v>15</v>
      </c>
      <c r="F699" s="1" t="str">
        <f>IF(Table1[[#This Row],[percentage_laid_off]]=100%,"1","0")</f>
        <v>0</v>
      </c>
      <c r="G699" t="b">
        <v>0</v>
      </c>
      <c r="H699" s="2">
        <v>44853</v>
      </c>
      <c r="I699" s="2" t="str">
        <f>TEXT(Table1[[#This Row],[date]],"dd")</f>
        <v>19</v>
      </c>
      <c r="J699" s="20">
        <f>DATE(2000,MONTH(Table1[[#This Row],[date]]),1)</f>
        <v>36800</v>
      </c>
      <c r="K699" s="18" t="str">
        <f>TEXT(Table1[[#This Row],[date]],"mm")</f>
        <v>10</v>
      </c>
      <c r="L699" s="16" t="s">
        <v>95</v>
      </c>
      <c r="M699">
        <v>2022</v>
      </c>
      <c r="N699" t="s">
        <v>396</v>
      </c>
      <c r="O699" t="s">
        <v>19</v>
      </c>
      <c r="P699">
        <v>3400</v>
      </c>
      <c r="Q699">
        <f>AVERAGE(Table1[funds_raised_millions])</f>
        <v>470.28289473684208</v>
      </c>
      <c r="R699">
        <f>AVERAGE(Table1[total_laid_off])</f>
        <v>236.96936274509804</v>
      </c>
    </row>
    <row r="700" spans="1:18" x14ac:dyDescent="0.25">
      <c r="A700" s="3" t="s">
        <v>796</v>
      </c>
      <c r="B700" t="s">
        <v>327</v>
      </c>
      <c r="C700" t="s">
        <v>64</v>
      </c>
      <c r="D700">
        <v>450</v>
      </c>
      <c r="E700" s="1">
        <v>0.03</v>
      </c>
      <c r="F700" s="1" t="str">
        <f>IF(Table1[[#This Row],[percentage_laid_off]]=100%,"1","0")</f>
        <v>0</v>
      </c>
      <c r="G700" t="s">
        <v>16</v>
      </c>
      <c r="H700" s="2">
        <v>44649</v>
      </c>
      <c r="I700" s="2" t="str">
        <f>TEXT(Table1[[#This Row],[date]],"dd")</f>
        <v>29</v>
      </c>
      <c r="J700" s="20">
        <f>DATE(2000,MONTH(Table1[[#This Row],[date]]),1)</f>
        <v>36586</v>
      </c>
      <c r="K700" s="18" t="str">
        <f>TEXT(Table1[[#This Row],[date]],"mm")</f>
        <v>03</v>
      </c>
      <c r="L700" s="16" t="s">
        <v>57</v>
      </c>
      <c r="M700">
        <v>2022</v>
      </c>
      <c r="N700" t="s">
        <v>396</v>
      </c>
      <c r="O700" t="s">
        <v>19</v>
      </c>
      <c r="P700">
        <v>3400</v>
      </c>
      <c r="Q700">
        <f>AVERAGE(Table1[funds_raised_millions])</f>
        <v>470.28289473684208</v>
      </c>
      <c r="R700">
        <f>AVERAGE(Table1[total_laid_off])</f>
        <v>236.96936274509804</v>
      </c>
    </row>
    <row r="701" spans="1:18" x14ac:dyDescent="0.25">
      <c r="A701" s="3" t="s">
        <v>796</v>
      </c>
      <c r="B701" t="s">
        <v>327</v>
      </c>
      <c r="C701" t="s">
        <v>64</v>
      </c>
      <c r="D701">
        <v>1500</v>
      </c>
      <c r="E701" s="1">
        <v>0.1</v>
      </c>
      <c r="F701" s="1" t="str">
        <f>IF(Table1[[#This Row],[percentage_laid_off]]=100%,"1","0")</f>
        <v>0</v>
      </c>
      <c r="G701" t="s">
        <v>16</v>
      </c>
      <c r="H701" s="2">
        <v>44902</v>
      </c>
      <c r="I701" s="2" t="str">
        <f>TEXT(Table1[[#This Row],[date]],"dd")</f>
        <v>07</v>
      </c>
      <c r="J701" s="20">
        <f>DATE(2000,MONTH(Table1[[#This Row],[date]]),1)</f>
        <v>36861</v>
      </c>
      <c r="K701" s="18" t="str">
        <f>TEXT(Table1[[#This Row],[date]],"mm")</f>
        <v>12</v>
      </c>
      <c r="L701" s="16" t="s">
        <v>61</v>
      </c>
      <c r="M701">
        <v>2022</v>
      </c>
      <c r="N701" t="s">
        <v>396</v>
      </c>
      <c r="O701" t="s">
        <v>19</v>
      </c>
      <c r="P701">
        <v>3400</v>
      </c>
      <c r="Q701">
        <f>AVERAGE(Table1[funds_raised_millions])</f>
        <v>470.28289473684208</v>
      </c>
      <c r="R701">
        <f>AVERAGE(Table1[total_laid_off])</f>
        <v>236.96936274509804</v>
      </c>
    </row>
    <row r="702" spans="1:18" x14ac:dyDescent="0.25">
      <c r="A702" s="3" t="s">
        <v>797</v>
      </c>
      <c r="B702" t="s">
        <v>94</v>
      </c>
      <c r="C702" t="s">
        <v>64</v>
      </c>
      <c r="D702">
        <v>300</v>
      </c>
      <c r="E702" s="1">
        <v>0.5</v>
      </c>
      <c r="F702" s="1" t="str">
        <f>IF(Table1[[#This Row],[percentage_laid_off]]=100%,"1","0")</f>
        <v>0</v>
      </c>
      <c r="G702" t="s">
        <v>28</v>
      </c>
      <c r="H702" s="2">
        <v>44705</v>
      </c>
      <c r="I702" s="2" t="str">
        <f>TEXT(Table1[[#This Row],[date]],"dd")</f>
        <v>24</v>
      </c>
      <c r="J702" s="20">
        <f>DATE(2000,MONTH(Table1[[#This Row],[date]]),1)</f>
        <v>36647</v>
      </c>
      <c r="K702" s="18" t="str">
        <f>TEXT(Table1[[#This Row],[date]],"mm")</f>
        <v>05</v>
      </c>
      <c r="L702" s="16" t="s">
        <v>86</v>
      </c>
      <c r="M702">
        <v>2022</v>
      </c>
      <c r="N702" t="s">
        <v>35</v>
      </c>
      <c r="O702" t="s">
        <v>96</v>
      </c>
      <c r="P702">
        <v>1300</v>
      </c>
      <c r="Q702">
        <f>AVERAGE(Table1[funds_raised_millions])</f>
        <v>470.28289473684208</v>
      </c>
      <c r="R702">
        <f>AVERAGE(Table1[total_laid_off])</f>
        <v>236.96936274509804</v>
      </c>
    </row>
    <row r="703" spans="1:18" x14ac:dyDescent="0.25">
      <c r="A703" s="3" t="s">
        <v>797</v>
      </c>
      <c r="B703" t="s">
        <v>94</v>
      </c>
      <c r="C703" t="s">
        <v>64</v>
      </c>
      <c r="D703">
        <v>540</v>
      </c>
      <c r="E703" t="s">
        <v>15</v>
      </c>
      <c r="F703" s="1" t="str">
        <f>IF(Table1[[#This Row],[percentage_laid_off]]=100%,"1","0")</f>
        <v>0</v>
      </c>
      <c r="G703" t="b">
        <v>0</v>
      </c>
      <c r="H703" s="2">
        <v>44627</v>
      </c>
      <c r="I703" s="2" t="str">
        <f>TEXT(Table1[[#This Row],[date]],"dd")</f>
        <v>07</v>
      </c>
      <c r="J703" s="20">
        <f>DATE(2000,MONTH(Table1[[#This Row],[date]]),1)</f>
        <v>36586</v>
      </c>
      <c r="K703" s="18" t="str">
        <f>TEXT(Table1[[#This Row],[date]],"mm")</f>
        <v>03</v>
      </c>
      <c r="L703" s="16" t="s">
        <v>57</v>
      </c>
      <c r="M703">
        <v>2022</v>
      </c>
      <c r="N703" t="s">
        <v>35</v>
      </c>
      <c r="O703" t="s">
        <v>96</v>
      </c>
      <c r="P703">
        <v>1300</v>
      </c>
      <c r="Q703">
        <f>AVERAGE(Table1[funds_raised_millions])</f>
        <v>470.28289473684208</v>
      </c>
      <c r="R703">
        <f>AVERAGE(Table1[total_laid_off])</f>
        <v>236.96936274509804</v>
      </c>
    </row>
    <row r="704" spans="1:18" x14ac:dyDescent="0.25">
      <c r="A704" s="3" t="s">
        <v>798</v>
      </c>
      <c r="B704" t="s">
        <v>325</v>
      </c>
      <c r="C704" t="s">
        <v>41</v>
      </c>
      <c r="D704">
        <v>23</v>
      </c>
      <c r="E704" s="1">
        <v>0.2</v>
      </c>
      <c r="F704" s="1" t="str">
        <f>IF(Table1[[#This Row],[percentage_laid_off]]=100%,"1","0")</f>
        <v>0</v>
      </c>
      <c r="G704" t="s">
        <v>28</v>
      </c>
      <c r="H704" s="2">
        <v>43916</v>
      </c>
      <c r="I704" s="2" t="str">
        <f>TEXT(Table1[[#This Row],[date]],"dd")</f>
        <v>26</v>
      </c>
      <c r="J704" s="20">
        <f>DATE(2000,MONTH(Table1[[#This Row],[date]]),1)</f>
        <v>36586</v>
      </c>
      <c r="K704" s="18" t="str">
        <f>TEXT(Table1[[#This Row],[date]],"mm")</f>
        <v>03</v>
      </c>
      <c r="L704" s="16" t="s">
        <v>57</v>
      </c>
      <c r="M704">
        <v>2020</v>
      </c>
      <c r="N704" t="s">
        <v>30</v>
      </c>
      <c r="O704" t="s">
        <v>19</v>
      </c>
      <c r="P704">
        <v>47</v>
      </c>
      <c r="Q704">
        <f>AVERAGE(Table1[funds_raised_millions])</f>
        <v>470.28289473684208</v>
      </c>
      <c r="R704">
        <f>AVERAGE(Table1[total_laid_off])</f>
        <v>236.96936274509804</v>
      </c>
    </row>
    <row r="705" spans="1:18" x14ac:dyDescent="0.25">
      <c r="A705" s="3" t="s">
        <v>799</v>
      </c>
      <c r="B705" t="s">
        <v>292</v>
      </c>
      <c r="C705" t="s">
        <v>51</v>
      </c>
      <c r="D705">
        <v>100</v>
      </c>
      <c r="E705" t="s">
        <v>15</v>
      </c>
      <c r="F705" s="1" t="str">
        <f>IF(Table1[[#This Row],[percentage_laid_off]]=100%,"1","0")</f>
        <v>0</v>
      </c>
      <c r="G705" t="b">
        <v>0</v>
      </c>
      <c r="H705" s="2">
        <v>44909</v>
      </c>
      <c r="I705" s="2" t="str">
        <f>TEXT(Table1[[#This Row],[date]],"dd")</f>
        <v>14</v>
      </c>
      <c r="J705" s="20">
        <f>DATE(2000,MONTH(Table1[[#This Row],[date]]),1)</f>
        <v>36861</v>
      </c>
      <c r="K705" s="18" t="str">
        <f>TEXT(Table1[[#This Row],[date]],"mm")</f>
        <v>12</v>
      </c>
      <c r="L705" s="16" t="s">
        <v>61</v>
      </c>
      <c r="M705">
        <v>2022</v>
      </c>
      <c r="N705" t="s">
        <v>43</v>
      </c>
      <c r="O705" t="s">
        <v>293</v>
      </c>
      <c r="P705">
        <v>686</v>
      </c>
      <c r="Q705">
        <f>AVERAGE(Table1[funds_raised_millions])</f>
        <v>470.28289473684208</v>
      </c>
      <c r="R705">
        <f>AVERAGE(Table1[total_laid_off])</f>
        <v>236.96936274509804</v>
      </c>
    </row>
    <row r="706" spans="1:18" x14ac:dyDescent="0.25">
      <c r="A706" s="3" t="s">
        <v>799</v>
      </c>
      <c r="B706" t="s">
        <v>292</v>
      </c>
      <c r="C706" t="s">
        <v>51</v>
      </c>
      <c r="D706">
        <v>200</v>
      </c>
      <c r="E706" t="s">
        <v>15</v>
      </c>
      <c r="F706" s="1" t="str">
        <f>IF(Table1[[#This Row],[percentage_laid_off]]=100%,"1","0")</f>
        <v>0</v>
      </c>
      <c r="G706" t="b">
        <v>0</v>
      </c>
      <c r="H706" s="2">
        <v>44782</v>
      </c>
      <c r="I706" s="2" t="str">
        <f>TEXT(Table1[[#This Row],[date]],"dd")</f>
        <v>09</v>
      </c>
      <c r="J706" s="20">
        <f>DATE(2000,MONTH(Table1[[#This Row],[date]]),1)</f>
        <v>36739</v>
      </c>
      <c r="K706" s="18" t="str">
        <f>TEXT(Table1[[#This Row],[date]],"mm")</f>
        <v>08</v>
      </c>
      <c r="L706" s="16" t="s">
        <v>53</v>
      </c>
      <c r="M706">
        <v>2022</v>
      </c>
      <c r="N706" t="s">
        <v>43</v>
      </c>
      <c r="O706" t="s">
        <v>293</v>
      </c>
      <c r="P706">
        <v>686</v>
      </c>
      <c r="Q706">
        <f>AVERAGE(Table1[funds_raised_millions])</f>
        <v>470.28289473684208</v>
      </c>
      <c r="R706">
        <f>AVERAGE(Table1[total_laid_off])</f>
        <v>236.96936274509804</v>
      </c>
    </row>
    <row r="707" spans="1:18" x14ac:dyDescent="0.25">
      <c r="A707" s="3" t="s">
        <v>800</v>
      </c>
      <c r="B707" t="s">
        <v>129</v>
      </c>
      <c r="C707" t="s">
        <v>69</v>
      </c>
      <c r="D707">
        <v>1300</v>
      </c>
      <c r="E707" s="1">
        <v>0.12</v>
      </c>
      <c r="F707" s="1" t="str">
        <f>IF(Table1[[#This Row],[percentage_laid_off]]=100%,"1","0")</f>
        <v>0</v>
      </c>
      <c r="G707" t="s">
        <v>28</v>
      </c>
      <c r="H707" s="2">
        <v>44845</v>
      </c>
      <c r="I707" s="2" t="str">
        <f>TEXT(Table1[[#This Row],[date]],"dd")</f>
        <v>11</v>
      </c>
      <c r="J707" s="20">
        <f>DATE(2000,MONTH(Table1[[#This Row],[date]]),1)</f>
        <v>36800</v>
      </c>
      <c r="K707" s="18" t="str">
        <f>TEXT(Table1[[#This Row],[date]],"mm")</f>
        <v>10</v>
      </c>
      <c r="L707" s="16" t="s">
        <v>95</v>
      </c>
      <c r="M707">
        <v>2022</v>
      </c>
      <c r="N707" t="s">
        <v>38</v>
      </c>
      <c r="O707" t="s">
        <v>131</v>
      </c>
      <c r="P707">
        <v>1300</v>
      </c>
      <c r="Q707">
        <f>AVERAGE(Table1[funds_raised_millions])</f>
        <v>470.28289473684208</v>
      </c>
      <c r="R707">
        <f>AVERAGE(Table1[total_laid_off])</f>
        <v>236.96936274509804</v>
      </c>
    </row>
    <row r="708" spans="1:18" x14ac:dyDescent="0.25">
      <c r="A708" s="3" t="s">
        <v>801</v>
      </c>
      <c r="B708" t="s">
        <v>111</v>
      </c>
      <c r="C708" t="s">
        <v>69</v>
      </c>
      <c r="D708">
        <v>360</v>
      </c>
      <c r="E708" s="1">
        <v>0.05</v>
      </c>
      <c r="F708" s="1" t="str">
        <f>IF(Table1[[#This Row],[percentage_laid_off]]=100%,"1","0")</f>
        <v>0</v>
      </c>
      <c r="G708" t="s">
        <v>16</v>
      </c>
      <c r="H708" s="2">
        <v>43998</v>
      </c>
      <c r="I708" s="2" t="str">
        <f>TEXT(Table1[[#This Row],[date]],"dd")</f>
        <v>16</v>
      </c>
      <c r="J708" s="20">
        <f>DATE(2000,MONTH(Table1[[#This Row],[date]]),1)</f>
        <v>36678</v>
      </c>
      <c r="K708" s="18" t="str">
        <f>TEXT(Table1[[#This Row],[date]],"mm")</f>
        <v>06</v>
      </c>
      <c r="L708" s="16" t="s">
        <v>73</v>
      </c>
      <c r="M708">
        <v>2020</v>
      </c>
      <c r="N708" t="s">
        <v>802</v>
      </c>
      <c r="O708" t="s">
        <v>111</v>
      </c>
      <c r="P708">
        <v>9900</v>
      </c>
      <c r="Q708">
        <f>AVERAGE(Table1[funds_raised_millions])</f>
        <v>470.28289473684208</v>
      </c>
      <c r="R708">
        <f>AVERAGE(Table1[total_laid_off])</f>
        <v>236.96936274509804</v>
      </c>
    </row>
    <row r="709" spans="1:18" x14ac:dyDescent="0.25">
      <c r="A709" s="3" t="s">
        <v>803</v>
      </c>
      <c r="B709" t="s">
        <v>804</v>
      </c>
      <c r="C709" t="s">
        <v>64</v>
      </c>
      <c r="D709">
        <v>75</v>
      </c>
      <c r="E709" t="s">
        <v>15</v>
      </c>
      <c r="F709" s="1" t="str">
        <f>IF(Table1[[#This Row],[percentage_laid_off]]=100%,"1","0")</f>
        <v>0</v>
      </c>
      <c r="G709" t="b">
        <v>0</v>
      </c>
      <c r="H709" s="2">
        <v>44942</v>
      </c>
      <c r="I709" s="2" t="str">
        <f>TEXT(Table1[[#This Row],[date]],"dd")</f>
        <v>16</v>
      </c>
      <c r="J709" s="20">
        <f>DATE(2000,MONTH(Table1[[#This Row],[date]]),1)</f>
        <v>36526</v>
      </c>
      <c r="K709" s="18" t="str">
        <f>TEXT(Table1[[#This Row],[date]],"mm")</f>
        <v>01</v>
      </c>
      <c r="L709" s="16" t="s">
        <v>29</v>
      </c>
      <c r="M709">
        <v>2023</v>
      </c>
      <c r="N709" t="s">
        <v>30</v>
      </c>
      <c r="O709" t="s">
        <v>83</v>
      </c>
      <c r="P709">
        <v>17</v>
      </c>
      <c r="Q709">
        <f>AVERAGE(Table1[funds_raised_millions])</f>
        <v>470.28289473684208</v>
      </c>
      <c r="R709">
        <f>AVERAGE(Table1[total_laid_off])</f>
        <v>236.96936274509804</v>
      </c>
    </row>
    <row r="710" spans="1:18" x14ac:dyDescent="0.25">
      <c r="A710" s="3" t="s">
        <v>805</v>
      </c>
      <c r="B710" t="s">
        <v>33</v>
      </c>
      <c r="C710" t="s">
        <v>89</v>
      </c>
      <c r="D710">
        <v>20</v>
      </c>
      <c r="E710" s="1">
        <v>0.4</v>
      </c>
      <c r="F710" s="1" t="str">
        <f>IF(Table1[[#This Row],[percentage_laid_off]]=100%,"1","0")</f>
        <v>0</v>
      </c>
      <c r="G710" t="s">
        <v>28</v>
      </c>
      <c r="H710" s="2">
        <v>43913</v>
      </c>
      <c r="I710" s="2" t="str">
        <f>TEXT(Table1[[#This Row],[date]],"dd")</f>
        <v>23</v>
      </c>
      <c r="J710" s="20">
        <f>DATE(2000,MONTH(Table1[[#This Row],[date]]),1)</f>
        <v>36586</v>
      </c>
      <c r="K710" s="18" t="str">
        <f>TEXT(Table1[[#This Row],[date]],"mm")</f>
        <v>03</v>
      </c>
      <c r="L710" s="16" t="s">
        <v>57</v>
      </c>
      <c r="M710">
        <v>2020</v>
      </c>
      <c r="N710" t="s">
        <v>47</v>
      </c>
      <c r="O710" t="s">
        <v>19</v>
      </c>
      <c r="P710">
        <v>7</v>
      </c>
      <c r="Q710">
        <f>AVERAGE(Table1[funds_raised_millions])</f>
        <v>470.28289473684208</v>
      </c>
      <c r="R710">
        <f>AVERAGE(Table1[total_laid_off])</f>
        <v>236.96936274509804</v>
      </c>
    </row>
    <row r="711" spans="1:18" x14ac:dyDescent="0.25">
      <c r="A711" s="3" t="s">
        <v>806</v>
      </c>
      <c r="B711" t="s">
        <v>40</v>
      </c>
      <c r="C711" t="s">
        <v>167</v>
      </c>
      <c r="D711">
        <v>120</v>
      </c>
      <c r="E711" s="1">
        <v>0.28000000000000003</v>
      </c>
      <c r="F711" s="1" t="str">
        <f>IF(Table1[[#This Row],[percentage_laid_off]]=100%,"1","0")</f>
        <v>0</v>
      </c>
      <c r="G711" t="s">
        <v>28</v>
      </c>
      <c r="H711" s="2">
        <v>43938</v>
      </c>
      <c r="I711" s="2" t="str">
        <f>TEXT(Table1[[#This Row],[date]],"dd")</f>
        <v>17</v>
      </c>
      <c r="J711" s="20">
        <f>DATE(2000,MONTH(Table1[[#This Row],[date]]),1)</f>
        <v>36617</v>
      </c>
      <c r="K711" s="18" t="str">
        <f>TEXT(Table1[[#This Row],[date]],"mm")</f>
        <v>04</v>
      </c>
      <c r="L711" s="16" t="s">
        <v>37</v>
      </c>
      <c r="M711">
        <v>2020</v>
      </c>
      <c r="N711" t="s">
        <v>43</v>
      </c>
      <c r="O711" t="s">
        <v>19</v>
      </c>
      <c r="P711">
        <v>110</v>
      </c>
      <c r="Q711">
        <f>AVERAGE(Table1[funds_raised_millions])</f>
        <v>470.28289473684208</v>
      </c>
      <c r="R711">
        <f>AVERAGE(Table1[total_laid_off])</f>
        <v>236.96936274509804</v>
      </c>
    </row>
    <row r="712" spans="1:18" x14ac:dyDescent="0.25">
      <c r="A712" s="3" t="s">
        <v>807</v>
      </c>
      <c r="B712" t="s">
        <v>213</v>
      </c>
      <c r="C712" t="s">
        <v>82</v>
      </c>
      <c r="D712">
        <v>104</v>
      </c>
      <c r="E712" s="1">
        <v>0.21</v>
      </c>
      <c r="F712" s="1" t="str">
        <f>IF(Table1[[#This Row],[percentage_laid_off]]=100%,"1","0")</f>
        <v>0</v>
      </c>
      <c r="G712" t="s">
        <v>28</v>
      </c>
      <c r="H712" s="2">
        <v>45261</v>
      </c>
      <c r="I712" s="2" t="str">
        <f>TEXT(Table1[[#This Row],[date]],"dd")</f>
        <v>01</v>
      </c>
      <c r="J712" s="20">
        <f>DATE(2000,MONTH(Table1[[#This Row],[date]]),1)</f>
        <v>36861</v>
      </c>
      <c r="K712" s="18" t="str">
        <f>TEXT(Table1[[#This Row],[date]],"mm")</f>
        <v>12</v>
      </c>
      <c r="L712" s="16" t="s">
        <v>61</v>
      </c>
      <c r="M712">
        <v>2023</v>
      </c>
      <c r="N712" t="s">
        <v>43</v>
      </c>
      <c r="O712" t="s">
        <v>19</v>
      </c>
      <c r="P712">
        <v>556</v>
      </c>
      <c r="Q712">
        <f>AVERAGE(Table1[funds_raised_millions])</f>
        <v>470.28289473684208</v>
      </c>
      <c r="R712">
        <f>AVERAGE(Table1[total_laid_off])</f>
        <v>236.96936274509804</v>
      </c>
    </row>
    <row r="713" spans="1:18" x14ac:dyDescent="0.25">
      <c r="A713" s="3" t="s">
        <v>808</v>
      </c>
      <c r="B713" t="s">
        <v>583</v>
      </c>
      <c r="C713" t="s">
        <v>22</v>
      </c>
      <c r="D713">
        <v>60</v>
      </c>
      <c r="E713" s="1">
        <v>0.13</v>
      </c>
      <c r="F713" s="1" t="str">
        <f>IF(Table1[[#This Row],[percentage_laid_off]]=100%,"1","0")</f>
        <v>0</v>
      </c>
      <c r="G713" t="s">
        <v>28</v>
      </c>
      <c r="H713" s="2">
        <v>44895</v>
      </c>
      <c r="I713" s="2" t="str">
        <f>TEXT(Table1[[#This Row],[date]],"dd")</f>
        <v>30</v>
      </c>
      <c r="J713" s="20">
        <f>DATE(2000,MONTH(Table1[[#This Row],[date]]),1)</f>
        <v>36831</v>
      </c>
      <c r="K713" s="18" t="str">
        <f>TEXT(Table1[[#This Row],[date]],"mm")</f>
        <v>11</v>
      </c>
      <c r="L713" s="16" t="s">
        <v>23</v>
      </c>
      <c r="M713">
        <v>2022</v>
      </c>
      <c r="N713" t="s">
        <v>30</v>
      </c>
      <c r="O713" t="s">
        <v>19</v>
      </c>
      <c r="P713">
        <v>145</v>
      </c>
      <c r="Q713">
        <f>AVERAGE(Table1[funds_raised_millions])</f>
        <v>470.28289473684208</v>
      </c>
      <c r="R713">
        <f>AVERAGE(Table1[total_laid_off])</f>
        <v>236.96936274509804</v>
      </c>
    </row>
    <row r="714" spans="1:18" x14ac:dyDescent="0.25">
      <c r="A714" s="3" t="s">
        <v>809</v>
      </c>
      <c r="B714" t="s">
        <v>40</v>
      </c>
      <c r="C714" t="s">
        <v>78</v>
      </c>
      <c r="D714">
        <v>50</v>
      </c>
      <c r="E714" s="1">
        <v>7.0000000000000007E-2</v>
      </c>
      <c r="F714" s="1" t="str">
        <f>IF(Table1[[#This Row],[percentage_laid_off]]=100%,"1","0")</f>
        <v>0</v>
      </c>
      <c r="G714" t="s">
        <v>16</v>
      </c>
      <c r="H714" s="2">
        <v>44016</v>
      </c>
      <c r="I714" s="2" t="str">
        <f>TEXT(Table1[[#This Row],[date]],"dd")</f>
        <v>04</v>
      </c>
      <c r="J714" s="20">
        <f>DATE(2000,MONTH(Table1[[#This Row],[date]]),1)</f>
        <v>36708</v>
      </c>
      <c r="K714" s="18" t="str">
        <f>TEXT(Table1[[#This Row],[date]],"mm")</f>
        <v>07</v>
      </c>
      <c r="L714" s="16" t="s">
        <v>17</v>
      </c>
      <c r="M714">
        <v>2020</v>
      </c>
      <c r="N714" t="s">
        <v>47</v>
      </c>
      <c r="O714" t="s">
        <v>19</v>
      </c>
      <c r="P714">
        <v>190</v>
      </c>
      <c r="Q714">
        <f>AVERAGE(Table1[funds_raised_millions])</f>
        <v>470.28289473684208</v>
      </c>
      <c r="R714">
        <f>AVERAGE(Table1[total_laid_off])</f>
        <v>236.96936274509804</v>
      </c>
    </row>
    <row r="715" spans="1:18" x14ac:dyDescent="0.25">
      <c r="A715" s="3" t="s">
        <v>810</v>
      </c>
      <c r="B715" t="s">
        <v>91</v>
      </c>
      <c r="C715" t="s">
        <v>41</v>
      </c>
      <c r="D715">
        <v>500</v>
      </c>
      <c r="E715" t="s">
        <v>15</v>
      </c>
      <c r="F715" s="1" t="str">
        <f>IF(Table1[[#This Row],[percentage_laid_off]]=100%,"1","0")</f>
        <v>0</v>
      </c>
      <c r="G715" t="b">
        <v>0</v>
      </c>
      <c r="H715" s="2">
        <v>44956</v>
      </c>
      <c r="I715" s="2" t="str">
        <f>TEXT(Table1[[#This Row],[date]],"dd")</f>
        <v>30</v>
      </c>
      <c r="J715" s="20">
        <f>DATE(2000,MONTH(Table1[[#This Row],[date]]),1)</f>
        <v>36526</v>
      </c>
      <c r="K715" s="18" t="str">
        <f>TEXT(Table1[[#This Row],[date]],"mm")</f>
        <v>01</v>
      </c>
      <c r="L715" s="16" t="s">
        <v>29</v>
      </c>
      <c r="M715">
        <v>2023</v>
      </c>
      <c r="N715" t="s">
        <v>38</v>
      </c>
      <c r="O715" t="s">
        <v>19</v>
      </c>
      <c r="P715">
        <v>1400</v>
      </c>
      <c r="Q715">
        <f>AVERAGE(Table1[funds_raised_millions])</f>
        <v>470.28289473684208</v>
      </c>
      <c r="R715">
        <f>AVERAGE(Table1[total_laid_off])</f>
        <v>236.96936274509804</v>
      </c>
    </row>
    <row r="716" spans="1:18" x14ac:dyDescent="0.25">
      <c r="A716" s="3" t="s">
        <v>810</v>
      </c>
      <c r="B716" t="s">
        <v>91</v>
      </c>
      <c r="C716" t="s">
        <v>41</v>
      </c>
      <c r="D716">
        <v>500</v>
      </c>
      <c r="E716" s="1">
        <v>0.15</v>
      </c>
      <c r="F716" s="1" t="str">
        <f>IF(Table1[[#This Row],[percentage_laid_off]]=100%,"1","0")</f>
        <v>0</v>
      </c>
      <c r="G716" t="s">
        <v>28</v>
      </c>
      <c r="H716" s="2">
        <v>44781</v>
      </c>
      <c r="I716" s="2" t="str">
        <f>TEXT(Table1[[#This Row],[date]],"dd")</f>
        <v>08</v>
      </c>
      <c r="J716" s="20">
        <f>DATE(2000,MONTH(Table1[[#This Row],[date]]),1)</f>
        <v>36739</v>
      </c>
      <c r="K716" s="18" t="str">
        <f>TEXT(Table1[[#This Row],[date]],"mm")</f>
        <v>08</v>
      </c>
      <c r="L716" s="16" t="s">
        <v>53</v>
      </c>
      <c r="M716">
        <v>2022</v>
      </c>
      <c r="N716" t="s">
        <v>38</v>
      </c>
      <c r="O716" t="s">
        <v>19</v>
      </c>
      <c r="P716">
        <v>1400</v>
      </c>
      <c r="Q716">
        <f>AVERAGE(Table1[funds_raised_millions])</f>
        <v>470.28289473684208</v>
      </c>
      <c r="R716">
        <f>AVERAGE(Table1[total_laid_off])</f>
        <v>236.96936274509804</v>
      </c>
    </row>
    <row r="717" spans="1:18" x14ac:dyDescent="0.25">
      <c r="A717" s="3" t="s">
        <v>810</v>
      </c>
      <c r="B717" t="s">
        <v>91</v>
      </c>
      <c r="C717" t="s">
        <v>41</v>
      </c>
      <c r="D717">
        <v>2800</v>
      </c>
      <c r="E717" s="1">
        <v>0.44</v>
      </c>
      <c r="F717" s="1" t="str">
        <f>IF(Table1[[#This Row],[percentage_laid_off]]=100%,"1","0")</f>
        <v>0</v>
      </c>
      <c r="G717" t="s">
        <v>28</v>
      </c>
      <c r="H717" s="2">
        <v>43934</v>
      </c>
      <c r="I717" s="2" t="str">
        <f>TEXT(Table1[[#This Row],[date]],"dd")</f>
        <v>13</v>
      </c>
      <c r="J717" s="20">
        <f>DATE(2000,MONTH(Table1[[#This Row],[date]]),1)</f>
        <v>36617</v>
      </c>
      <c r="K717" s="18" t="str">
        <f>TEXT(Table1[[#This Row],[date]],"mm")</f>
        <v>04</v>
      </c>
      <c r="L717" s="16" t="s">
        <v>37</v>
      </c>
      <c r="M717">
        <v>2020</v>
      </c>
      <c r="N717" t="s">
        <v>38</v>
      </c>
      <c r="O717" t="s">
        <v>19</v>
      </c>
      <c r="P717">
        <v>1400</v>
      </c>
      <c r="Q717">
        <f>AVERAGE(Table1[funds_raised_millions])</f>
        <v>470.28289473684208</v>
      </c>
      <c r="R717">
        <f>AVERAGE(Table1[total_laid_off])</f>
        <v>236.96936274509804</v>
      </c>
    </row>
    <row r="718" spans="1:18" x14ac:dyDescent="0.25">
      <c r="A718" s="3" t="s">
        <v>811</v>
      </c>
      <c r="B718" t="s">
        <v>13</v>
      </c>
      <c r="C718" t="s">
        <v>41</v>
      </c>
      <c r="D718" t="s">
        <v>15</v>
      </c>
      <c r="E718" s="1">
        <v>0.17</v>
      </c>
      <c r="F718" s="1" t="str">
        <f>IF(Table1[[#This Row],[percentage_laid_off]]=100%,"1","0")</f>
        <v>0</v>
      </c>
      <c r="G718" t="s">
        <v>28</v>
      </c>
      <c r="H718" s="2">
        <v>44639</v>
      </c>
      <c r="I718" s="2" t="str">
        <f>TEXT(Table1[[#This Row],[date]],"dd")</f>
        <v>19</v>
      </c>
      <c r="J718" s="20">
        <f>DATE(2000,MONTH(Table1[[#This Row],[date]]),1)</f>
        <v>36586</v>
      </c>
      <c r="K718" s="18" t="str">
        <f>TEXT(Table1[[#This Row],[date]],"mm")</f>
        <v>03</v>
      </c>
      <c r="L718" s="16" t="s">
        <v>57</v>
      </c>
      <c r="M718">
        <v>2022</v>
      </c>
      <c r="N718" t="s">
        <v>18</v>
      </c>
      <c r="O718" t="s">
        <v>19</v>
      </c>
      <c r="P718">
        <v>474</v>
      </c>
      <c r="Q718">
        <f>AVERAGE(Table1[funds_raised_millions])</f>
        <v>470.28289473684208</v>
      </c>
      <c r="R718">
        <f>AVERAGE(Table1[total_laid_off])</f>
        <v>236.96936274509804</v>
      </c>
    </row>
    <row r="719" spans="1:18" x14ac:dyDescent="0.25">
      <c r="A719" s="3" t="s">
        <v>812</v>
      </c>
      <c r="B719" t="s">
        <v>94</v>
      </c>
      <c r="C719" t="s">
        <v>41</v>
      </c>
      <c r="D719">
        <v>40</v>
      </c>
      <c r="E719" s="1">
        <v>0.1</v>
      </c>
      <c r="F719" s="1" t="str">
        <f>IF(Table1[[#This Row],[percentage_laid_off]]=100%,"1","0")</f>
        <v>0</v>
      </c>
      <c r="G719" t="s">
        <v>16</v>
      </c>
      <c r="H719" s="2">
        <v>44754</v>
      </c>
      <c r="I719" s="2" t="str">
        <f>TEXT(Table1[[#This Row],[date]],"dd")</f>
        <v>12</v>
      </c>
      <c r="J719" s="20">
        <f>DATE(2000,MONTH(Table1[[#This Row],[date]]),1)</f>
        <v>36708</v>
      </c>
      <c r="K719" s="18" t="str">
        <f>TEXT(Table1[[#This Row],[date]],"mm")</f>
        <v>07</v>
      </c>
      <c r="L719" s="16" t="s">
        <v>17</v>
      </c>
      <c r="M719">
        <v>2022</v>
      </c>
      <c r="N719" t="s">
        <v>47</v>
      </c>
      <c r="O719" t="s">
        <v>19</v>
      </c>
      <c r="P719">
        <v>2300</v>
      </c>
      <c r="Q719">
        <f>AVERAGE(Table1[funds_raised_millions])</f>
        <v>470.28289473684208</v>
      </c>
      <c r="R719">
        <f>AVERAGE(Table1[total_laid_off])</f>
        <v>236.96936274509804</v>
      </c>
    </row>
    <row r="720" spans="1:18" x14ac:dyDescent="0.25">
      <c r="A720" s="3" t="s">
        <v>813</v>
      </c>
      <c r="B720" t="s">
        <v>13</v>
      </c>
      <c r="C720" t="s">
        <v>14</v>
      </c>
      <c r="D720">
        <v>130</v>
      </c>
      <c r="E720" s="1">
        <v>7.0000000000000007E-2</v>
      </c>
      <c r="F720" s="1" t="str">
        <f>IF(Table1[[#This Row],[percentage_laid_off]]=100%,"1","0")</f>
        <v>0</v>
      </c>
      <c r="G720" t="s">
        <v>16</v>
      </c>
      <c r="H720" s="2">
        <v>44951</v>
      </c>
      <c r="I720" s="2" t="str">
        <f>TEXT(Table1[[#This Row],[date]],"dd")</f>
        <v>25</v>
      </c>
      <c r="J720" s="20">
        <f>DATE(2000,MONTH(Table1[[#This Row],[date]]),1)</f>
        <v>36526</v>
      </c>
      <c r="K720" s="18" t="str">
        <f>TEXT(Table1[[#This Row],[date]],"mm")</f>
        <v>01</v>
      </c>
      <c r="L720" s="16" t="s">
        <v>29</v>
      </c>
      <c r="M720">
        <v>2023</v>
      </c>
      <c r="N720" t="s">
        <v>38</v>
      </c>
      <c r="O720" t="s">
        <v>19</v>
      </c>
      <c r="P720">
        <v>550</v>
      </c>
      <c r="Q720">
        <f>AVERAGE(Table1[funds_raised_millions])</f>
        <v>470.28289473684208</v>
      </c>
      <c r="R720">
        <f>AVERAGE(Table1[total_laid_off])</f>
        <v>236.96936274509804</v>
      </c>
    </row>
    <row r="721" spans="1:18" x14ac:dyDescent="0.25">
      <c r="A721" s="3" t="s">
        <v>814</v>
      </c>
      <c r="B721" t="s">
        <v>13</v>
      </c>
      <c r="C721" t="s">
        <v>82</v>
      </c>
      <c r="D721" t="s">
        <v>15</v>
      </c>
      <c r="E721" s="1">
        <v>0.02</v>
      </c>
      <c r="F721" s="1" t="str">
        <f>IF(Table1[[#This Row],[percentage_laid_off]]=100%,"1","0")</f>
        <v>0</v>
      </c>
      <c r="G721" t="s">
        <v>16</v>
      </c>
      <c r="H721" s="2">
        <v>44873</v>
      </c>
      <c r="I721" s="2" t="str">
        <f>TEXT(Table1[[#This Row],[date]],"dd")</f>
        <v>08</v>
      </c>
      <c r="J721" s="20">
        <f>DATE(2000,MONTH(Table1[[#This Row],[date]]),1)</f>
        <v>36831</v>
      </c>
      <c r="K721" s="18" t="str">
        <f>TEXT(Table1[[#This Row],[date]],"mm")</f>
        <v>11</v>
      </c>
      <c r="L721" s="16" t="s">
        <v>23</v>
      </c>
      <c r="M721">
        <v>2022</v>
      </c>
      <c r="N721" t="s">
        <v>38</v>
      </c>
      <c r="O721" t="s">
        <v>19</v>
      </c>
      <c r="P721">
        <v>24</v>
      </c>
      <c r="Q721">
        <f>AVERAGE(Table1[funds_raised_millions])</f>
        <v>470.28289473684208</v>
      </c>
      <c r="R721">
        <f>AVERAGE(Table1[total_laid_off])</f>
        <v>236.96936274509804</v>
      </c>
    </row>
    <row r="722" spans="1:18" x14ac:dyDescent="0.25">
      <c r="A722" s="3" t="s">
        <v>815</v>
      </c>
      <c r="B722" t="s">
        <v>33</v>
      </c>
      <c r="C722" t="s">
        <v>22</v>
      </c>
      <c r="D722">
        <v>90</v>
      </c>
      <c r="E722" s="1">
        <v>0.25</v>
      </c>
      <c r="F722" s="1" t="str">
        <f>IF(Table1[[#This Row],[percentage_laid_off]]=100%,"1","0")</f>
        <v>0</v>
      </c>
      <c r="G722" t="s">
        <v>28</v>
      </c>
      <c r="H722" s="2">
        <v>43941</v>
      </c>
      <c r="I722" s="2" t="str">
        <f>TEXT(Table1[[#This Row],[date]],"dd")</f>
        <v>20</v>
      </c>
      <c r="J722" s="20">
        <f>DATE(2000,MONTH(Table1[[#This Row],[date]]),1)</f>
        <v>36617</v>
      </c>
      <c r="K722" s="18" t="str">
        <f>TEXT(Table1[[#This Row],[date]],"mm")</f>
        <v>04</v>
      </c>
      <c r="L722" s="16" t="s">
        <v>37</v>
      </c>
      <c r="M722">
        <v>2020</v>
      </c>
      <c r="N722" t="s">
        <v>43</v>
      </c>
      <c r="O722" t="s">
        <v>19</v>
      </c>
      <c r="P722">
        <v>58</v>
      </c>
      <c r="Q722">
        <f>AVERAGE(Table1[funds_raised_millions])</f>
        <v>470.28289473684208</v>
      </c>
      <c r="R722">
        <f>AVERAGE(Table1[total_laid_off])</f>
        <v>236.96936274509804</v>
      </c>
    </row>
    <row r="723" spans="1:18" x14ac:dyDescent="0.25">
      <c r="A723" s="3" t="s">
        <v>816</v>
      </c>
      <c r="B723" t="s">
        <v>13</v>
      </c>
      <c r="C723" t="s">
        <v>190</v>
      </c>
      <c r="D723">
        <v>126</v>
      </c>
      <c r="E723" s="1">
        <v>0.05</v>
      </c>
      <c r="F723" s="1" t="str">
        <f>IF(Table1[[#This Row],[percentage_laid_off]]=100%,"1","0")</f>
        <v>0</v>
      </c>
      <c r="G723" t="s">
        <v>16</v>
      </c>
      <c r="H723" s="2">
        <v>45140</v>
      </c>
      <c r="I723" s="2" t="str">
        <f>TEXT(Table1[[#This Row],[date]],"dd")</f>
        <v>02</v>
      </c>
      <c r="J723" s="20">
        <f>DATE(2000,MONTH(Table1[[#This Row],[date]]),1)</f>
        <v>36739</v>
      </c>
      <c r="K723" s="18" t="str">
        <f>TEXT(Table1[[#This Row],[date]],"mm")</f>
        <v>08</v>
      </c>
      <c r="L723" s="16" t="s">
        <v>53</v>
      </c>
      <c r="M723">
        <v>2023</v>
      </c>
      <c r="N723" t="s">
        <v>18</v>
      </c>
      <c r="O723" t="s">
        <v>19</v>
      </c>
      <c r="P723">
        <v>746</v>
      </c>
      <c r="Q723">
        <f>AVERAGE(Table1[funds_raised_millions])</f>
        <v>470.28289473684208</v>
      </c>
      <c r="R723">
        <f>AVERAGE(Table1[total_laid_off])</f>
        <v>236.96936274509804</v>
      </c>
    </row>
    <row r="724" spans="1:18" x14ac:dyDescent="0.25">
      <c r="A724" s="3" t="s">
        <v>817</v>
      </c>
      <c r="B724" t="s">
        <v>45</v>
      </c>
      <c r="C724" t="s">
        <v>468</v>
      </c>
      <c r="D724">
        <v>467</v>
      </c>
      <c r="E724" s="1">
        <v>0.33</v>
      </c>
      <c r="F724" s="1" t="str">
        <f>IF(Table1[[#This Row],[percentage_laid_off]]=100%,"1","0")</f>
        <v>0</v>
      </c>
      <c r="G724" t="s">
        <v>28</v>
      </c>
      <c r="H724" s="2">
        <v>43894</v>
      </c>
      <c r="I724" s="2" t="str">
        <f>TEXT(Table1[[#This Row],[date]],"dd")</f>
        <v>04</v>
      </c>
      <c r="J724" s="20">
        <f>DATE(2000,MONTH(Table1[[#This Row],[date]]),1)</f>
        <v>36586</v>
      </c>
      <c r="K724" s="18" t="str">
        <f>TEXT(Table1[[#This Row],[date]],"mm")</f>
        <v>03</v>
      </c>
      <c r="L724" s="16" t="s">
        <v>57</v>
      </c>
      <c r="M724">
        <v>2020</v>
      </c>
      <c r="N724" t="s">
        <v>43</v>
      </c>
      <c r="O724" t="s">
        <v>48</v>
      </c>
      <c r="P724">
        <v>300</v>
      </c>
      <c r="Q724">
        <f>AVERAGE(Table1[funds_raised_millions])</f>
        <v>470.28289473684208</v>
      </c>
      <c r="R724">
        <f>AVERAGE(Table1[total_laid_off])</f>
        <v>236.96936274509804</v>
      </c>
    </row>
    <row r="725" spans="1:18" x14ac:dyDescent="0.25">
      <c r="A725" s="3" t="s">
        <v>818</v>
      </c>
      <c r="B725" t="s">
        <v>13</v>
      </c>
      <c r="C725" t="s">
        <v>190</v>
      </c>
      <c r="D725" t="s">
        <v>15</v>
      </c>
      <c r="E725" s="1">
        <v>0.08</v>
      </c>
      <c r="F725" s="1" t="str">
        <f>IF(Table1[[#This Row],[percentage_laid_off]]=100%,"1","0")</f>
        <v>0</v>
      </c>
      <c r="G725" t="s">
        <v>16</v>
      </c>
      <c r="H725" s="2">
        <v>44971</v>
      </c>
      <c r="I725" s="2" t="str">
        <f>TEXT(Table1[[#This Row],[date]],"dd")</f>
        <v>14</v>
      </c>
      <c r="J725" s="20">
        <f>DATE(2000,MONTH(Table1[[#This Row],[date]]),1)</f>
        <v>36557</v>
      </c>
      <c r="K725" s="18" t="str">
        <f>TEXT(Table1[[#This Row],[date]],"mm")</f>
        <v>02</v>
      </c>
      <c r="L725" s="16" t="s">
        <v>42</v>
      </c>
      <c r="M725">
        <v>2023</v>
      </c>
      <c r="N725" t="s">
        <v>30</v>
      </c>
      <c r="O725" t="s">
        <v>19</v>
      </c>
      <c r="P725">
        <v>11</v>
      </c>
      <c r="Q725">
        <f>AVERAGE(Table1[funds_raised_millions])</f>
        <v>470.28289473684208</v>
      </c>
      <c r="R725">
        <f>AVERAGE(Table1[total_laid_off])</f>
        <v>236.96936274509804</v>
      </c>
    </row>
    <row r="726" spans="1:18" x14ac:dyDescent="0.25">
      <c r="A726" s="3" t="s">
        <v>819</v>
      </c>
      <c r="B726" t="s">
        <v>40</v>
      </c>
      <c r="C726" t="s">
        <v>14</v>
      </c>
      <c r="D726" t="s">
        <v>15</v>
      </c>
      <c r="E726" s="1">
        <v>1</v>
      </c>
      <c r="F726" s="1" t="str">
        <f>IF(Table1[[#This Row],[percentage_laid_off]]=100%,"1","0")</f>
        <v>1</v>
      </c>
      <c r="G726" t="s">
        <v>114</v>
      </c>
      <c r="H726" s="2">
        <v>44666</v>
      </c>
      <c r="I726" s="2" t="str">
        <f>TEXT(Table1[[#This Row],[date]],"dd")</f>
        <v>15</v>
      </c>
      <c r="J726" s="20">
        <f>DATE(2000,MONTH(Table1[[#This Row],[date]]),1)</f>
        <v>36617</v>
      </c>
      <c r="K726" s="18" t="str">
        <f>TEXT(Table1[[#This Row],[date]],"mm")</f>
        <v>04</v>
      </c>
      <c r="L726" s="16" t="s">
        <v>37</v>
      </c>
      <c r="M726">
        <v>2022</v>
      </c>
      <c r="N726" t="s">
        <v>47</v>
      </c>
      <c r="O726" t="s">
        <v>19</v>
      </c>
      <c r="P726">
        <v>2</v>
      </c>
      <c r="Q726">
        <f>AVERAGE(Table1[funds_raised_millions])</f>
        <v>470.28289473684208</v>
      </c>
      <c r="R726">
        <f>AVERAGE(Table1[total_laid_off])</f>
        <v>236.96936274509804</v>
      </c>
    </row>
    <row r="727" spans="1:18" x14ac:dyDescent="0.25">
      <c r="A727" s="3" t="s">
        <v>820</v>
      </c>
      <c r="B727" t="s">
        <v>33</v>
      </c>
      <c r="C727" t="s">
        <v>82</v>
      </c>
      <c r="D727">
        <v>158</v>
      </c>
      <c r="E727" s="1">
        <v>0.34</v>
      </c>
      <c r="F727" s="1" t="str">
        <f>IF(Table1[[#This Row],[percentage_laid_off]]=100%,"1","0")</f>
        <v>0</v>
      </c>
      <c r="G727" t="s">
        <v>28</v>
      </c>
      <c r="H727" s="2">
        <v>44895</v>
      </c>
      <c r="I727" s="2" t="str">
        <f>TEXT(Table1[[#This Row],[date]],"dd")</f>
        <v>30</v>
      </c>
      <c r="J727" s="20">
        <f>DATE(2000,MONTH(Table1[[#This Row],[date]]),1)</f>
        <v>36831</v>
      </c>
      <c r="K727" s="18" t="str">
        <f>TEXT(Table1[[#This Row],[date]],"mm")</f>
        <v>11</v>
      </c>
      <c r="L727" s="16" t="s">
        <v>23</v>
      </c>
      <c r="M727">
        <v>2022</v>
      </c>
      <c r="N727" t="s">
        <v>43</v>
      </c>
      <c r="O727" t="s">
        <v>19</v>
      </c>
      <c r="P727">
        <v>191</v>
      </c>
      <c r="Q727">
        <f>AVERAGE(Table1[funds_raised_millions])</f>
        <v>470.28289473684208</v>
      </c>
      <c r="R727">
        <f>AVERAGE(Table1[total_laid_off])</f>
        <v>236.96936274509804</v>
      </c>
    </row>
    <row r="728" spans="1:18" x14ac:dyDescent="0.25">
      <c r="A728" s="3" t="s">
        <v>821</v>
      </c>
      <c r="B728" t="s">
        <v>354</v>
      </c>
      <c r="C728" t="s">
        <v>51</v>
      </c>
      <c r="D728">
        <v>60</v>
      </c>
      <c r="E728" s="1">
        <v>0.3</v>
      </c>
      <c r="F728" s="1" t="str">
        <f>IF(Table1[[#This Row],[percentage_laid_off]]=100%,"1","0")</f>
        <v>0</v>
      </c>
      <c r="G728" t="s">
        <v>28</v>
      </c>
      <c r="H728" s="2">
        <v>44986</v>
      </c>
      <c r="I728" s="2" t="str">
        <f>TEXT(Table1[[#This Row],[date]],"dd")</f>
        <v>01</v>
      </c>
      <c r="J728" s="20">
        <f>DATE(2000,MONTH(Table1[[#This Row],[date]]),1)</f>
        <v>36586</v>
      </c>
      <c r="K728" s="18" t="str">
        <f>TEXT(Table1[[#This Row],[date]],"mm")</f>
        <v>03</v>
      </c>
      <c r="L728" s="16" t="s">
        <v>57</v>
      </c>
      <c r="M728">
        <v>2023</v>
      </c>
      <c r="N728" t="s">
        <v>71</v>
      </c>
      <c r="O728" t="s">
        <v>83</v>
      </c>
      <c r="P728" t="s">
        <v>15</v>
      </c>
      <c r="Q728">
        <f>AVERAGE(Table1[funds_raised_millions])</f>
        <v>470.28289473684208</v>
      </c>
      <c r="R728">
        <f>AVERAGE(Table1[total_laid_off])</f>
        <v>236.96936274509804</v>
      </c>
    </row>
    <row r="729" spans="1:18" x14ac:dyDescent="0.25">
      <c r="A729" s="3" t="s">
        <v>822</v>
      </c>
      <c r="B729" t="s">
        <v>45</v>
      </c>
      <c r="C729" t="s">
        <v>82</v>
      </c>
      <c r="D729">
        <v>58</v>
      </c>
      <c r="E729" s="1">
        <v>0.5</v>
      </c>
      <c r="F729" s="1" t="str">
        <f>IF(Table1[[#This Row],[percentage_laid_off]]=100%,"1","0")</f>
        <v>0</v>
      </c>
      <c r="G729" t="s">
        <v>28</v>
      </c>
      <c r="H729" s="2">
        <v>44569</v>
      </c>
      <c r="I729" s="2" t="str">
        <f>TEXT(Table1[[#This Row],[date]],"dd")</f>
        <v>08</v>
      </c>
      <c r="J729" s="20">
        <f>DATE(2000,MONTH(Table1[[#This Row],[date]]),1)</f>
        <v>36526</v>
      </c>
      <c r="K729" s="18" t="str">
        <f>TEXT(Table1[[#This Row],[date]],"mm")</f>
        <v>01</v>
      </c>
      <c r="L729" s="16" t="s">
        <v>29</v>
      </c>
      <c r="M729">
        <v>2022</v>
      </c>
      <c r="N729" t="s">
        <v>35</v>
      </c>
      <c r="O729" t="s">
        <v>48</v>
      </c>
      <c r="P729">
        <v>58</v>
      </c>
      <c r="Q729">
        <f>AVERAGE(Table1[funds_raised_millions])</f>
        <v>470.28289473684208</v>
      </c>
      <c r="R729">
        <f>AVERAGE(Table1[total_laid_off])</f>
        <v>236.96936274509804</v>
      </c>
    </row>
    <row r="730" spans="1:18" x14ac:dyDescent="0.25">
      <c r="A730" s="3" t="s">
        <v>823</v>
      </c>
      <c r="B730" t="s">
        <v>13</v>
      </c>
      <c r="C730" t="s">
        <v>181</v>
      </c>
      <c r="D730">
        <v>69</v>
      </c>
      <c r="E730" t="s">
        <v>15</v>
      </c>
      <c r="F730" s="1" t="str">
        <f>IF(Table1[[#This Row],[percentage_laid_off]]=100%,"1","0")</f>
        <v>0</v>
      </c>
      <c r="G730" t="b">
        <v>0</v>
      </c>
      <c r="H730" s="2">
        <v>45231</v>
      </c>
      <c r="I730" s="2" t="str">
        <f>TEXT(Table1[[#This Row],[date]],"dd")</f>
        <v>01</v>
      </c>
      <c r="J730" s="20">
        <f>DATE(2000,MONTH(Table1[[#This Row],[date]]),1)</f>
        <v>36831</v>
      </c>
      <c r="K730" s="18" t="str">
        <f>TEXT(Table1[[#This Row],[date]],"mm")</f>
        <v>11</v>
      </c>
      <c r="L730" s="16" t="s">
        <v>23</v>
      </c>
      <c r="M730">
        <v>2023</v>
      </c>
      <c r="N730" t="s">
        <v>38</v>
      </c>
      <c r="O730" t="s">
        <v>19</v>
      </c>
      <c r="P730">
        <v>349</v>
      </c>
      <c r="Q730">
        <f>AVERAGE(Table1[funds_raised_millions])</f>
        <v>470.28289473684208</v>
      </c>
      <c r="R730">
        <f>AVERAGE(Table1[total_laid_off])</f>
        <v>236.96936274509804</v>
      </c>
    </row>
    <row r="731" spans="1:18" x14ac:dyDescent="0.25">
      <c r="A731" s="3" t="s">
        <v>824</v>
      </c>
      <c r="B731" t="s">
        <v>13</v>
      </c>
      <c r="C731" t="s">
        <v>64</v>
      </c>
      <c r="D731" t="s">
        <v>15</v>
      </c>
      <c r="E731" s="1">
        <v>1</v>
      </c>
      <c r="F731" s="1" t="str">
        <f>IF(Table1[[#This Row],[percentage_laid_off]]=100%,"1","0")</f>
        <v>1</v>
      </c>
      <c r="G731" t="s">
        <v>114</v>
      </c>
      <c r="H731" s="2">
        <v>44812</v>
      </c>
      <c r="I731" s="2" t="str">
        <f>TEXT(Table1[[#This Row],[date]],"dd")</f>
        <v>08</v>
      </c>
      <c r="J731" s="20">
        <f>DATE(2000,MONTH(Table1[[#This Row],[date]]),1)</f>
        <v>36770</v>
      </c>
      <c r="K731" s="18" t="str">
        <f>TEXT(Table1[[#This Row],[date]],"mm")</f>
        <v>09</v>
      </c>
      <c r="L731" s="16" t="s">
        <v>70</v>
      </c>
      <c r="M731">
        <v>2022</v>
      </c>
      <c r="N731" t="s">
        <v>139</v>
      </c>
      <c r="O731" t="s">
        <v>19</v>
      </c>
      <c r="P731">
        <v>7</v>
      </c>
      <c r="Q731">
        <f>AVERAGE(Table1[funds_raised_millions])</f>
        <v>470.28289473684208</v>
      </c>
      <c r="R731">
        <f>AVERAGE(Table1[total_laid_off])</f>
        <v>236.96936274509804</v>
      </c>
    </row>
    <row r="732" spans="1:18" x14ac:dyDescent="0.25">
      <c r="A732" s="3" t="s">
        <v>825</v>
      </c>
      <c r="B732" t="s">
        <v>325</v>
      </c>
      <c r="C732" t="s">
        <v>34</v>
      </c>
      <c r="D732">
        <v>5</v>
      </c>
      <c r="E732" t="s">
        <v>15</v>
      </c>
      <c r="F732" s="1" t="str">
        <f>IF(Table1[[#This Row],[percentage_laid_off]]=100%,"1","0")</f>
        <v>0</v>
      </c>
      <c r="G732" t="b">
        <v>0</v>
      </c>
      <c r="H732" s="2">
        <v>43837</v>
      </c>
      <c r="I732" s="2" t="str">
        <f>TEXT(Table1[[#This Row],[date]],"dd")</f>
        <v>07</v>
      </c>
      <c r="J732" s="20">
        <f>DATE(2000,MONTH(Table1[[#This Row],[date]]),1)</f>
        <v>36526</v>
      </c>
      <c r="K732" s="18" t="str">
        <f>TEXT(Table1[[#This Row],[date]],"mm")</f>
        <v>01</v>
      </c>
      <c r="L732" s="16" t="s">
        <v>29</v>
      </c>
      <c r="M732">
        <v>2020</v>
      </c>
      <c r="N732" t="s">
        <v>35</v>
      </c>
      <c r="O732" t="s">
        <v>19</v>
      </c>
      <c r="P732">
        <v>58</v>
      </c>
      <c r="Q732">
        <f>AVERAGE(Table1[funds_raised_millions])</f>
        <v>470.28289473684208</v>
      </c>
      <c r="R732">
        <f>AVERAGE(Table1[total_laid_off])</f>
        <v>236.96936274509804</v>
      </c>
    </row>
    <row r="733" spans="1:18" x14ac:dyDescent="0.25">
      <c r="A733" s="3" t="s">
        <v>826</v>
      </c>
      <c r="B733" t="s">
        <v>33</v>
      </c>
      <c r="C733" t="s">
        <v>14</v>
      </c>
      <c r="D733">
        <v>50</v>
      </c>
      <c r="E733" s="1">
        <v>0.04</v>
      </c>
      <c r="F733" s="1" t="str">
        <f>IF(Table1[[#This Row],[percentage_laid_off]]=100%,"1","0")</f>
        <v>0</v>
      </c>
      <c r="G733" t="s">
        <v>16</v>
      </c>
      <c r="H733" s="2">
        <v>44909</v>
      </c>
      <c r="I733" s="2" t="str">
        <f>TEXT(Table1[[#This Row],[date]],"dd")</f>
        <v>14</v>
      </c>
      <c r="J733" s="20">
        <f>DATE(2000,MONTH(Table1[[#This Row],[date]]),1)</f>
        <v>36861</v>
      </c>
      <c r="K733" s="18" t="str">
        <f>TEXT(Table1[[#This Row],[date]],"mm")</f>
        <v>12</v>
      </c>
      <c r="L733" s="16" t="s">
        <v>61</v>
      </c>
      <c r="M733">
        <v>2022</v>
      </c>
      <c r="N733" t="s">
        <v>47</v>
      </c>
      <c r="O733" t="s">
        <v>19</v>
      </c>
      <c r="P733">
        <v>215</v>
      </c>
      <c r="Q733">
        <f>AVERAGE(Table1[funds_raised_millions])</f>
        <v>470.28289473684208</v>
      </c>
      <c r="R733">
        <f>AVERAGE(Table1[total_laid_off])</f>
        <v>236.96936274509804</v>
      </c>
    </row>
    <row r="734" spans="1:18" x14ac:dyDescent="0.25">
      <c r="A734" s="3" t="s">
        <v>827</v>
      </c>
      <c r="B734" t="s">
        <v>180</v>
      </c>
      <c r="C734" t="s">
        <v>14</v>
      </c>
      <c r="D734">
        <v>149</v>
      </c>
      <c r="E734" t="s">
        <v>15</v>
      </c>
      <c r="F734" s="1" t="str">
        <f>IF(Table1[[#This Row],[percentage_laid_off]]=100%,"1","0")</f>
        <v>0</v>
      </c>
      <c r="G734" t="b">
        <v>0</v>
      </c>
      <c r="H734" s="2">
        <v>44628</v>
      </c>
      <c r="I734" s="2" t="str">
        <f>TEXT(Table1[[#This Row],[date]],"dd")</f>
        <v>08</v>
      </c>
      <c r="J734" s="20">
        <f>DATE(2000,MONTH(Table1[[#This Row],[date]]),1)</f>
        <v>36586</v>
      </c>
      <c r="K734" s="18" t="str">
        <f>TEXT(Table1[[#This Row],[date]],"mm")</f>
        <v>03</v>
      </c>
      <c r="L734" s="16" t="s">
        <v>57</v>
      </c>
      <c r="M734">
        <v>2022</v>
      </c>
      <c r="N734" t="s">
        <v>35</v>
      </c>
      <c r="O734" t="s">
        <v>19</v>
      </c>
      <c r="P734">
        <v>244</v>
      </c>
      <c r="Q734">
        <f>AVERAGE(Table1[funds_raised_millions])</f>
        <v>470.28289473684208</v>
      </c>
      <c r="R734">
        <f>AVERAGE(Table1[total_laid_off])</f>
        <v>236.96936274509804</v>
      </c>
    </row>
    <row r="735" spans="1:18" x14ac:dyDescent="0.25">
      <c r="A735" s="3" t="s">
        <v>828</v>
      </c>
      <c r="B735" t="s">
        <v>313</v>
      </c>
      <c r="C735" t="s">
        <v>468</v>
      </c>
      <c r="D735">
        <v>150</v>
      </c>
      <c r="E735" t="s">
        <v>15</v>
      </c>
      <c r="F735" s="1" t="str">
        <f>IF(Table1[[#This Row],[percentage_laid_off]]=100%,"1","0")</f>
        <v>0</v>
      </c>
      <c r="G735" t="b">
        <v>0</v>
      </c>
      <c r="H735" s="2">
        <v>44632</v>
      </c>
      <c r="I735" s="2" t="str">
        <f>TEXT(Table1[[#This Row],[date]],"dd")</f>
        <v>12</v>
      </c>
      <c r="J735" s="20">
        <f>DATE(2000,MONTH(Table1[[#This Row],[date]]),1)</f>
        <v>36586</v>
      </c>
      <c r="K735" s="18" t="str">
        <f>TEXT(Table1[[#This Row],[date]],"mm")</f>
        <v>03</v>
      </c>
      <c r="L735" s="16" t="s">
        <v>57</v>
      </c>
      <c r="M735">
        <v>2022</v>
      </c>
      <c r="N735" t="s">
        <v>35</v>
      </c>
      <c r="O735" t="s">
        <v>83</v>
      </c>
      <c r="P735">
        <v>100</v>
      </c>
      <c r="Q735">
        <f>AVERAGE(Table1[funds_raised_millions])</f>
        <v>470.28289473684208</v>
      </c>
      <c r="R735">
        <f>AVERAGE(Table1[total_laid_off])</f>
        <v>236.96936274509804</v>
      </c>
    </row>
    <row r="736" spans="1:18" x14ac:dyDescent="0.25">
      <c r="A736" s="3" t="s">
        <v>829</v>
      </c>
      <c r="B736" t="s">
        <v>55</v>
      </c>
      <c r="C736" t="s">
        <v>14</v>
      </c>
      <c r="D736">
        <v>18</v>
      </c>
      <c r="E736" s="1">
        <v>0.5</v>
      </c>
      <c r="F736" s="1" t="str">
        <f>IF(Table1[[#This Row],[percentage_laid_off]]=100%,"1","0")</f>
        <v>0</v>
      </c>
      <c r="G736" t="s">
        <v>28</v>
      </c>
      <c r="H736" s="2">
        <v>44740</v>
      </c>
      <c r="I736" s="2" t="str">
        <f>TEXT(Table1[[#This Row],[date]],"dd")</f>
        <v>28</v>
      </c>
      <c r="J736" s="20">
        <f>DATE(2000,MONTH(Table1[[#This Row],[date]]),1)</f>
        <v>36678</v>
      </c>
      <c r="K736" s="18" t="str">
        <f>TEXT(Table1[[#This Row],[date]],"mm")</f>
        <v>06</v>
      </c>
      <c r="L736" s="16" t="s">
        <v>73</v>
      </c>
      <c r="M736">
        <v>2022</v>
      </c>
      <c r="N736" t="s">
        <v>30</v>
      </c>
      <c r="O736" t="s">
        <v>58</v>
      </c>
      <c r="P736">
        <v>20</v>
      </c>
      <c r="Q736">
        <f>AVERAGE(Table1[funds_raised_millions])</f>
        <v>470.28289473684208</v>
      </c>
      <c r="R736">
        <f>AVERAGE(Table1[total_laid_off])</f>
        <v>236.96936274509804</v>
      </c>
    </row>
    <row r="737" spans="1:18" x14ac:dyDescent="0.25">
      <c r="A737" s="3" t="s">
        <v>830</v>
      </c>
      <c r="B737" t="s">
        <v>77</v>
      </c>
      <c r="C737" t="s">
        <v>82</v>
      </c>
      <c r="D737">
        <v>12</v>
      </c>
      <c r="E737" t="s">
        <v>15</v>
      </c>
      <c r="F737" s="1" t="str">
        <f>IF(Table1[[#This Row],[percentage_laid_off]]=100%,"1","0")</f>
        <v>0</v>
      </c>
      <c r="G737" t="b">
        <v>0</v>
      </c>
      <c r="H737" s="2">
        <v>44570</v>
      </c>
      <c r="I737" s="2" t="str">
        <f>TEXT(Table1[[#This Row],[date]],"dd")</f>
        <v>09</v>
      </c>
      <c r="J737" s="20">
        <f>DATE(2000,MONTH(Table1[[#This Row],[date]]),1)</f>
        <v>36526</v>
      </c>
      <c r="K737" s="18" t="str">
        <f>TEXT(Table1[[#This Row],[date]],"mm")</f>
        <v>01</v>
      </c>
      <c r="L737" s="16" t="s">
        <v>29</v>
      </c>
      <c r="M737">
        <v>2022</v>
      </c>
      <c r="N737" t="s">
        <v>30</v>
      </c>
      <c r="O737" t="s">
        <v>79</v>
      </c>
      <c r="P737">
        <v>67</v>
      </c>
      <c r="Q737">
        <f>AVERAGE(Table1[funds_raised_millions])</f>
        <v>470.28289473684208</v>
      </c>
      <c r="R737">
        <f>AVERAGE(Table1[total_laid_off])</f>
        <v>236.96936274509804</v>
      </c>
    </row>
    <row r="738" spans="1:18" x14ac:dyDescent="0.25">
      <c r="A738" s="3" t="s">
        <v>831</v>
      </c>
      <c r="B738" t="s">
        <v>13</v>
      </c>
      <c r="C738" t="s">
        <v>64</v>
      </c>
      <c r="D738">
        <v>611</v>
      </c>
      <c r="E738" t="s">
        <v>15</v>
      </c>
      <c r="F738" s="1" t="str">
        <f>IF(Table1[[#This Row],[percentage_laid_off]]=100%,"1","0")</f>
        <v>0</v>
      </c>
      <c r="G738" t="b">
        <v>0</v>
      </c>
      <c r="H738" s="2">
        <v>44844</v>
      </c>
      <c r="I738" s="2" t="str">
        <f>TEXT(Table1[[#This Row],[date]],"dd")</f>
        <v>10</v>
      </c>
      <c r="J738" s="20">
        <f>DATE(2000,MONTH(Table1[[#This Row],[date]]),1)</f>
        <v>36800</v>
      </c>
      <c r="K738" s="18" t="str">
        <f>TEXT(Table1[[#This Row],[date]],"mm")</f>
        <v>10</v>
      </c>
      <c r="L738" s="16" t="s">
        <v>95</v>
      </c>
      <c r="M738">
        <v>2022</v>
      </c>
      <c r="N738" t="s">
        <v>38</v>
      </c>
      <c r="O738" t="s">
        <v>19</v>
      </c>
      <c r="P738">
        <v>367</v>
      </c>
      <c r="Q738">
        <f>AVERAGE(Table1[funds_raised_millions])</f>
        <v>470.28289473684208</v>
      </c>
      <c r="R738">
        <f>AVERAGE(Table1[total_laid_off])</f>
        <v>236.96936274509804</v>
      </c>
    </row>
    <row r="739" spans="1:18" x14ac:dyDescent="0.25">
      <c r="A739" s="3" t="s">
        <v>832</v>
      </c>
      <c r="B739" t="s">
        <v>202</v>
      </c>
      <c r="C739" t="s">
        <v>66</v>
      </c>
      <c r="D739">
        <v>16</v>
      </c>
      <c r="E739" s="1">
        <v>1</v>
      </c>
      <c r="F739" s="1" t="str">
        <f>IF(Table1[[#This Row],[percentage_laid_off]]=100%,"1","0")</f>
        <v>1</v>
      </c>
      <c r="G739" t="s">
        <v>114</v>
      </c>
      <c r="H739" s="2">
        <v>43906</v>
      </c>
      <c r="I739" s="2" t="str">
        <f>TEXT(Table1[[#This Row],[date]],"dd")</f>
        <v>16</v>
      </c>
      <c r="J739" s="20">
        <f>DATE(2000,MONTH(Table1[[#This Row],[date]]),1)</f>
        <v>36586</v>
      </c>
      <c r="K739" s="18" t="str">
        <f>TEXT(Table1[[#This Row],[date]],"mm")</f>
        <v>03</v>
      </c>
      <c r="L739" s="16" t="s">
        <v>57</v>
      </c>
      <c r="M739">
        <v>2020</v>
      </c>
      <c r="N739" t="s">
        <v>139</v>
      </c>
      <c r="O739" t="s">
        <v>19</v>
      </c>
      <c r="P739">
        <v>6</v>
      </c>
      <c r="Q739">
        <f>AVERAGE(Table1[funds_raised_millions])</f>
        <v>470.28289473684208</v>
      </c>
      <c r="R739">
        <f>AVERAGE(Table1[total_laid_off])</f>
        <v>236.96936274509804</v>
      </c>
    </row>
    <row r="740" spans="1:18" x14ac:dyDescent="0.25">
      <c r="A740" s="3" t="s">
        <v>833</v>
      </c>
      <c r="B740" t="s">
        <v>88</v>
      </c>
      <c r="C740" t="s">
        <v>78</v>
      </c>
      <c r="D740">
        <v>10</v>
      </c>
      <c r="E740" s="1">
        <v>0.18</v>
      </c>
      <c r="F740" s="1" t="str">
        <f>IF(Table1[[#This Row],[percentage_laid_off]]=100%,"1","0")</f>
        <v>0</v>
      </c>
      <c r="G740" t="s">
        <v>28</v>
      </c>
      <c r="H740" s="2">
        <v>44110</v>
      </c>
      <c r="I740" s="2" t="str">
        <f>TEXT(Table1[[#This Row],[date]],"dd")</f>
        <v>06</v>
      </c>
      <c r="J740" s="20">
        <f>DATE(2000,MONTH(Table1[[#This Row],[date]]),1)</f>
        <v>36800</v>
      </c>
      <c r="K740" s="18" t="str">
        <f>TEXT(Table1[[#This Row],[date]],"mm")</f>
        <v>10</v>
      </c>
      <c r="L740" s="16" t="s">
        <v>95</v>
      </c>
      <c r="M740">
        <v>2020</v>
      </c>
      <c r="N740" t="s">
        <v>47</v>
      </c>
      <c r="O740" t="s">
        <v>19</v>
      </c>
      <c r="P740" t="s">
        <v>15</v>
      </c>
      <c r="Q740">
        <f>AVERAGE(Table1[funds_raised_millions])</f>
        <v>470.28289473684208</v>
      </c>
      <c r="R740">
        <f>AVERAGE(Table1[total_laid_off])</f>
        <v>236.96936274509804</v>
      </c>
    </row>
    <row r="741" spans="1:18" x14ac:dyDescent="0.25">
      <c r="A741" s="3" t="s">
        <v>834</v>
      </c>
      <c r="B741" t="s">
        <v>199</v>
      </c>
      <c r="C741" t="s">
        <v>41</v>
      </c>
      <c r="D741">
        <v>24</v>
      </c>
      <c r="E741" s="1">
        <v>0.2</v>
      </c>
      <c r="F741" s="1" t="str">
        <f>IF(Table1[[#This Row],[percentage_laid_off]]=100%,"1","0")</f>
        <v>0</v>
      </c>
      <c r="G741" t="s">
        <v>28</v>
      </c>
      <c r="H741" s="2">
        <v>44757</v>
      </c>
      <c r="I741" s="2" t="str">
        <f>TEXT(Table1[[#This Row],[date]],"dd")</f>
        <v>15</v>
      </c>
      <c r="J741" s="20">
        <f>DATE(2000,MONTH(Table1[[#This Row],[date]]),1)</f>
        <v>36708</v>
      </c>
      <c r="K741" s="18" t="str">
        <f>TEXT(Table1[[#This Row],[date]],"mm")</f>
        <v>07</v>
      </c>
      <c r="L741" s="16" t="s">
        <v>17</v>
      </c>
      <c r="M741">
        <v>2022</v>
      </c>
      <c r="N741" t="s">
        <v>47</v>
      </c>
      <c r="O741" t="s">
        <v>19</v>
      </c>
      <c r="P741">
        <v>265</v>
      </c>
      <c r="Q741">
        <f>AVERAGE(Table1[funds_raised_millions])</f>
        <v>470.28289473684208</v>
      </c>
      <c r="R741">
        <f>AVERAGE(Table1[total_laid_off])</f>
        <v>236.96936274509804</v>
      </c>
    </row>
    <row r="742" spans="1:18" x14ac:dyDescent="0.25">
      <c r="A742" s="3" t="s">
        <v>835</v>
      </c>
      <c r="B742" t="s">
        <v>94</v>
      </c>
      <c r="C742" t="s">
        <v>69</v>
      </c>
      <c r="D742">
        <v>73</v>
      </c>
      <c r="E742" t="s">
        <v>15</v>
      </c>
      <c r="F742" s="1" t="str">
        <f>IF(Table1[[#This Row],[percentage_laid_off]]=100%,"1","0")</f>
        <v>0</v>
      </c>
      <c r="G742" t="b">
        <v>0</v>
      </c>
      <c r="H742" s="2">
        <v>44953</v>
      </c>
      <c r="I742" s="2" t="str">
        <f>TEXT(Table1[[#This Row],[date]],"dd")</f>
        <v>27</v>
      </c>
      <c r="J742" s="20">
        <f>DATE(2000,MONTH(Table1[[#This Row],[date]]),1)</f>
        <v>36526</v>
      </c>
      <c r="K742" s="18" t="str">
        <f>TEXT(Table1[[#This Row],[date]],"mm")</f>
        <v>01</v>
      </c>
      <c r="L742" s="16" t="s">
        <v>29</v>
      </c>
      <c r="M742">
        <v>2023</v>
      </c>
      <c r="N742" t="s">
        <v>47</v>
      </c>
      <c r="O742" t="s">
        <v>96</v>
      </c>
      <c r="P742" t="s">
        <v>15</v>
      </c>
      <c r="Q742">
        <f>AVERAGE(Table1[funds_raised_millions])</f>
        <v>470.28289473684208</v>
      </c>
      <c r="R742">
        <f>AVERAGE(Table1[total_laid_off])</f>
        <v>236.96936274509804</v>
      </c>
    </row>
    <row r="743" spans="1:18" x14ac:dyDescent="0.25">
      <c r="A743" s="3" t="s">
        <v>836</v>
      </c>
      <c r="B743" t="s">
        <v>170</v>
      </c>
      <c r="C743" t="s">
        <v>190</v>
      </c>
      <c r="D743">
        <v>70</v>
      </c>
      <c r="E743" s="1">
        <v>0.3</v>
      </c>
      <c r="F743" s="1" t="str">
        <f>IF(Table1[[#This Row],[percentage_laid_off]]=100%,"1","0")</f>
        <v>0</v>
      </c>
      <c r="G743" t="s">
        <v>28</v>
      </c>
      <c r="H743" s="2">
        <v>43920</v>
      </c>
      <c r="I743" s="2" t="str">
        <f>TEXT(Table1[[#This Row],[date]],"dd")</f>
        <v>30</v>
      </c>
      <c r="J743" s="20">
        <f>DATE(2000,MONTH(Table1[[#This Row],[date]]),1)</f>
        <v>36586</v>
      </c>
      <c r="K743" s="18" t="str">
        <f>TEXT(Table1[[#This Row],[date]],"mm")</f>
        <v>03</v>
      </c>
      <c r="L743" s="16" t="s">
        <v>57</v>
      </c>
      <c r="M743">
        <v>2020</v>
      </c>
      <c r="N743" t="s">
        <v>24</v>
      </c>
      <c r="O743" t="s">
        <v>172</v>
      </c>
      <c r="P743">
        <v>45</v>
      </c>
      <c r="Q743">
        <f>AVERAGE(Table1[funds_raised_millions])</f>
        <v>470.28289473684208</v>
      </c>
      <c r="R743">
        <f>AVERAGE(Table1[total_laid_off])</f>
        <v>236.96936274509804</v>
      </c>
    </row>
    <row r="744" spans="1:18" x14ac:dyDescent="0.25">
      <c r="A744" s="3" t="s">
        <v>837</v>
      </c>
      <c r="B744" t="s">
        <v>313</v>
      </c>
      <c r="C744" t="s">
        <v>82</v>
      </c>
      <c r="D744">
        <v>25</v>
      </c>
      <c r="E744" t="s">
        <v>15</v>
      </c>
      <c r="F744" s="1" t="str">
        <f>IF(Table1[[#This Row],[percentage_laid_off]]=100%,"1","0")</f>
        <v>0</v>
      </c>
      <c r="G744" t="b">
        <v>0</v>
      </c>
      <c r="H744" s="2">
        <v>44815</v>
      </c>
      <c r="I744" s="2" t="str">
        <f>TEXT(Table1[[#This Row],[date]],"dd")</f>
        <v>11</v>
      </c>
      <c r="J744" s="20">
        <f>DATE(2000,MONTH(Table1[[#This Row],[date]]),1)</f>
        <v>36770</v>
      </c>
      <c r="K744" s="18" t="str">
        <f>TEXT(Table1[[#This Row],[date]],"mm")</f>
        <v>09</v>
      </c>
      <c r="L744" s="16" t="s">
        <v>70</v>
      </c>
      <c r="M744">
        <v>2022</v>
      </c>
      <c r="N744" t="s">
        <v>35</v>
      </c>
      <c r="O744" t="s">
        <v>83</v>
      </c>
      <c r="P744">
        <v>475</v>
      </c>
      <c r="Q744">
        <f>AVERAGE(Table1[funds_raised_millions])</f>
        <v>470.28289473684208</v>
      </c>
      <c r="R744">
        <f>AVERAGE(Table1[total_laid_off])</f>
        <v>236.96936274509804</v>
      </c>
    </row>
    <row r="745" spans="1:18" x14ac:dyDescent="0.25">
      <c r="A745" s="3" t="s">
        <v>838</v>
      </c>
      <c r="B745" t="s">
        <v>94</v>
      </c>
      <c r="C745" t="s">
        <v>78</v>
      </c>
      <c r="D745">
        <v>51</v>
      </c>
      <c r="E745" s="1">
        <v>0.25</v>
      </c>
      <c r="F745" s="1" t="str">
        <f>IF(Table1[[#This Row],[percentage_laid_off]]=100%,"1","0")</f>
        <v>0</v>
      </c>
      <c r="G745" t="s">
        <v>28</v>
      </c>
      <c r="H745" s="2">
        <v>43834</v>
      </c>
      <c r="I745" s="2" t="str">
        <f>TEXT(Table1[[#This Row],[date]],"dd")</f>
        <v>04</v>
      </c>
      <c r="J745" s="20">
        <f>DATE(2000,MONTH(Table1[[#This Row],[date]]),1)</f>
        <v>36526</v>
      </c>
      <c r="K745" s="18" t="str">
        <f>TEXT(Table1[[#This Row],[date]],"mm")</f>
        <v>01</v>
      </c>
      <c r="L745" s="16" t="s">
        <v>29</v>
      </c>
      <c r="M745">
        <v>2020</v>
      </c>
      <c r="N745" t="s">
        <v>24</v>
      </c>
      <c r="O745" t="s">
        <v>96</v>
      </c>
      <c r="P745">
        <v>9</v>
      </c>
      <c r="Q745">
        <f>AVERAGE(Table1[funds_raised_millions])</f>
        <v>470.28289473684208</v>
      </c>
      <c r="R745">
        <f>AVERAGE(Table1[total_laid_off])</f>
        <v>236.96936274509804</v>
      </c>
    </row>
    <row r="746" spans="1:18" x14ac:dyDescent="0.25">
      <c r="A746" s="3" t="s">
        <v>839</v>
      </c>
      <c r="B746" t="s">
        <v>68</v>
      </c>
      <c r="C746" t="s">
        <v>60</v>
      </c>
      <c r="D746">
        <v>100</v>
      </c>
      <c r="E746" s="1">
        <v>0.1</v>
      </c>
      <c r="F746" s="1" t="str">
        <f>IF(Table1[[#This Row],[percentage_laid_off]]=100%,"1","0")</f>
        <v>0</v>
      </c>
      <c r="G746" t="s">
        <v>16</v>
      </c>
      <c r="H746" s="2">
        <v>44959</v>
      </c>
      <c r="I746" s="2" t="str">
        <f>TEXT(Table1[[#This Row],[date]],"dd")</f>
        <v>02</v>
      </c>
      <c r="J746" s="20">
        <f>DATE(2000,MONTH(Table1[[#This Row],[date]]),1)</f>
        <v>36557</v>
      </c>
      <c r="K746" s="18" t="str">
        <f>TEXT(Table1[[#This Row],[date]],"mm")</f>
        <v>02</v>
      </c>
      <c r="L746" s="16" t="s">
        <v>42</v>
      </c>
      <c r="M746">
        <v>2023</v>
      </c>
      <c r="N746" t="s">
        <v>100</v>
      </c>
      <c r="O746" t="s">
        <v>19</v>
      </c>
      <c r="P746">
        <v>644</v>
      </c>
      <c r="Q746">
        <f>AVERAGE(Table1[funds_raised_millions])</f>
        <v>470.28289473684208</v>
      </c>
      <c r="R746">
        <f>AVERAGE(Table1[total_laid_off])</f>
        <v>236.96936274509804</v>
      </c>
    </row>
    <row r="747" spans="1:18" x14ac:dyDescent="0.25">
      <c r="A747" s="3" t="s">
        <v>840</v>
      </c>
      <c r="B747" t="s">
        <v>13</v>
      </c>
      <c r="C747" t="s">
        <v>112</v>
      </c>
      <c r="D747" t="s">
        <v>15</v>
      </c>
      <c r="E747" s="1">
        <v>0.6</v>
      </c>
      <c r="F747" s="1" t="str">
        <f>IF(Table1[[#This Row],[percentage_laid_off]]=100%,"1","0")</f>
        <v>0</v>
      </c>
      <c r="G747" t="s">
        <v>130</v>
      </c>
      <c r="H747" s="2">
        <v>43941</v>
      </c>
      <c r="I747" s="2" t="str">
        <f>TEXT(Table1[[#This Row],[date]],"dd")</f>
        <v>20</v>
      </c>
      <c r="J747" s="20">
        <f>DATE(2000,MONTH(Table1[[#This Row],[date]]),1)</f>
        <v>36617</v>
      </c>
      <c r="K747" s="18" t="str">
        <f>TEXT(Table1[[#This Row],[date]],"mm")</f>
        <v>04</v>
      </c>
      <c r="L747" s="16" t="s">
        <v>37</v>
      </c>
      <c r="M747">
        <v>2020</v>
      </c>
      <c r="N747" t="s">
        <v>30</v>
      </c>
      <c r="O747" t="s">
        <v>19</v>
      </c>
      <c r="P747">
        <v>41</v>
      </c>
      <c r="Q747">
        <f>AVERAGE(Table1[funds_raised_millions])</f>
        <v>470.28289473684208</v>
      </c>
      <c r="R747">
        <f>AVERAGE(Table1[total_laid_off])</f>
        <v>236.96936274509804</v>
      </c>
    </row>
    <row r="748" spans="1:18" x14ac:dyDescent="0.25">
      <c r="A748" s="3" t="s">
        <v>841</v>
      </c>
      <c r="B748" t="s">
        <v>13</v>
      </c>
      <c r="C748" t="s">
        <v>82</v>
      </c>
      <c r="D748">
        <v>70</v>
      </c>
      <c r="E748" s="1">
        <v>0.1</v>
      </c>
      <c r="F748" s="1" t="str">
        <f>IF(Table1[[#This Row],[percentage_laid_off]]=100%,"1","0")</f>
        <v>0</v>
      </c>
      <c r="G748" t="s">
        <v>16</v>
      </c>
      <c r="H748" s="2">
        <v>44804</v>
      </c>
      <c r="I748" s="2" t="str">
        <f>TEXT(Table1[[#This Row],[date]],"dd")</f>
        <v>31</v>
      </c>
      <c r="J748" s="20">
        <f>DATE(2000,MONTH(Table1[[#This Row],[date]]),1)</f>
        <v>36739</v>
      </c>
      <c r="K748" s="18" t="str">
        <f>TEXT(Table1[[#This Row],[date]],"mm")</f>
        <v>08</v>
      </c>
      <c r="L748" s="16" t="s">
        <v>53</v>
      </c>
      <c r="M748">
        <v>2022</v>
      </c>
      <c r="N748" t="s">
        <v>38</v>
      </c>
      <c r="O748" t="s">
        <v>19</v>
      </c>
      <c r="P748">
        <v>1300</v>
      </c>
      <c r="Q748">
        <f>AVERAGE(Table1[funds_raised_millions])</f>
        <v>470.28289473684208</v>
      </c>
      <c r="R748">
        <f>AVERAGE(Table1[total_laid_off])</f>
        <v>236.96936274509804</v>
      </c>
    </row>
    <row r="749" spans="1:18" x14ac:dyDescent="0.25">
      <c r="A749" s="3" t="s">
        <v>842</v>
      </c>
      <c r="B749" t="s">
        <v>313</v>
      </c>
      <c r="C749" t="s">
        <v>167</v>
      </c>
      <c r="D749">
        <v>200</v>
      </c>
      <c r="E749" s="1">
        <v>0.4</v>
      </c>
      <c r="F749" s="1" t="str">
        <f>IF(Table1[[#This Row],[percentage_laid_off]]=100%,"1","0")</f>
        <v>0</v>
      </c>
      <c r="G749" t="s">
        <v>28</v>
      </c>
      <c r="H749" s="2">
        <v>44893</v>
      </c>
      <c r="I749" s="2" t="str">
        <f>TEXT(Table1[[#This Row],[date]],"dd")</f>
        <v>28</v>
      </c>
      <c r="J749" s="20">
        <f>DATE(2000,MONTH(Table1[[#This Row],[date]]),1)</f>
        <v>36831</v>
      </c>
      <c r="K749" s="18" t="str">
        <f>TEXT(Table1[[#This Row],[date]],"mm")</f>
        <v>11</v>
      </c>
      <c r="L749" s="16" t="s">
        <v>23</v>
      </c>
      <c r="M749">
        <v>2022</v>
      </c>
      <c r="N749" t="s">
        <v>24</v>
      </c>
      <c r="O749" t="s">
        <v>83</v>
      </c>
      <c r="P749" t="s">
        <v>15</v>
      </c>
      <c r="Q749">
        <f>AVERAGE(Table1[funds_raised_millions])</f>
        <v>470.28289473684208</v>
      </c>
      <c r="R749">
        <f>AVERAGE(Table1[total_laid_off])</f>
        <v>236.96936274509804</v>
      </c>
    </row>
    <row r="750" spans="1:18" x14ac:dyDescent="0.25">
      <c r="A750" s="3" t="s">
        <v>843</v>
      </c>
      <c r="B750" t="s">
        <v>91</v>
      </c>
      <c r="C750" t="s">
        <v>167</v>
      </c>
      <c r="D750">
        <v>36</v>
      </c>
      <c r="E750" s="1">
        <v>0.17</v>
      </c>
      <c r="F750" s="1" t="str">
        <f>IF(Table1[[#This Row],[percentage_laid_off]]=100%,"1","0")</f>
        <v>0</v>
      </c>
      <c r="G750" t="s">
        <v>28</v>
      </c>
      <c r="H750" s="2">
        <v>44170</v>
      </c>
      <c r="I750" s="2" t="str">
        <f>TEXT(Table1[[#This Row],[date]],"dd")</f>
        <v>05</v>
      </c>
      <c r="J750" s="20">
        <f>DATE(2000,MONTH(Table1[[#This Row],[date]]),1)</f>
        <v>36861</v>
      </c>
      <c r="K750" s="18" t="str">
        <f>TEXT(Table1[[#This Row],[date]],"mm")</f>
        <v>12</v>
      </c>
      <c r="L750" s="16" t="s">
        <v>61</v>
      </c>
      <c r="M750">
        <v>2020</v>
      </c>
      <c r="N750" t="s">
        <v>43</v>
      </c>
      <c r="O750" t="s">
        <v>19</v>
      </c>
      <c r="P750">
        <v>52</v>
      </c>
      <c r="Q750">
        <f>AVERAGE(Table1[funds_raised_millions])</f>
        <v>470.28289473684208</v>
      </c>
      <c r="R750">
        <f>AVERAGE(Table1[total_laid_off])</f>
        <v>236.96936274509804</v>
      </c>
    </row>
    <row r="751" spans="1:18" x14ac:dyDescent="0.25">
      <c r="A751" s="3" t="s">
        <v>844</v>
      </c>
      <c r="B751" t="s">
        <v>111</v>
      </c>
      <c r="C751" t="s">
        <v>46</v>
      </c>
      <c r="D751">
        <v>40</v>
      </c>
      <c r="E751" s="1">
        <v>0.8</v>
      </c>
      <c r="F751" s="1" t="str">
        <f>IF(Table1[[#This Row],[percentage_laid_off]]=100%,"1","0")</f>
        <v>0</v>
      </c>
      <c r="G751" t="s">
        <v>114</v>
      </c>
      <c r="H751" s="2">
        <v>44792</v>
      </c>
      <c r="I751" s="2" t="str">
        <f>TEXT(Table1[[#This Row],[date]],"dd")</f>
        <v>19</v>
      </c>
      <c r="J751" s="20">
        <f>DATE(2000,MONTH(Table1[[#This Row],[date]]),1)</f>
        <v>36739</v>
      </c>
      <c r="K751" s="18" t="str">
        <f>TEXT(Table1[[#This Row],[date]],"mm")</f>
        <v>08</v>
      </c>
      <c r="L751" s="16" t="s">
        <v>53</v>
      </c>
      <c r="M751">
        <v>2022</v>
      </c>
      <c r="N751" t="s">
        <v>47</v>
      </c>
      <c r="O751" t="s">
        <v>111</v>
      </c>
      <c r="P751" t="s">
        <v>15</v>
      </c>
      <c r="Q751">
        <f>AVERAGE(Table1[funds_raised_millions])</f>
        <v>470.28289473684208</v>
      </c>
      <c r="R751">
        <f>AVERAGE(Table1[total_laid_off])</f>
        <v>236.96936274509804</v>
      </c>
    </row>
    <row r="752" spans="1:18" x14ac:dyDescent="0.25">
      <c r="A752" s="3" t="s">
        <v>845</v>
      </c>
      <c r="B752" t="s">
        <v>91</v>
      </c>
      <c r="C752" t="s">
        <v>134</v>
      </c>
      <c r="D752">
        <v>80</v>
      </c>
      <c r="E752" s="1">
        <v>0.4</v>
      </c>
      <c r="F752" s="1" t="str">
        <f>IF(Table1[[#This Row],[percentage_laid_off]]=100%,"1","0")</f>
        <v>0</v>
      </c>
      <c r="G752" t="s">
        <v>28</v>
      </c>
      <c r="H752" s="2">
        <v>44810</v>
      </c>
      <c r="I752" s="2" t="str">
        <f>TEXT(Table1[[#This Row],[date]],"dd")</f>
        <v>06</v>
      </c>
      <c r="J752" s="20">
        <f>DATE(2000,MONTH(Table1[[#This Row],[date]]),1)</f>
        <v>36770</v>
      </c>
      <c r="K752" s="18" t="str">
        <f>TEXT(Table1[[#This Row],[date]],"mm")</f>
        <v>09</v>
      </c>
      <c r="L752" s="16" t="s">
        <v>70</v>
      </c>
      <c r="M752">
        <v>2022</v>
      </c>
      <c r="N752" t="s">
        <v>30</v>
      </c>
      <c r="O752" t="s">
        <v>19</v>
      </c>
      <c r="P752">
        <v>82</v>
      </c>
      <c r="Q752">
        <f>AVERAGE(Table1[funds_raised_millions])</f>
        <v>470.28289473684208</v>
      </c>
      <c r="R752">
        <f>AVERAGE(Table1[total_laid_off])</f>
        <v>236.96936274509804</v>
      </c>
    </row>
    <row r="753" spans="1:18" x14ac:dyDescent="0.25">
      <c r="A753" s="3" t="s">
        <v>846</v>
      </c>
      <c r="B753" t="s">
        <v>325</v>
      </c>
      <c r="C753" t="s">
        <v>174</v>
      </c>
      <c r="D753">
        <v>18</v>
      </c>
      <c r="E753" s="1">
        <v>0.13</v>
      </c>
      <c r="F753" s="1" t="str">
        <f>IF(Table1[[#This Row],[percentage_laid_off]]=100%,"1","0")</f>
        <v>0</v>
      </c>
      <c r="G753" t="s">
        <v>28</v>
      </c>
      <c r="H753" s="2">
        <v>44914</v>
      </c>
      <c r="I753" s="2" t="str">
        <f>TEXT(Table1[[#This Row],[date]],"dd")</f>
        <v>19</v>
      </c>
      <c r="J753" s="20">
        <f>DATE(2000,MONTH(Table1[[#This Row],[date]]),1)</f>
        <v>36861</v>
      </c>
      <c r="K753" s="18" t="str">
        <f>TEXT(Table1[[#This Row],[date]],"mm")</f>
        <v>12</v>
      </c>
      <c r="L753" s="16" t="s">
        <v>61</v>
      </c>
      <c r="M753">
        <v>2022</v>
      </c>
      <c r="N753" t="s">
        <v>71</v>
      </c>
      <c r="O753" t="s">
        <v>19</v>
      </c>
      <c r="P753">
        <v>4</v>
      </c>
      <c r="Q753">
        <f>AVERAGE(Table1[funds_raised_millions])</f>
        <v>470.28289473684208</v>
      </c>
      <c r="R753">
        <f>AVERAGE(Table1[total_laid_off])</f>
        <v>236.96936274509804</v>
      </c>
    </row>
    <row r="754" spans="1:18" x14ac:dyDescent="0.25">
      <c r="A754" s="3" t="s">
        <v>847</v>
      </c>
      <c r="B754" t="s">
        <v>13</v>
      </c>
      <c r="C754" t="s">
        <v>174</v>
      </c>
      <c r="D754" t="s">
        <v>15</v>
      </c>
      <c r="E754" s="1">
        <v>0.19</v>
      </c>
      <c r="F754" s="1" t="str">
        <f>IF(Table1[[#This Row],[percentage_laid_off]]=100%,"1","0")</f>
        <v>0</v>
      </c>
      <c r="G754" t="s">
        <v>28</v>
      </c>
      <c r="H754" s="2">
        <v>44741</v>
      </c>
      <c r="I754" s="2" t="str">
        <f>TEXT(Table1[[#This Row],[date]],"dd")</f>
        <v>29</v>
      </c>
      <c r="J754" s="20">
        <f>DATE(2000,MONTH(Table1[[#This Row],[date]]),1)</f>
        <v>36678</v>
      </c>
      <c r="K754" s="18" t="str">
        <f>TEXT(Table1[[#This Row],[date]],"mm")</f>
        <v>06</v>
      </c>
      <c r="L754" s="16" t="s">
        <v>73</v>
      </c>
      <c r="M754">
        <v>2022</v>
      </c>
      <c r="N754" t="s">
        <v>43</v>
      </c>
      <c r="O754" t="s">
        <v>19</v>
      </c>
      <c r="P754">
        <v>743</v>
      </c>
      <c r="Q754">
        <f>AVERAGE(Table1[funds_raised_millions])</f>
        <v>470.28289473684208</v>
      </c>
      <c r="R754">
        <f>AVERAGE(Table1[total_laid_off])</f>
        <v>236.96936274509804</v>
      </c>
    </row>
    <row r="755" spans="1:18" x14ac:dyDescent="0.25">
      <c r="A755" s="3" t="s">
        <v>848</v>
      </c>
      <c r="B755" t="s">
        <v>233</v>
      </c>
      <c r="C755" t="s">
        <v>174</v>
      </c>
      <c r="D755">
        <v>113</v>
      </c>
      <c r="E755" t="s">
        <v>15</v>
      </c>
      <c r="F755" s="1" t="str">
        <f>IF(Table1[[#This Row],[percentage_laid_off]]=100%,"1","0")</f>
        <v>0</v>
      </c>
      <c r="G755" t="b">
        <v>0</v>
      </c>
      <c r="H755" s="2">
        <v>44882</v>
      </c>
      <c r="I755" s="2" t="str">
        <f>TEXT(Table1[[#This Row],[date]],"dd")</f>
        <v>17</v>
      </c>
      <c r="J755" s="20">
        <f>DATE(2000,MONTH(Table1[[#This Row],[date]]),1)</f>
        <v>36831</v>
      </c>
      <c r="K755" s="18" t="str">
        <f>TEXT(Table1[[#This Row],[date]],"mm")</f>
        <v>11</v>
      </c>
      <c r="L755" s="16" t="s">
        <v>23</v>
      </c>
      <c r="M755">
        <v>2022</v>
      </c>
      <c r="N755" t="s">
        <v>38</v>
      </c>
      <c r="O755" t="s">
        <v>19</v>
      </c>
      <c r="P755" t="s">
        <v>15</v>
      </c>
      <c r="Q755">
        <f>AVERAGE(Table1[funds_raised_millions])</f>
        <v>470.28289473684208</v>
      </c>
      <c r="R755">
        <f>AVERAGE(Table1[total_laid_off])</f>
        <v>236.96936274509804</v>
      </c>
    </row>
    <row r="756" spans="1:18" x14ac:dyDescent="0.25">
      <c r="A756" s="3" t="s">
        <v>849</v>
      </c>
      <c r="B756" t="s">
        <v>202</v>
      </c>
      <c r="C756" t="s">
        <v>174</v>
      </c>
      <c r="D756" t="s">
        <v>15</v>
      </c>
      <c r="E756" s="1">
        <v>0.2</v>
      </c>
      <c r="F756" s="1" t="str">
        <f>IF(Table1[[#This Row],[percentage_laid_off]]=100%,"1","0")</f>
        <v>0</v>
      </c>
      <c r="G756" t="s">
        <v>28</v>
      </c>
      <c r="H756" s="2">
        <v>44842</v>
      </c>
      <c r="I756" s="2" t="str">
        <f>TEXT(Table1[[#This Row],[date]],"dd")</f>
        <v>08</v>
      </c>
      <c r="J756" s="20">
        <f>DATE(2000,MONTH(Table1[[#This Row],[date]]),1)</f>
        <v>36800</v>
      </c>
      <c r="K756" s="18" t="str">
        <f>TEXT(Table1[[#This Row],[date]],"mm")</f>
        <v>10</v>
      </c>
      <c r="L756" s="16" t="s">
        <v>95</v>
      </c>
      <c r="M756">
        <v>2022</v>
      </c>
      <c r="N756" t="s">
        <v>30</v>
      </c>
      <c r="O756" t="s">
        <v>19</v>
      </c>
      <c r="P756">
        <v>160</v>
      </c>
      <c r="Q756">
        <f>AVERAGE(Table1[funds_raised_millions])</f>
        <v>470.28289473684208</v>
      </c>
      <c r="R756">
        <f>AVERAGE(Table1[total_laid_off])</f>
        <v>236.96936274509804</v>
      </c>
    </row>
    <row r="757" spans="1:18" x14ac:dyDescent="0.25">
      <c r="A757" s="3" t="s">
        <v>849</v>
      </c>
      <c r="B757" t="s">
        <v>202</v>
      </c>
      <c r="C757" t="s">
        <v>174</v>
      </c>
      <c r="D757" t="s">
        <v>15</v>
      </c>
      <c r="E757" s="1">
        <v>0.25</v>
      </c>
      <c r="F757" s="1" t="str">
        <f>IF(Table1[[#This Row],[percentage_laid_off]]=100%,"1","0")</f>
        <v>0</v>
      </c>
      <c r="G757" t="s">
        <v>28</v>
      </c>
      <c r="H757" s="2">
        <v>44881</v>
      </c>
      <c r="I757" s="2" t="str">
        <f>TEXT(Table1[[#This Row],[date]],"dd")</f>
        <v>16</v>
      </c>
      <c r="J757" s="20">
        <f>DATE(2000,MONTH(Table1[[#This Row],[date]]),1)</f>
        <v>36831</v>
      </c>
      <c r="K757" s="18" t="str">
        <f>TEXT(Table1[[#This Row],[date]],"mm")</f>
        <v>11</v>
      </c>
      <c r="L757" s="16" t="s">
        <v>23</v>
      </c>
      <c r="M757">
        <v>2022</v>
      </c>
      <c r="N757" t="s">
        <v>47</v>
      </c>
      <c r="O757" t="s">
        <v>19</v>
      </c>
      <c r="P757">
        <v>501</v>
      </c>
      <c r="Q757">
        <f>AVERAGE(Table1[funds_raised_millions])</f>
        <v>470.28289473684208</v>
      </c>
      <c r="R757">
        <f>AVERAGE(Table1[total_laid_off])</f>
        <v>236.96936274509804</v>
      </c>
    </row>
    <row r="758" spans="1:18" x14ac:dyDescent="0.25">
      <c r="A758" s="3" t="s">
        <v>850</v>
      </c>
      <c r="B758" t="s">
        <v>103</v>
      </c>
      <c r="C758" t="s">
        <v>174</v>
      </c>
      <c r="D758">
        <v>40</v>
      </c>
      <c r="E758" s="1">
        <v>0.13</v>
      </c>
      <c r="F758" s="1" t="str">
        <f>IF(Table1[[#This Row],[percentage_laid_off]]=100%,"1","0")</f>
        <v>0</v>
      </c>
      <c r="G758" t="s">
        <v>28</v>
      </c>
      <c r="H758" s="2">
        <v>44661</v>
      </c>
      <c r="I758" s="2" t="str">
        <f>TEXT(Table1[[#This Row],[date]],"dd")</f>
        <v>10</v>
      </c>
      <c r="J758" s="20">
        <f>DATE(2000,MONTH(Table1[[#This Row],[date]]),1)</f>
        <v>36617</v>
      </c>
      <c r="K758" s="18" t="str">
        <f>TEXT(Table1[[#This Row],[date]],"mm")</f>
        <v>04</v>
      </c>
      <c r="L758" s="16" t="s">
        <v>37</v>
      </c>
      <c r="M758">
        <v>2022</v>
      </c>
      <c r="N758" t="s">
        <v>30</v>
      </c>
      <c r="O758" t="s">
        <v>19</v>
      </c>
      <c r="P758">
        <v>35</v>
      </c>
      <c r="Q758">
        <f>AVERAGE(Table1[funds_raised_millions])</f>
        <v>470.28289473684208</v>
      </c>
      <c r="R758">
        <f>AVERAGE(Table1[total_laid_off])</f>
        <v>236.96936274509804</v>
      </c>
    </row>
    <row r="759" spans="1:18" x14ac:dyDescent="0.25">
      <c r="A759" s="3" t="s">
        <v>850</v>
      </c>
      <c r="B759" t="s">
        <v>103</v>
      </c>
      <c r="C759" t="s">
        <v>174</v>
      </c>
      <c r="D759">
        <v>119</v>
      </c>
      <c r="E759" s="1">
        <v>0.28999999999999998</v>
      </c>
      <c r="F759" s="1" t="str">
        <f>IF(Table1[[#This Row],[percentage_laid_off]]=100%,"1","0")</f>
        <v>0</v>
      </c>
      <c r="G759" t="s">
        <v>28</v>
      </c>
      <c r="H759" s="2">
        <v>44606</v>
      </c>
      <c r="I759" s="2" t="str">
        <f>TEXT(Table1[[#This Row],[date]],"dd")</f>
        <v>14</v>
      </c>
      <c r="J759" s="20">
        <f>DATE(2000,MONTH(Table1[[#This Row],[date]]),1)</f>
        <v>36557</v>
      </c>
      <c r="K759" s="18" t="str">
        <f>TEXT(Table1[[#This Row],[date]],"mm")</f>
        <v>02</v>
      </c>
      <c r="L759" s="16" t="s">
        <v>42</v>
      </c>
      <c r="M759">
        <v>2022</v>
      </c>
      <c r="N759" t="s">
        <v>30</v>
      </c>
      <c r="O759" t="s">
        <v>19</v>
      </c>
      <c r="P759">
        <v>35</v>
      </c>
      <c r="Q759">
        <f>AVERAGE(Table1[funds_raised_millions])</f>
        <v>470.28289473684208</v>
      </c>
      <c r="R759">
        <f>AVERAGE(Table1[total_laid_off])</f>
        <v>236.96936274509804</v>
      </c>
    </row>
    <row r="760" spans="1:18" x14ac:dyDescent="0.25">
      <c r="A760" s="3" t="s">
        <v>851</v>
      </c>
      <c r="B760" t="s">
        <v>111</v>
      </c>
      <c r="C760" t="s">
        <v>34</v>
      </c>
      <c r="D760">
        <v>250</v>
      </c>
      <c r="E760" s="1">
        <v>1</v>
      </c>
      <c r="F760" s="1" t="str">
        <f>IF(Table1[[#This Row],[percentage_laid_off]]=100%,"1","0")</f>
        <v>1</v>
      </c>
      <c r="G760" t="s">
        <v>114</v>
      </c>
      <c r="H760" s="2">
        <v>43917</v>
      </c>
      <c r="I760" s="2" t="str">
        <f>TEXT(Table1[[#This Row],[date]],"dd")</f>
        <v>27</v>
      </c>
      <c r="J760" s="20">
        <f>DATE(2000,MONTH(Table1[[#This Row],[date]]),1)</f>
        <v>36586</v>
      </c>
      <c r="K760" s="18" t="str">
        <f>TEXT(Table1[[#This Row],[date]],"mm")</f>
        <v>03</v>
      </c>
      <c r="L760" s="16" t="s">
        <v>57</v>
      </c>
      <c r="M760">
        <v>2020</v>
      </c>
      <c r="N760" t="s">
        <v>47</v>
      </c>
      <c r="O760" t="s">
        <v>111</v>
      </c>
      <c r="P760">
        <v>95</v>
      </c>
      <c r="Q760">
        <f>AVERAGE(Table1[funds_raised_millions])</f>
        <v>470.28289473684208</v>
      </c>
      <c r="R760">
        <f>AVERAGE(Table1[total_laid_off])</f>
        <v>236.96936274509804</v>
      </c>
    </row>
    <row r="761" spans="1:18" x14ac:dyDescent="0.25">
      <c r="A761" s="3" t="s">
        <v>852</v>
      </c>
      <c r="B761" t="s">
        <v>75</v>
      </c>
      <c r="C761" t="s">
        <v>22</v>
      </c>
      <c r="D761">
        <v>50</v>
      </c>
      <c r="E761" s="1">
        <v>0.05</v>
      </c>
      <c r="F761" s="1" t="str">
        <f>IF(Table1[[#This Row],[percentage_laid_off]]=100%,"1","0")</f>
        <v>0</v>
      </c>
      <c r="G761" t="s">
        <v>16</v>
      </c>
      <c r="H761" s="2">
        <v>44572</v>
      </c>
      <c r="I761" s="2" t="str">
        <f>TEXT(Table1[[#This Row],[date]],"dd")</f>
        <v>11</v>
      </c>
      <c r="J761" s="20">
        <f>DATE(2000,MONTH(Table1[[#This Row],[date]]),1)</f>
        <v>36526</v>
      </c>
      <c r="K761" s="18" t="str">
        <f>TEXT(Table1[[#This Row],[date]],"mm")</f>
        <v>01</v>
      </c>
      <c r="L761" s="16" t="s">
        <v>29</v>
      </c>
      <c r="M761">
        <v>2022</v>
      </c>
      <c r="N761" t="s">
        <v>35</v>
      </c>
      <c r="O761" t="s">
        <v>31</v>
      </c>
      <c r="P761">
        <v>300</v>
      </c>
      <c r="Q761">
        <f>AVERAGE(Table1[funds_raised_millions])</f>
        <v>470.28289473684208</v>
      </c>
      <c r="R761">
        <f>AVERAGE(Table1[total_laid_off])</f>
        <v>236.96936274509804</v>
      </c>
    </row>
    <row r="762" spans="1:18" x14ac:dyDescent="0.25">
      <c r="A762" s="3" t="s">
        <v>852</v>
      </c>
      <c r="B762" t="s">
        <v>75</v>
      </c>
      <c r="C762" t="s">
        <v>22</v>
      </c>
      <c r="D762">
        <v>70</v>
      </c>
      <c r="E762" s="1">
        <v>7.0000000000000007E-2</v>
      </c>
      <c r="F762" s="1" t="str">
        <f>IF(Table1[[#This Row],[percentage_laid_off]]=100%,"1","0")</f>
        <v>0</v>
      </c>
      <c r="G762" t="s">
        <v>16</v>
      </c>
      <c r="H762" s="2">
        <v>44944</v>
      </c>
      <c r="I762" s="2" t="str">
        <f>TEXT(Table1[[#This Row],[date]],"dd")</f>
        <v>18</v>
      </c>
      <c r="J762" s="20">
        <f>DATE(2000,MONTH(Table1[[#This Row],[date]]),1)</f>
        <v>36526</v>
      </c>
      <c r="K762" s="18" t="str">
        <f>TEXT(Table1[[#This Row],[date]],"mm")</f>
        <v>01</v>
      </c>
      <c r="L762" s="16" t="s">
        <v>29</v>
      </c>
      <c r="M762">
        <v>2023</v>
      </c>
      <c r="N762" t="s">
        <v>35</v>
      </c>
      <c r="O762" t="s">
        <v>31</v>
      </c>
      <c r="P762">
        <v>300</v>
      </c>
      <c r="Q762">
        <f>AVERAGE(Table1[funds_raised_millions])</f>
        <v>470.28289473684208</v>
      </c>
      <c r="R762">
        <f>AVERAGE(Table1[total_laid_off])</f>
        <v>236.96936274509804</v>
      </c>
    </row>
    <row r="763" spans="1:18" x14ac:dyDescent="0.25">
      <c r="A763" s="3" t="s">
        <v>852</v>
      </c>
      <c r="B763" t="s">
        <v>75</v>
      </c>
      <c r="C763" t="s">
        <v>22</v>
      </c>
      <c r="D763">
        <v>400</v>
      </c>
      <c r="E763" s="1">
        <v>0.3</v>
      </c>
      <c r="F763" s="1" t="str">
        <f>IF(Table1[[#This Row],[percentage_laid_off]]=100%,"1","0")</f>
        <v>0</v>
      </c>
      <c r="G763" t="s">
        <v>28</v>
      </c>
      <c r="H763" s="2">
        <v>44812</v>
      </c>
      <c r="I763" s="2" t="str">
        <f>TEXT(Table1[[#This Row],[date]],"dd")</f>
        <v>08</v>
      </c>
      <c r="J763" s="20">
        <f>DATE(2000,MONTH(Table1[[#This Row],[date]]),1)</f>
        <v>36770</v>
      </c>
      <c r="K763" s="18" t="str">
        <f>TEXT(Table1[[#This Row],[date]],"mm")</f>
        <v>09</v>
      </c>
      <c r="L763" s="16" t="s">
        <v>70</v>
      </c>
      <c r="M763">
        <v>2022</v>
      </c>
      <c r="N763" t="s">
        <v>35</v>
      </c>
      <c r="O763" t="s">
        <v>31</v>
      </c>
      <c r="P763">
        <v>300</v>
      </c>
      <c r="Q763">
        <f>AVERAGE(Table1[funds_raised_millions])</f>
        <v>470.28289473684208</v>
      </c>
      <c r="R763">
        <f>AVERAGE(Table1[total_laid_off])</f>
        <v>236.96936274509804</v>
      </c>
    </row>
    <row r="764" spans="1:18" x14ac:dyDescent="0.25">
      <c r="A764" s="3" t="s">
        <v>853</v>
      </c>
      <c r="B764" t="s">
        <v>199</v>
      </c>
      <c r="C764" t="s">
        <v>161</v>
      </c>
      <c r="D764" t="s">
        <v>15</v>
      </c>
      <c r="E764" s="1">
        <v>0.17</v>
      </c>
      <c r="F764" s="1" t="str">
        <f>IF(Table1[[#This Row],[percentage_laid_off]]=100%,"1","0")</f>
        <v>0</v>
      </c>
      <c r="G764" t="s">
        <v>28</v>
      </c>
      <c r="H764" s="2">
        <v>44881</v>
      </c>
      <c r="I764" s="2" t="str">
        <f>TEXT(Table1[[#This Row],[date]],"dd")</f>
        <v>16</v>
      </c>
      <c r="J764" s="20">
        <f>DATE(2000,MONTH(Table1[[#This Row],[date]]),1)</f>
        <v>36831</v>
      </c>
      <c r="K764" s="18" t="str">
        <f>TEXT(Table1[[#This Row],[date]],"mm")</f>
        <v>11</v>
      </c>
      <c r="L764" s="16" t="s">
        <v>23</v>
      </c>
      <c r="M764">
        <v>2022</v>
      </c>
      <c r="N764" t="s">
        <v>43</v>
      </c>
      <c r="O764" t="s">
        <v>200</v>
      </c>
      <c r="P764">
        <v>1000</v>
      </c>
      <c r="Q764">
        <f>AVERAGE(Table1[funds_raised_millions])</f>
        <v>470.28289473684208</v>
      </c>
      <c r="R764">
        <f>AVERAGE(Table1[total_laid_off])</f>
        <v>236.96936274509804</v>
      </c>
    </row>
    <row r="765" spans="1:18" x14ac:dyDescent="0.25">
      <c r="A765" s="3" t="s">
        <v>853</v>
      </c>
      <c r="B765" t="s">
        <v>199</v>
      </c>
      <c r="C765" t="s">
        <v>161</v>
      </c>
      <c r="D765">
        <v>138</v>
      </c>
      <c r="E765" s="1">
        <v>0.12</v>
      </c>
      <c r="F765" s="1" t="str">
        <f>IF(Table1[[#This Row],[percentage_laid_off]]=100%,"1","0")</f>
        <v>0</v>
      </c>
      <c r="G765" t="s">
        <v>28</v>
      </c>
      <c r="H765" s="2">
        <v>44836</v>
      </c>
      <c r="I765" s="2" t="str">
        <f>TEXT(Table1[[#This Row],[date]],"dd")</f>
        <v>02</v>
      </c>
      <c r="J765" s="20">
        <f>DATE(2000,MONTH(Table1[[#This Row],[date]]),1)</f>
        <v>36800</v>
      </c>
      <c r="K765" s="18" t="str">
        <f>TEXT(Table1[[#This Row],[date]],"mm")</f>
        <v>10</v>
      </c>
      <c r="L765" s="16" t="s">
        <v>95</v>
      </c>
      <c r="M765">
        <v>2022</v>
      </c>
      <c r="N765" t="s">
        <v>43</v>
      </c>
      <c r="O765" t="s">
        <v>19</v>
      </c>
      <c r="P765">
        <v>1000</v>
      </c>
      <c r="Q765">
        <f>AVERAGE(Table1[funds_raised_millions])</f>
        <v>470.28289473684208</v>
      </c>
      <c r="R765">
        <f>AVERAGE(Table1[total_laid_off])</f>
        <v>236.96936274509804</v>
      </c>
    </row>
    <row r="766" spans="1:18" x14ac:dyDescent="0.25">
      <c r="A766" s="3" t="s">
        <v>853</v>
      </c>
      <c r="B766" t="s">
        <v>199</v>
      </c>
      <c r="C766" t="s">
        <v>161</v>
      </c>
      <c r="D766">
        <v>242</v>
      </c>
      <c r="E766" s="1">
        <v>0.28999999999999998</v>
      </c>
      <c r="F766" s="1" t="str">
        <f>IF(Table1[[#This Row],[percentage_laid_off]]=100%,"1","0")</f>
        <v>0</v>
      </c>
      <c r="G766" t="s">
        <v>28</v>
      </c>
      <c r="H766" s="2">
        <v>44872</v>
      </c>
      <c r="I766" s="2" t="str">
        <f>TEXT(Table1[[#This Row],[date]],"dd")</f>
        <v>07</v>
      </c>
      <c r="J766" s="20">
        <f>DATE(2000,MONTH(Table1[[#This Row],[date]]),1)</f>
        <v>36831</v>
      </c>
      <c r="K766" s="18" t="str">
        <f>TEXT(Table1[[#This Row],[date]],"mm")</f>
        <v>11</v>
      </c>
      <c r="L766" s="16" t="s">
        <v>23</v>
      </c>
      <c r="M766">
        <v>2022</v>
      </c>
      <c r="N766" t="s">
        <v>43</v>
      </c>
      <c r="O766" t="s">
        <v>200</v>
      </c>
      <c r="P766">
        <v>1000</v>
      </c>
      <c r="Q766">
        <f>AVERAGE(Table1[funds_raised_millions])</f>
        <v>470.28289473684208</v>
      </c>
      <c r="R766">
        <f>AVERAGE(Table1[total_laid_off])</f>
        <v>236.96936274509804</v>
      </c>
    </row>
    <row r="767" spans="1:18" x14ac:dyDescent="0.25">
      <c r="A767" s="3" t="s">
        <v>854</v>
      </c>
      <c r="B767" t="s">
        <v>33</v>
      </c>
      <c r="C767" t="s">
        <v>69</v>
      </c>
      <c r="D767">
        <v>8</v>
      </c>
      <c r="E767" s="1">
        <v>0.1</v>
      </c>
      <c r="F767" s="1" t="str">
        <f>IF(Table1[[#This Row],[percentage_laid_off]]=100%,"1","0")</f>
        <v>0</v>
      </c>
      <c r="G767" t="s">
        <v>16</v>
      </c>
      <c r="H767" s="2">
        <v>43903</v>
      </c>
      <c r="I767" s="2" t="str">
        <f>TEXT(Table1[[#This Row],[date]],"dd")</f>
        <v>13</v>
      </c>
      <c r="J767" s="20">
        <f>DATE(2000,MONTH(Table1[[#This Row],[date]]),1)</f>
        <v>36586</v>
      </c>
      <c r="K767" s="18" t="str">
        <f>TEXT(Table1[[#This Row],[date]],"mm")</f>
        <v>03</v>
      </c>
      <c r="L767" s="16" t="s">
        <v>57</v>
      </c>
      <c r="M767">
        <v>2020</v>
      </c>
      <c r="N767" t="s">
        <v>47</v>
      </c>
      <c r="O767" t="s">
        <v>19</v>
      </c>
      <c r="P767">
        <v>45</v>
      </c>
      <c r="Q767">
        <f>AVERAGE(Table1[funds_raised_millions])</f>
        <v>470.28289473684208</v>
      </c>
      <c r="R767">
        <f>AVERAGE(Table1[total_laid_off])</f>
        <v>236.96936274509804</v>
      </c>
    </row>
    <row r="768" spans="1:18" x14ac:dyDescent="0.25">
      <c r="A768" s="3" t="s">
        <v>855</v>
      </c>
      <c r="B768" t="s">
        <v>94</v>
      </c>
      <c r="C768" t="s">
        <v>112</v>
      </c>
      <c r="D768">
        <v>15</v>
      </c>
      <c r="E768" s="1">
        <v>0.25</v>
      </c>
      <c r="F768" s="1" t="str">
        <f>IF(Table1[[#This Row],[percentage_laid_off]]=100%,"1","0")</f>
        <v>0</v>
      </c>
      <c r="G768" t="s">
        <v>28</v>
      </c>
      <c r="H768" s="2">
        <v>43945</v>
      </c>
      <c r="I768" s="2" t="str">
        <f>TEXT(Table1[[#This Row],[date]],"dd")</f>
        <v>24</v>
      </c>
      <c r="J768" s="20">
        <f>DATE(2000,MONTH(Table1[[#This Row],[date]]),1)</f>
        <v>36617</v>
      </c>
      <c r="K768" s="18" t="str">
        <f>TEXT(Table1[[#This Row],[date]],"mm")</f>
        <v>04</v>
      </c>
      <c r="L768" s="16" t="s">
        <v>37</v>
      </c>
      <c r="M768">
        <v>2020</v>
      </c>
      <c r="N768" t="s">
        <v>30</v>
      </c>
      <c r="O768" t="s">
        <v>96</v>
      </c>
      <c r="P768">
        <v>30</v>
      </c>
      <c r="Q768">
        <f>AVERAGE(Table1[funds_raised_millions])</f>
        <v>470.28289473684208</v>
      </c>
      <c r="R768">
        <f>AVERAGE(Table1[total_laid_off])</f>
        <v>236.96936274509804</v>
      </c>
    </row>
    <row r="769" spans="1:18" x14ac:dyDescent="0.25">
      <c r="A769" s="3" t="s">
        <v>856</v>
      </c>
      <c r="B769" t="s">
        <v>857</v>
      </c>
      <c r="C769" t="s">
        <v>22</v>
      </c>
      <c r="D769">
        <v>227</v>
      </c>
      <c r="E769" s="1">
        <v>0.12</v>
      </c>
      <c r="F769" s="1" t="str">
        <f>IF(Table1[[#This Row],[percentage_laid_off]]=100%,"1","0")</f>
        <v>0</v>
      </c>
      <c r="G769" t="s">
        <v>28</v>
      </c>
      <c r="H769" s="2">
        <v>44854</v>
      </c>
      <c r="I769" s="2" t="str">
        <f>TEXT(Table1[[#This Row],[date]],"dd")</f>
        <v>20</v>
      </c>
      <c r="J769" s="20">
        <f>DATE(2000,MONTH(Table1[[#This Row],[date]]),1)</f>
        <v>36800</v>
      </c>
      <c r="K769" s="18" t="str">
        <f>TEXT(Table1[[#This Row],[date]],"mm")</f>
        <v>10</v>
      </c>
      <c r="L769" s="16" t="s">
        <v>95</v>
      </c>
      <c r="M769">
        <v>2022</v>
      </c>
      <c r="N769" t="s">
        <v>35</v>
      </c>
      <c r="O769" t="s">
        <v>48</v>
      </c>
      <c r="P769">
        <v>127</v>
      </c>
      <c r="Q769">
        <f>AVERAGE(Table1[funds_raised_millions])</f>
        <v>470.28289473684208</v>
      </c>
      <c r="R769">
        <f>AVERAGE(Table1[total_laid_off])</f>
        <v>236.96936274509804</v>
      </c>
    </row>
    <row r="770" spans="1:18" x14ac:dyDescent="0.25">
      <c r="A770" s="3" t="s">
        <v>858</v>
      </c>
      <c r="B770" t="s">
        <v>13</v>
      </c>
      <c r="C770" t="s">
        <v>34</v>
      </c>
      <c r="D770">
        <v>95</v>
      </c>
      <c r="E770" s="1">
        <v>0.08</v>
      </c>
      <c r="F770" s="1" t="str">
        <f>IF(Table1[[#This Row],[percentage_laid_off]]=100%,"1","0")</f>
        <v>0</v>
      </c>
      <c r="G770" t="s">
        <v>16</v>
      </c>
      <c r="H770" s="2">
        <v>44754</v>
      </c>
      <c r="I770" s="2" t="str">
        <f>TEXT(Table1[[#This Row],[date]],"dd")</f>
        <v>12</v>
      </c>
      <c r="J770" s="20">
        <f>DATE(2000,MONTH(Table1[[#This Row],[date]]),1)</f>
        <v>36708</v>
      </c>
      <c r="K770" s="18" t="str">
        <f>TEXT(Table1[[#This Row],[date]],"mm")</f>
        <v>07</v>
      </c>
      <c r="L770" s="16" t="s">
        <v>17</v>
      </c>
      <c r="M770">
        <v>2022</v>
      </c>
      <c r="N770" t="s">
        <v>18</v>
      </c>
      <c r="O770" t="s">
        <v>19</v>
      </c>
      <c r="P770">
        <v>613</v>
      </c>
      <c r="Q770">
        <f>AVERAGE(Table1[funds_raised_millions])</f>
        <v>470.28289473684208</v>
      </c>
      <c r="R770">
        <f>AVERAGE(Table1[total_laid_off])</f>
        <v>236.96936274509804</v>
      </c>
    </row>
    <row r="771" spans="1:18" x14ac:dyDescent="0.25">
      <c r="A771" s="3" t="s">
        <v>858</v>
      </c>
      <c r="B771" t="s">
        <v>13</v>
      </c>
      <c r="C771" t="s">
        <v>34</v>
      </c>
      <c r="D771">
        <v>155</v>
      </c>
      <c r="E771" s="1">
        <v>0.1</v>
      </c>
      <c r="F771" s="1" t="str">
        <f>IF(Table1[[#This Row],[percentage_laid_off]]=100%,"1","0")</f>
        <v>0</v>
      </c>
      <c r="G771" t="s">
        <v>16</v>
      </c>
      <c r="H771" s="2">
        <v>43942</v>
      </c>
      <c r="I771" s="2" t="str">
        <f>TEXT(Table1[[#This Row],[date]],"dd")</f>
        <v>21</v>
      </c>
      <c r="J771" s="20">
        <f>DATE(2000,MONTH(Table1[[#This Row],[date]]),1)</f>
        <v>36617</v>
      </c>
      <c r="K771" s="18" t="str">
        <f>TEXT(Table1[[#This Row],[date]],"mm")</f>
        <v>04</v>
      </c>
      <c r="L771" s="16" t="s">
        <v>37</v>
      </c>
      <c r="M771">
        <v>2020</v>
      </c>
      <c r="N771" t="s">
        <v>18</v>
      </c>
      <c r="O771" t="s">
        <v>19</v>
      </c>
      <c r="P771">
        <v>613</v>
      </c>
      <c r="Q771">
        <f>AVERAGE(Table1[funds_raised_millions])</f>
        <v>470.28289473684208</v>
      </c>
      <c r="R771">
        <f>AVERAGE(Table1[total_laid_off])</f>
        <v>236.96936274509804</v>
      </c>
    </row>
    <row r="772" spans="1:18" x14ac:dyDescent="0.25">
      <c r="A772" s="3" t="s">
        <v>859</v>
      </c>
      <c r="B772" t="s">
        <v>170</v>
      </c>
      <c r="C772" t="s">
        <v>309</v>
      </c>
      <c r="D772">
        <v>100</v>
      </c>
      <c r="E772" t="s">
        <v>15</v>
      </c>
      <c r="F772" s="1" t="str">
        <f>IF(Table1[[#This Row],[percentage_laid_off]]=100%,"1","0")</f>
        <v>0</v>
      </c>
      <c r="G772" t="b">
        <v>0</v>
      </c>
      <c r="H772" s="2">
        <v>44976</v>
      </c>
      <c r="I772" s="2" t="str">
        <f>TEXT(Table1[[#This Row],[date]],"dd")</f>
        <v>19</v>
      </c>
      <c r="J772" s="20">
        <f>DATE(2000,MONTH(Table1[[#This Row],[date]]),1)</f>
        <v>36557</v>
      </c>
      <c r="K772" s="18" t="str">
        <f>TEXT(Table1[[#This Row],[date]],"mm")</f>
        <v>02</v>
      </c>
      <c r="L772" s="16" t="s">
        <v>42</v>
      </c>
      <c r="M772">
        <v>2023</v>
      </c>
      <c r="N772" t="s">
        <v>38</v>
      </c>
      <c r="O772" t="s">
        <v>172</v>
      </c>
      <c r="P772">
        <v>4200</v>
      </c>
      <c r="Q772">
        <f>AVERAGE(Table1[funds_raised_millions])</f>
        <v>470.28289473684208</v>
      </c>
      <c r="R772">
        <f>AVERAGE(Table1[total_laid_off])</f>
        <v>236.96936274509804</v>
      </c>
    </row>
    <row r="773" spans="1:18" x14ac:dyDescent="0.25">
      <c r="A773" s="3" t="s">
        <v>860</v>
      </c>
      <c r="B773" t="s">
        <v>27</v>
      </c>
      <c r="C773" t="s">
        <v>41</v>
      </c>
      <c r="D773">
        <v>45</v>
      </c>
      <c r="E773" s="1">
        <v>1</v>
      </c>
      <c r="F773" s="1" t="str">
        <f>IF(Table1[[#This Row],[percentage_laid_off]]=100%,"1","0")</f>
        <v>1</v>
      </c>
      <c r="G773" t="s">
        <v>114</v>
      </c>
      <c r="H773" s="2">
        <v>44198</v>
      </c>
      <c r="I773" s="2" t="str">
        <f>TEXT(Table1[[#This Row],[date]],"dd")</f>
        <v>02</v>
      </c>
      <c r="J773" s="20">
        <f>DATE(2000,MONTH(Table1[[#This Row],[date]]),1)</f>
        <v>36526</v>
      </c>
      <c r="K773" s="18" t="str">
        <f>TEXT(Table1[[#This Row],[date]],"mm")</f>
        <v>01</v>
      </c>
      <c r="L773" s="16" t="s">
        <v>29</v>
      </c>
      <c r="M773">
        <v>2021</v>
      </c>
      <c r="N773" t="s">
        <v>30</v>
      </c>
      <c r="O773" t="s">
        <v>31</v>
      </c>
      <c r="P773">
        <v>61</v>
      </c>
      <c r="Q773">
        <f>AVERAGE(Table1[funds_raised_millions])</f>
        <v>470.28289473684208</v>
      </c>
      <c r="R773">
        <f>AVERAGE(Table1[total_laid_off])</f>
        <v>236.96936274509804</v>
      </c>
    </row>
    <row r="774" spans="1:18" x14ac:dyDescent="0.25">
      <c r="A774" s="3" t="s">
        <v>861</v>
      </c>
      <c r="B774" t="s">
        <v>13</v>
      </c>
      <c r="C774" t="s">
        <v>174</v>
      </c>
      <c r="D774" t="s">
        <v>15</v>
      </c>
      <c r="E774" s="1">
        <v>1</v>
      </c>
      <c r="F774" s="1" t="str">
        <f>IF(Table1[[#This Row],[percentage_laid_off]]=100%,"1","0")</f>
        <v>1</v>
      </c>
      <c r="G774" t="s">
        <v>114</v>
      </c>
      <c r="H774" s="2">
        <v>44144</v>
      </c>
      <c r="I774" s="2" t="str">
        <f>TEXT(Table1[[#This Row],[date]],"dd")</f>
        <v>09</v>
      </c>
      <c r="J774" s="20">
        <f>DATE(2000,MONTH(Table1[[#This Row],[date]]),1)</f>
        <v>36831</v>
      </c>
      <c r="K774" s="18" t="str">
        <f>TEXT(Table1[[#This Row],[date]],"mm")</f>
        <v>11</v>
      </c>
      <c r="L774" s="16" t="s">
        <v>23</v>
      </c>
      <c r="M774">
        <v>2020</v>
      </c>
      <c r="N774" t="s">
        <v>24</v>
      </c>
      <c r="O774" t="s">
        <v>19</v>
      </c>
      <c r="P774">
        <v>13</v>
      </c>
      <c r="Q774">
        <f>AVERAGE(Table1[funds_raised_millions])</f>
        <v>470.28289473684208</v>
      </c>
      <c r="R774">
        <f>AVERAGE(Table1[total_laid_off])</f>
        <v>236.96936274509804</v>
      </c>
    </row>
    <row r="775" spans="1:18" x14ac:dyDescent="0.25">
      <c r="A775" s="3" t="s">
        <v>862</v>
      </c>
      <c r="B775" t="s">
        <v>13</v>
      </c>
      <c r="C775" t="s">
        <v>22</v>
      </c>
      <c r="D775">
        <v>45</v>
      </c>
      <c r="E775" s="1">
        <v>0.12</v>
      </c>
      <c r="F775" s="1" t="str">
        <f>IF(Table1[[#This Row],[percentage_laid_off]]=100%,"1","0")</f>
        <v>0</v>
      </c>
      <c r="G775" t="s">
        <v>28</v>
      </c>
      <c r="H775" s="2">
        <v>44902</v>
      </c>
      <c r="I775" s="2" t="str">
        <f>TEXT(Table1[[#This Row],[date]],"dd")</f>
        <v>07</v>
      </c>
      <c r="J775" s="20">
        <f>DATE(2000,MONTH(Table1[[#This Row],[date]]),1)</f>
        <v>36861</v>
      </c>
      <c r="K775" s="18" t="str">
        <f>TEXT(Table1[[#This Row],[date]],"mm")</f>
        <v>12</v>
      </c>
      <c r="L775" s="16" t="s">
        <v>61</v>
      </c>
      <c r="M775">
        <v>2022</v>
      </c>
      <c r="N775" t="s">
        <v>30</v>
      </c>
      <c r="O775" t="s">
        <v>19</v>
      </c>
      <c r="P775">
        <v>153</v>
      </c>
      <c r="Q775">
        <f>AVERAGE(Table1[funds_raised_millions])</f>
        <v>470.28289473684208</v>
      </c>
      <c r="R775">
        <f>AVERAGE(Table1[total_laid_off])</f>
        <v>236.96936274509804</v>
      </c>
    </row>
    <row r="776" spans="1:18" x14ac:dyDescent="0.25">
      <c r="A776" s="3" t="s">
        <v>862</v>
      </c>
      <c r="B776" t="s">
        <v>13</v>
      </c>
      <c r="C776" t="s">
        <v>161</v>
      </c>
      <c r="D776">
        <v>115</v>
      </c>
      <c r="E776" s="1">
        <v>0.35</v>
      </c>
      <c r="F776" s="1" t="str">
        <f>IF(Table1[[#This Row],[percentage_laid_off]]=100%,"1","0")</f>
        <v>0</v>
      </c>
      <c r="G776" t="s">
        <v>28</v>
      </c>
      <c r="H776" s="2">
        <v>44945</v>
      </c>
      <c r="I776" s="2" t="str">
        <f>TEXT(Table1[[#This Row],[date]],"dd")</f>
        <v>19</v>
      </c>
      <c r="J776" s="20">
        <f>DATE(2000,MONTH(Table1[[#This Row],[date]]),1)</f>
        <v>36526</v>
      </c>
      <c r="K776" s="18" t="str">
        <f>TEXT(Table1[[#This Row],[date]],"mm")</f>
        <v>01</v>
      </c>
      <c r="L776" s="16" t="s">
        <v>29</v>
      </c>
      <c r="M776">
        <v>2023</v>
      </c>
      <c r="N776" t="s">
        <v>30</v>
      </c>
      <c r="O776" t="s">
        <v>19</v>
      </c>
      <c r="P776">
        <v>153</v>
      </c>
      <c r="Q776">
        <f>AVERAGE(Table1[funds_raised_millions])</f>
        <v>470.28289473684208</v>
      </c>
      <c r="R776">
        <f>AVERAGE(Table1[total_laid_off])</f>
        <v>236.96936274509804</v>
      </c>
    </row>
    <row r="777" spans="1:18" x14ac:dyDescent="0.25">
      <c r="A777" s="3" t="s">
        <v>863</v>
      </c>
      <c r="B777" t="s">
        <v>88</v>
      </c>
      <c r="C777" t="s">
        <v>22</v>
      </c>
      <c r="D777">
        <v>500</v>
      </c>
      <c r="E777" s="1">
        <v>7.0000000000000007E-2</v>
      </c>
      <c r="F777" s="1" t="str">
        <f>IF(Table1[[#This Row],[percentage_laid_off]]=100%,"1","0")</f>
        <v>0</v>
      </c>
      <c r="G777" t="s">
        <v>16</v>
      </c>
      <c r="H777" s="2">
        <v>44957</v>
      </c>
      <c r="I777" s="2" t="str">
        <f>TEXT(Table1[[#This Row],[date]],"dd")</f>
        <v>31</v>
      </c>
      <c r="J777" s="20">
        <f>DATE(2000,MONTH(Table1[[#This Row],[date]]),1)</f>
        <v>36526</v>
      </c>
      <c r="K777" s="18" t="str">
        <f>TEXT(Table1[[#This Row],[date]],"mm")</f>
        <v>01</v>
      </c>
      <c r="L777" s="16" t="s">
        <v>29</v>
      </c>
      <c r="M777">
        <v>2023</v>
      </c>
      <c r="N777" t="s">
        <v>38</v>
      </c>
      <c r="O777" t="s">
        <v>19</v>
      </c>
      <c r="P777">
        <v>100</v>
      </c>
      <c r="Q777">
        <f>AVERAGE(Table1[funds_raised_millions])</f>
        <v>470.28289473684208</v>
      </c>
      <c r="R777">
        <f>AVERAGE(Table1[total_laid_off])</f>
        <v>236.96936274509804</v>
      </c>
    </row>
    <row r="778" spans="1:18" x14ac:dyDescent="0.25">
      <c r="A778" s="3" t="s">
        <v>864</v>
      </c>
      <c r="B778" t="s">
        <v>40</v>
      </c>
      <c r="C778" t="s">
        <v>78</v>
      </c>
      <c r="D778">
        <v>47</v>
      </c>
      <c r="E778" t="s">
        <v>15</v>
      </c>
      <c r="F778" s="1" t="str">
        <f>IF(Table1[[#This Row],[percentage_laid_off]]=100%,"1","0")</f>
        <v>0</v>
      </c>
      <c r="G778" t="b">
        <v>0</v>
      </c>
      <c r="H778" s="2">
        <v>44442</v>
      </c>
      <c r="I778" s="2" t="str">
        <f>TEXT(Table1[[#This Row],[date]],"dd")</f>
        <v>03</v>
      </c>
      <c r="J778" s="20">
        <f>DATE(2000,MONTH(Table1[[#This Row],[date]]),1)</f>
        <v>36770</v>
      </c>
      <c r="K778" s="18" t="str">
        <f>TEXT(Table1[[#This Row],[date]],"mm")</f>
        <v>09</v>
      </c>
      <c r="L778" s="16" t="s">
        <v>70</v>
      </c>
      <c r="M778">
        <v>2021</v>
      </c>
      <c r="N778" t="s">
        <v>71</v>
      </c>
      <c r="O778" t="s">
        <v>19</v>
      </c>
      <c r="P778">
        <v>37</v>
      </c>
      <c r="Q778">
        <f>AVERAGE(Table1[funds_raised_millions])</f>
        <v>470.28289473684208</v>
      </c>
      <c r="R778">
        <f>AVERAGE(Table1[total_laid_off])</f>
        <v>236.96936274509804</v>
      </c>
    </row>
    <row r="779" spans="1:18" x14ac:dyDescent="0.25">
      <c r="A779" s="3" t="s">
        <v>865</v>
      </c>
      <c r="B779" t="s">
        <v>13</v>
      </c>
      <c r="C779" t="s">
        <v>78</v>
      </c>
      <c r="D779">
        <v>10</v>
      </c>
      <c r="E779" t="s">
        <v>15</v>
      </c>
      <c r="F779" s="1" t="str">
        <f>IF(Table1[[#This Row],[percentage_laid_off]]=100%,"1","0")</f>
        <v>0</v>
      </c>
      <c r="G779" t="b">
        <v>0</v>
      </c>
      <c r="H779" s="2">
        <v>44666</v>
      </c>
      <c r="I779" s="2" t="str">
        <f>TEXT(Table1[[#This Row],[date]],"dd")</f>
        <v>15</v>
      </c>
      <c r="J779" s="20">
        <f>DATE(2000,MONTH(Table1[[#This Row],[date]]),1)</f>
        <v>36617</v>
      </c>
      <c r="K779" s="18" t="str">
        <f>TEXT(Table1[[#This Row],[date]],"mm")</f>
        <v>04</v>
      </c>
      <c r="L779" s="16" t="s">
        <v>37</v>
      </c>
      <c r="M779">
        <v>2022</v>
      </c>
      <c r="N779" t="s">
        <v>71</v>
      </c>
      <c r="O779" t="s">
        <v>19</v>
      </c>
      <c r="P779">
        <v>4</v>
      </c>
      <c r="Q779">
        <f>AVERAGE(Table1[funds_raised_millions])</f>
        <v>470.28289473684208</v>
      </c>
      <c r="R779">
        <f>AVERAGE(Table1[total_laid_off])</f>
        <v>236.96936274509804</v>
      </c>
    </row>
    <row r="780" spans="1:18" x14ac:dyDescent="0.25">
      <c r="A780" s="3" t="s">
        <v>866</v>
      </c>
      <c r="B780" t="s">
        <v>13</v>
      </c>
      <c r="C780" t="s">
        <v>190</v>
      </c>
      <c r="D780">
        <v>26</v>
      </c>
      <c r="E780" t="s">
        <v>15</v>
      </c>
      <c r="F780" s="1" t="str">
        <f>IF(Table1[[#This Row],[percentage_laid_off]]=100%,"1","0")</f>
        <v>0</v>
      </c>
      <c r="G780" t="b">
        <v>0</v>
      </c>
      <c r="H780" s="2">
        <v>43865</v>
      </c>
      <c r="I780" s="2" t="str">
        <f>TEXT(Table1[[#This Row],[date]],"dd")</f>
        <v>04</v>
      </c>
      <c r="J780" s="20">
        <f>DATE(2000,MONTH(Table1[[#This Row],[date]]),1)</f>
        <v>36557</v>
      </c>
      <c r="K780" s="18" t="str">
        <f>TEXT(Table1[[#This Row],[date]],"mm")</f>
        <v>02</v>
      </c>
      <c r="L780" s="16" t="s">
        <v>42</v>
      </c>
      <c r="M780">
        <v>2020</v>
      </c>
      <c r="N780" t="s">
        <v>30</v>
      </c>
      <c r="O780" t="s">
        <v>19</v>
      </c>
      <c r="P780">
        <v>40</v>
      </c>
      <c r="Q780">
        <f>AVERAGE(Table1[funds_raised_millions])</f>
        <v>470.28289473684208</v>
      </c>
      <c r="R780">
        <f>AVERAGE(Table1[total_laid_off])</f>
        <v>236.96936274509804</v>
      </c>
    </row>
    <row r="781" spans="1:18" x14ac:dyDescent="0.25">
      <c r="A781" s="3" t="s">
        <v>867</v>
      </c>
      <c r="B781" t="s">
        <v>745</v>
      </c>
      <c r="C781" t="s">
        <v>190</v>
      </c>
      <c r="D781">
        <v>30</v>
      </c>
      <c r="E781" t="s">
        <v>15</v>
      </c>
      <c r="F781" s="1" t="str">
        <f>IF(Table1[[#This Row],[percentage_laid_off]]=100%,"1","0")</f>
        <v>0</v>
      </c>
      <c r="G781" t="b">
        <v>0</v>
      </c>
      <c r="H781" s="2">
        <v>44726</v>
      </c>
      <c r="I781" s="2" t="str">
        <f>TEXT(Table1[[#This Row],[date]],"dd")</f>
        <v>14</v>
      </c>
      <c r="J781" s="20">
        <f>DATE(2000,MONTH(Table1[[#This Row],[date]]),1)</f>
        <v>36678</v>
      </c>
      <c r="K781" s="18" t="str">
        <f>TEXT(Table1[[#This Row],[date]],"mm")</f>
        <v>06</v>
      </c>
      <c r="L781" s="16" t="s">
        <v>73</v>
      </c>
      <c r="M781">
        <v>2022</v>
      </c>
      <c r="N781" t="s">
        <v>139</v>
      </c>
      <c r="O781" t="s">
        <v>746</v>
      </c>
      <c r="P781">
        <v>6</v>
      </c>
      <c r="Q781">
        <f>AVERAGE(Table1[funds_raised_millions])</f>
        <v>470.28289473684208</v>
      </c>
      <c r="R781">
        <f>AVERAGE(Table1[total_laid_off])</f>
        <v>236.96936274509804</v>
      </c>
    </row>
    <row r="782" spans="1:18" x14ac:dyDescent="0.25">
      <c r="A782" s="3" t="s">
        <v>868</v>
      </c>
      <c r="B782" t="s">
        <v>869</v>
      </c>
      <c r="C782" t="s">
        <v>46</v>
      </c>
      <c r="D782">
        <v>275</v>
      </c>
      <c r="E782" s="1">
        <v>0.2</v>
      </c>
      <c r="F782" s="1" t="str">
        <f>IF(Table1[[#This Row],[percentage_laid_off]]=100%,"1","0")</f>
        <v>0</v>
      </c>
      <c r="G782" t="s">
        <v>28</v>
      </c>
      <c r="H782" s="2">
        <v>45078</v>
      </c>
      <c r="I782" s="2" t="str">
        <f>TEXT(Table1[[#This Row],[date]],"dd")</f>
        <v>01</v>
      </c>
      <c r="J782" s="20">
        <f>DATE(2000,MONTH(Table1[[#This Row],[date]]),1)</f>
        <v>36678</v>
      </c>
      <c r="K782" s="18" t="str">
        <f>TEXT(Table1[[#This Row],[date]],"mm")</f>
        <v>06</v>
      </c>
      <c r="L782" s="16" t="s">
        <v>73</v>
      </c>
      <c r="M782">
        <v>2023</v>
      </c>
      <c r="N782" t="s">
        <v>47</v>
      </c>
      <c r="O782" t="s">
        <v>282</v>
      </c>
      <c r="P782">
        <v>2</v>
      </c>
      <c r="Q782">
        <f>AVERAGE(Table1[funds_raised_millions])</f>
        <v>470.28289473684208</v>
      </c>
      <c r="R782">
        <f>AVERAGE(Table1[total_laid_off])</f>
        <v>236.96936274509804</v>
      </c>
    </row>
    <row r="783" spans="1:18" x14ac:dyDescent="0.25">
      <c r="A783" s="3" t="s">
        <v>868</v>
      </c>
      <c r="B783" t="s">
        <v>869</v>
      </c>
      <c r="C783" t="s">
        <v>46</v>
      </c>
      <c r="D783">
        <v>300</v>
      </c>
      <c r="E783" s="1">
        <v>0.3</v>
      </c>
      <c r="F783" s="1" t="str">
        <f>IF(Table1[[#This Row],[percentage_laid_off]]=100%,"1","0")</f>
        <v>0</v>
      </c>
      <c r="G783" t="s">
        <v>28</v>
      </c>
      <c r="H783" s="2">
        <v>44740</v>
      </c>
      <c r="I783" s="2" t="str">
        <f>TEXT(Table1[[#This Row],[date]],"dd")</f>
        <v>28</v>
      </c>
      <c r="J783" s="20">
        <f>DATE(2000,MONTH(Table1[[#This Row],[date]]),1)</f>
        <v>36678</v>
      </c>
      <c r="K783" s="18" t="str">
        <f>TEXT(Table1[[#This Row],[date]],"mm")</f>
        <v>06</v>
      </c>
      <c r="L783" s="16" t="s">
        <v>73</v>
      </c>
      <c r="M783">
        <v>2022</v>
      </c>
      <c r="N783" t="s">
        <v>47</v>
      </c>
      <c r="O783" t="s">
        <v>282</v>
      </c>
      <c r="P783">
        <v>2</v>
      </c>
      <c r="Q783">
        <f>AVERAGE(Table1[funds_raised_millions])</f>
        <v>470.28289473684208</v>
      </c>
      <c r="R783">
        <f>AVERAGE(Table1[total_laid_off])</f>
        <v>236.96936274509804</v>
      </c>
    </row>
    <row r="784" spans="1:18" x14ac:dyDescent="0.25">
      <c r="A784" s="3" t="s">
        <v>870</v>
      </c>
      <c r="B784" t="s">
        <v>88</v>
      </c>
      <c r="C784" t="s">
        <v>468</v>
      </c>
      <c r="D784" t="s">
        <v>15</v>
      </c>
      <c r="E784" s="1">
        <v>0.35</v>
      </c>
      <c r="F784" s="1" t="str">
        <f>IF(Table1[[#This Row],[percentage_laid_off]]=100%,"1","0")</f>
        <v>0</v>
      </c>
      <c r="G784" t="s">
        <v>28</v>
      </c>
      <c r="H784" s="2">
        <v>44760</v>
      </c>
      <c r="I784" s="2" t="str">
        <f>TEXT(Table1[[#This Row],[date]],"dd")</f>
        <v>18</v>
      </c>
      <c r="J784" s="20">
        <f>DATE(2000,MONTH(Table1[[#This Row],[date]]),1)</f>
        <v>36708</v>
      </c>
      <c r="K784" s="18" t="str">
        <f>TEXT(Table1[[#This Row],[date]],"mm")</f>
        <v>07</v>
      </c>
      <c r="L784" s="16" t="s">
        <v>17</v>
      </c>
      <c r="M784">
        <v>2022</v>
      </c>
      <c r="N784" t="s">
        <v>43</v>
      </c>
      <c r="O784" t="s">
        <v>19</v>
      </c>
      <c r="P784">
        <v>269</v>
      </c>
      <c r="Q784">
        <f>AVERAGE(Table1[funds_raised_millions])</f>
        <v>470.28289473684208</v>
      </c>
      <c r="R784">
        <f>AVERAGE(Table1[total_laid_off])</f>
        <v>236.96936274509804</v>
      </c>
    </row>
    <row r="785" spans="1:18" x14ac:dyDescent="0.25">
      <c r="A785" s="3" t="s">
        <v>870</v>
      </c>
      <c r="B785" t="s">
        <v>88</v>
      </c>
      <c r="C785" t="s">
        <v>468</v>
      </c>
      <c r="D785">
        <v>30</v>
      </c>
      <c r="E785" t="s">
        <v>15</v>
      </c>
      <c r="F785" s="1" t="str">
        <f>IF(Table1[[#This Row],[percentage_laid_off]]=100%,"1","0")</f>
        <v>0</v>
      </c>
      <c r="G785" t="b">
        <v>0</v>
      </c>
      <c r="H785" s="2">
        <v>44945</v>
      </c>
      <c r="I785" s="2" t="str">
        <f>TEXT(Table1[[#This Row],[date]],"dd")</f>
        <v>19</v>
      </c>
      <c r="J785" s="20">
        <f>DATE(2000,MONTH(Table1[[#This Row],[date]]),1)</f>
        <v>36526</v>
      </c>
      <c r="K785" s="18" t="str">
        <f>TEXT(Table1[[#This Row],[date]],"mm")</f>
        <v>01</v>
      </c>
      <c r="L785" s="16" t="s">
        <v>29</v>
      </c>
      <c r="M785">
        <v>2023</v>
      </c>
      <c r="N785" t="s">
        <v>43</v>
      </c>
      <c r="O785" t="s">
        <v>19</v>
      </c>
      <c r="P785">
        <v>269</v>
      </c>
      <c r="Q785">
        <f>AVERAGE(Table1[funds_raised_millions])</f>
        <v>470.28289473684208</v>
      </c>
      <c r="R785">
        <f>AVERAGE(Table1[total_laid_off])</f>
        <v>236.96936274509804</v>
      </c>
    </row>
    <row r="786" spans="1:18" x14ac:dyDescent="0.25">
      <c r="A786" s="3" t="s">
        <v>871</v>
      </c>
      <c r="B786" t="s">
        <v>40</v>
      </c>
      <c r="C786" t="s">
        <v>89</v>
      </c>
      <c r="D786">
        <v>100</v>
      </c>
      <c r="E786" s="1">
        <v>0.25</v>
      </c>
      <c r="F786" s="1" t="str">
        <f>IF(Table1[[#This Row],[percentage_laid_off]]=100%,"1","0")</f>
        <v>0</v>
      </c>
      <c r="G786" t="s">
        <v>28</v>
      </c>
      <c r="H786" s="2">
        <v>44623</v>
      </c>
      <c r="I786" s="2" t="str">
        <f>TEXT(Table1[[#This Row],[date]],"dd")</f>
        <v>03</v>
      </c>
      <c r="J786" s="20">
        <f>DATE(2000,MONTH(Table1[[#This Row],[date]]),1)</f>
        <v>36586</v>
      </c>
      <c r="K786" s="18" t="str">
        <f>TEXT(Table1[[#This Row],[date]],"mm")</f>
        <v>03</v>
      </c>
      <c r="L786" s="16" t="s">
        <v>57</v>
      </c>
      <c r="M786">
        <v>2022</v>
      </c>
      <c r="N786" t="s">
        <v>18</v>
      </c>
      <c r="O786" t="s">
        <v>19</v>
      </c>
      <c r="P786">
        <v>289</v>
      </c>
      <c r="Q786">
        <f>AVERAGE(Table1[funds_raised_millions])</f>
        <v>470.28289473684208</v>
      </c>
      <c r="R786">
        <f>AVERAGE(Table1[total_laid_off])</f>
        <v>236.96936274509804</v>
      </c>
    </row>
    <row r="787" spans="1:18" x14ac:dyDescent="0.25">
      <c r="A787" s="3" t="s">
        <v>872</v>
      </c>
      <c r="B787" t="s">
        <v>40</v>
      </c>
      <c r="C787" t="s">
        <v>309</v>
      </c>
      <c r="D787">
        <v>3900</v>
      </c>
      <c r="E787" s="1">
        <v>0.02</v>
      </c>
      <c r="F787" s="1" t="str">
        <f>IF(Table1[[#This Row],[percentage_laid_off]]=100%,"1","0")</f>
        <v>0</v>
      </c>
      <c r="G787" t="s">
        <v>16</v>
      </c>
      <c r="H787" s="2">
        <v>44951</v>
      </c>
      <c r="I787" s="2" t="str">
        <f>TEXT(Table1[[#This Row],[date]],"dd")</f>
        <v>25</v>
      </c>
      <c r="J787" s="20">
        <f>DATE(2000,MONTH(Table1[[#This Row],[date]]),1)</f>
        <v>36526</v>
      </c>
      <c r="K787" s="18" t="str">
        <f>TEXT(Table1[[#This Row],[date]],"mm")</f>
        <v>01</v>
      </c>
      <c r="L787" s="16" t="s">
        <v>29</v>
      </c>
      <c r="M787">
        <v>2023</v>
      </c>
      <c r="N787" t="s">
        <v>38</v>
      </c>
      <c r="O787" t="s">
        <v>19</v>
      </c>
      <c r="P787" t="s">
        <v>15</v>
      </c>
      <c r="Q787">
        <f>AVERAGE(Table1[funds_raised_millions])</f>
        <v>470.28289473684208</v>
      </c>
      <c r="R787">
        <f>AVERAGE(Table1[total_laid_off])</f>
        <v>236.96936274509804</v>
      </c>
    </row>
    <row r="788" spans="1:18" x14ac:dyDescent="0.25">
      <c r="A788" s="3" t="s">
        <v>873</v>
      </c>
      <c r="B788" t="s">
        <v>325</v>
      </c>
      <c r="C788" t="s">
        <v>41</v>
      </c>
      <c r="D788">
        <v>87</v>
      </c>
      <c r="E788" s="1">
        <v>0.15</v>
      </c>
      <c r="F788" s="1" t="str">
        <f>IF(Table1[[#This Row],[percentage_laid_off]]=100%,"1","0")</f>
        <v>0</v>
      </c>
      <c r="G788" t="s">
        <v>28</v>
      </c>
      <c r="H788" s="2">
        <v>44016</v>
      </c>
      <c r="I788" s="2" t="str">
        <f>TEXT(Table1[[#This Row],[date]],"dd")</f>
        <v>04</v>
      </c>
      <c r="J788" s="20">
        <f>DATE(2000,MONTH(Table1[[#This Row],[date]]),1)</f>
        <v>36708</v>
      </c>
      <c r="K788" s="18" t="str">
        <f>TEXT(Table1[[#This Row],[date]],"mm")</f>
        <v>07</v>
      </c>
      <c r="L788" s="16" t="s">
        <v>17</v>
      </c>
      <c r="M788">
        <v>2020</v>
      </c>
      <c r="N788" t="s">
        <v>43</v>
      </c>
      <c r="O788" t="s">
        <v>19</v>
      </c>
      <c r="P788">
        <v>85</v>
      </c>
      <c r="Q788">
        <f>AVERAGE(Table1[funds_raised_millions])</f>
        <v>470.28289473684208</v>
      </c>
      <c r="R788">
        <f>AVERAGE(Table1[total_laid_off])</f>
        <v>236.96936274509804</v>
      </c>
    </row>
    <row r="789" spans="1:18" x14ac:dyDescent="0.25">
      <c r="A789" s="3" t="s">
        <v>874</v>
      </c>
      <c r="B789" t="s">
        <v>50</v>
      </c>
      <c r="C789" t="s">
        <v>181</v>
      </c>
      <c r="D789">
        <v>130</v>
      </c>
      <c r="E789" t="s">
        <v>15</v>
      </c>
      <c r="F789" s="1" t="str">
        <f>IF(Table1[[#This Row],[percentage_laid_off]]=100%,"1","0")</f>
        <v>0</v>
      </c>
      <c r="G789" t="b">
        <v>0</v>
      </c>
      <c r="H789" s="2">
        <v>44748</v>
      </c>
      <c r="I789" s="2" t="str">
        <f>TEXT(Table1[[#This Row],[date]],"dd")</f>
        <v>06</v>
      </c>
      <c r="J789" s="20">
        <f>DATE(2000,MONTH(Table1[[#This Row],[date]]),1)</f>
        <v>36708</v>
      </c>
      <c r="K789" s="18" t="str">
        <f>TEXT(Table1[[#This Row],[date]],"mm")</f>
        <v>07</v>
      </c>
      <c r="L789" s="16" t="s">
        <v>17</v>
      </c>
      <c r="M789">
        <v>2022</v>
      </c>
      <c r="N789" t="s">
        <v>47</v>
      </c>
      <c r="O789" t="s">
        <v>19</v>
      </c>
      <c r="P789">
        <v>275</v>
      </c>
      <c r="Q789">
        <f>AVERAGE(Table1[funds_raised_millions])</f>
        <v>470.28289473684208</v>
      </c>
      <c r="R789">
        <f>AVERAGE(Table1[total_laid_off])</f>
        <v>236.96936274509804</v>
      </c>
    </row>
    <row r="790" spans="1:18" x14ac:dyDescent="0.25">
      <c r="A790" s="3" t="s">
        <v>875</v>
      </c>
      <c r="B790" t="s">
        <v>68</v>
      </c>
      <c r="C790" t="s">
        <v>41</v>
      </c>
      <c r="D790">
        <v>40</v>
      </c>
      <c r="E790" t="s">
        <v>15</v>
      </c>
      <c r="F790" s="1" t="str">
        <f>IF(Table1[[#This Row],[percentage_laid_off]]=100%,"1","0")</f>
        <v>0</v>
      </c>
      <c r="G790" t="b">
        <v>0</v>
      </c>
      <c r="H790" s="2">
        <v>44656</v>
      </c>
      <c r="I790" s="2" t="str">
        <f>TEXT(Table1[[#This Row],[date]],"dd")</f>
        <v>05</v>
      </c>
      <c r="J790" s="20">
        <f>DATE(2000,MONTH(Table1[[#This Row],[date]]),1)</f>
        <v>36617</v>
      </c>
      <c r="K790" s="18" t="str">
        <f>TEXT(Table1[[#This Row],[date]],"mm")</f>
        <v>04</v>
      </c>
      <c r="L790" s="16" t="s">
        <v>37</v>
      </c>
      <c r="M790">
        <v>2022</v>
      </c>
      <c r="N790" t="s">
        <v>24</v>
      </c>
      <c r="O790" t="s">
        <v>19</v>
      </c>
      <c r="P790">
        <v>7</v>
      </c>
      <c r="Q790">
        <f>AVERAGE(Table1[funds_raised_millions])</f>
        <v>470.28289473684208</v>
      </c>
      <c r="R790">
        <f>AVERAGE(Table1[total_laid_off])</f>
        <v>236.96936274509804</v>
      </c>
    </row>
    <row r="791" spans="1:18" x14ac:dyDescent="0.25">
      <c r="A791" s="3" t="s">
        <v>876</v>
      </c>
      <c r="B791" t="s">
        <v>877</v>
      </c>
      <c r="C791" t="s">
        <v>468</v>
      </c>
      <c r="D791">
        <v>300</v>
      </c>
      <c r="E791" s="1">
        <v>0.2</v>
      </c>
      <c r="F791" s="1" t="str">
        <f>IF(Table1[[#This Row],[percentage_laid_off]]=100%,"1","0")</f>
        <v>0</v>
      </c>
      <c r="G791" t="s">
        <v>28</v>
      </c>
      <c r="H791" s="2">
        <v>44879</v>
      </c>
      <c r="I791" s="2" t="str">
        <f>TEXT(Table1[[#This Row],[date]],"dd")</f>
        <v>14</v>
      </c>
      <c r="J791" s="20">
        <f>DATE(2000,MONTH(Table1[[#This Row],[date]]),1)</f>
        <v>36831</v>
      </c>
      <c r="K791" s="18" t="str">
        <f>TEXT(Table1[[#This Row],[date]],"mm")</f>
        <v>11</v>
      </c>
      <c r="L791" s="16" t="s">
        <v>23</v>
      </c>
      <c r="M791">
        <v>2022</v>
      </c>
      <c r="N791" t="s">
        <v>117</v>
      </c>
      <c r="O791" t="s">
        <v>19</v>
      </c>
      <c r="P791">
        <v>200</v>
      </c>
      <c r="Q791">
        <f>AVERAGE(Table1[funds_raised_millions])</f>
        <v>470.28289473684208</v>
      </c>
      <c r="R791">
        <f>AVERAGE(Table1[total_laid_off])</f>
        <v>236.96936274509804</v>
      </c>
    </row>
    <row r="792" spans="1:18" x14ac:dyDescent="0.25">
      <c r="A792" s="3" t="s">
        <v>878</v>
      </c>
      <c r="B792" t="s">
        <v>425</v>
      </c>
      <c r="C792" t="s">
        <v>34</v>
      </c>
      <c r="D792">
        <v>50</v>
      </c>
      <c r="E792" s="1">
        <v>0.12</v>
      </c>
      <c r="F792" s="1" t="str">
        <f>IF(Table1[[#This Row],[percentage_laid_off]]=100%,"1","0")</f>
        <v>0</v>
      </c>
      <c r="G792" t="s">
        <v>28</v>
      </c>
      <c r="H792" s="2">
        <v>43925</v>
      </c>
      <c r="I792" s="2" t="str">
        <f>TEXT(Table1[[#This Row],[date]],"dd")</f>
        <v>04</v>
      </c>
      <c r="J792" s="20">
        <f>DATE(2000,MONTH(Table1[[#This Row],[date]]),1)</f>
        <v>36617</v>
      </c>
      <c r="K792" s="18" t="str">
        <f>TEXT(Table1[[#This Row],[date]],"mm")</f>
        <v>04</v>
      </c>
      <c r="L792" s="16" t="s">
        <v>37</v>
      </c>
      <c r="M792">
        <v>2020</v>
      </c>
      <c r="N792" t="s">
        <v>47</v>
      </c>
      <c r="O792" t="s">
        <v>426</v>
      </c>
      <c r="P792">
        <v>348</v>
      </c>
      <c r="Q792">
        <f>AVERAGE(Table1[funds_raised_millions])</f>
        <v>470.28289473684208</v>
      </c>
      <c r="R792">
        <f>AVERAGE(Table1[total_laid_off])</f>
        <v>236.96936274509804</v>
      </c>
    </row>
    <row r="793" spans="1:18" x14ac:dyDescent="0.25">
      <c r="A793" s="3" t="s">
        <v>879</v>
      </c>
      <c r="B793" t="s">
        <v>45</v>
      </c>
      <c r="C793" t="s">
        <v>64</v>
      </c>
      <c r="D793">
        <v>355</v>
      </c>
      <c r="E793" s="1">
        <v>0.06</v>
      </c>
      <c r="F793" s="1" t="str">
        <f>IF(Table1[[#This Row],[percentage_laid_off]]=100%,"1","0")</f>
        <v>0</v>
      </c>
      <c r="G793" t="s">
        <v>16</v>
      </c>
      <c r="H793" s="2">
        <v>44929</v>
      </c>
      <c r="I793" s="2" t="str">
        <f>TEXT(Table1[[#This Row],[date]],"dd")</f>
        <v>03</v>
      </c>
      <c r="J793" s="20">
        <f>DATE(2000,MONTH(Table1[[#This Row],[date]]),1)</f>
        <v>36526</v>
      </c>
      <c r="K793" s="18" t="str">
        <f>TEXT(Table1[[#This Row],[date]],"mm")</f>
        <v>01</v>
      </c>
      <c r="L793" s="16" t="s">
        <v>29</v>
      </c>
      <c r="M793">
        <v>2023</v>
      </c>
      <c r="N793" t="s">
        <v>880</v>
      </c>
      <c r="O793" t="s">
        <v>48</v>
      </c>
      <c r="P793">
        <v>2100</v>
      </c>
      <c r="Q793">
        <f>AVERAGE(Table1[funds_raised_millions])</f>
        <v>470.28289473684208</v>
      </c>
      <c r="R793">
        <f>AVERAGE(Table1[total_laid_off])</f>
        <v>236.96936274509804</v>
      </c>
    </row>
    <row r="794" spans="1:18" x14ac:dyDescent="0.25">
      <c r="A794" s="3" t="s">
        <v>881</v>
      </c>
      <c r="B794" t="s">
        <v>13</v>
      </c>
      <c r="C794" t="s">
        <v>46</v>
      </c>
      <c r="D794" t="s">
        <v>15</v>
      </c>
      <c r="E794" s="1">
        <v>0.5</v>
      </c>
      <c r="F794" s="1" t="str">
        <f>IF(Table1[[#This Row],[percentage_laid_off]]=100%,"1","0")</f>
        <v>0</v>
      </c>
      <c r="G794" t="s">
        <v>28</v>
      </c>
      <c r="H794" s="2">
        <v>44872</v>
      </c>
      <c r="I794" s="2" t="str">
        <f>TEXT(Table1[[#This Row],[date]],"dd")</f>
        <v>07</v>
      </c>
      <c r="J794" s="20">
        <f>DATE(2000,MONTH(Table1[[#This Row],[date]]),1)</f>
        <v>36831</v>
      </c>
      <c r="K794" s="18" t="str">
        <f>TEXT(Table1[[#This Row],[date]],"mm")</f>
        <v>11</v>
      </c>
      <c r="L794" s="16" t="s">
        <v>23</v>
      </c>
      <c r="M794">
        <v>2022</v>
      </c>
      <c r="N794" t="s">
        <v>24</v>
      </c>
      <c r="O794" t="s">
        <v>19</v>
      </c>
      <c r="P794">
        <v>9</v>
      </c>
      <c r="Q794">
        <f>AVERAGE(Table1[funds_raised_millions])</f>
        <v>470.28289473684208</v>
      </c>
      <c r="R794">
        <f>AVERAGE(Table1[total_laid_off])</f>
        <v>236.96936274509804</v>
      </c>
    </row>
    <row r="795" spans="1:18" x14ac:dyDescent="0.25">
      <c r="A795" s="3" t="s">
        <v>882</v>
      </c>
      <c r="B795" t="s">
        <v>55</v>
      </c>
      <c r="C795" t="s">
        <v>82</v>
      </c>
      <c r="D795" t="s">
        <v>15</v>
      </c>
      <c r="E795" s="1">
        <v>0.1</v>
      </c>
      <c r="F795" s="1" t="str">
        <f>IF(Table1[[#This Row],[percentage_laid_off]]=100%,"1","0")</f>
        <v>0</v>
      </c>
      <c r="G795" t="s">
        <v>16</v>
      </c>
      <c r="H795" s="2">
        <v>44942</v>
      </c>
      <c r="I795" s="2" t="str">
        <f>TEXT(Table1[[#This Row],[date]],"dd")</f>
        <v>16</v>
      </c>
      <c r="J795" s="20">
        <f>DATE(2000,MONTH(Table1[[#This Row],[date]]),1)</f>
        <v>36526</v>
      </c>
      <c r="K795" s="18" t="str">
        <f>TEXT(Table1[[#This Row],[date]],"mm")</f>
        <v>01</v>
      </c>
      <c r="L795" s="16" t="s">
        <v>29</v>
      </c>
      <c r="M795">
        <v>2023</v>
      </c>
      <c r="N795" t="s">
        <v>35</v>
      </c>
      <c r="O795" t="s">
        <v>58</v>
      </c>
      <c r="P795">
        <v>74</v>
      </c>
      <c r="Q795">
        <f>AVERAGE(Table1[funds_raised_millions])</f>
        <v>470.28289473684208</v>
      </c>
      <c r="R795">
        <f>AVERAGE(Table1[total_laid_off])</f>
        <v>236.96936274509804</v>
      </c>
    </row>
    <row r="796" spans="1:18" x14ac:dyDescent="0.25">
      <c r="A796" s="3" t="s">
        <v>883</v>
      </c>
      <c r="B796" t="s">
        <v>13</v>
      </c>
      <c r="C796" t="s">
        <v>69</v>
      </c>
      <c r="D796">
        <v>10</v>
      </c>
      <c r="E796" s="1">
        <v>0.14000000000000001</v>
      </c>
      <c r="F796" s="1" t="str">
        <f>IF(Table1[[#This Row],[percentage_laid_off]]=100%,"1","0")</f>
        <v>0</v>
      </c>
      <c r="G796" t="s">
        <v>28</v>
      </c>
      <c r="H796" s="2">
        <v>43943</v>
      </c>
      <c r="I796" s="2" t="str">
        <f>TEXT(Table1[[#This Row],[date]],"dd")</f>
        <v>22</v>
      </c>
      <c r="J796" s="20">
        <f>DATE(2000,MONTH(Table1[[#This Row],[date]]),1)</f>
        <v>36617</v>
      </c>
      <c r="K796" s="18" t="str">
        <f>TEXT(Table1[[#This Row],[date]],"mm")</f>
        <v>04</v>
      </c>
      <c r="L796" s="16" t="s">
        <v>37</v>
      </c>
      <c r="M796">
        <v>2020</v>
      </c>
      <c r="N796" t="s">
        <v>24</v>
      </c>
      <c r="O796" t="s">
        <v>19</v>
      </c>
      <c r="P796">
        <v>52</v>
      </c>
      <c r="Q796">
        <f>AVERAGE(Table1[funds_raised_millions])</f>
        <v>470.28289473684208</v>
      </c>
      <c r="R796">
        <f>AVERAGE(Table1[total_laid_off])</f>
        <v>236.96936274509804</v>
      </c>
    </row>
    <row r="797" spans="1:18" x14ac:dyDescent="0.25">
      <c r="A797" s="3" t="s">
        <v>884</v>
      </c>
      <c r="B797" t="s">
        <v>389</v>
      </c>
      <c r="C797" t="s">
        <v>14</v>
      </c>
      <c r="D797">
        <v>500</v>
      </c>
      <c r="E797" s="1">
        <v>0.05</v>
      </c>
      <c r="F797" s="1" t="str">
        <f>IF(Table1[[#This Row],[percentage_laid_off]]=100%,"1","0")</f>
        <v>0</v>
      </c>
      <c r="G797" t="s">
        <v>16</v>
      </c>
      <c r="H797" s="2">
        <v>44879</v>
      </c>
      <c r="I797" s="2" t="str">
        <f>TEXT(Table1[[#This Row],[date]],"dd")</f>
        <v>14</v>
      </c>
      <c r="J797" s="20">
        <f>DATE(2000,MONTH(Table1[[#This Row],[date]]),1)</f>
        <v>36831</v>
      </c>
      <c r="K797" s="18" t="str">
        <f>TEXT(Table1[[#This Row],[date]],"mm")</f>
        <v>11</v>
      </c>
      <c r="L797" s="16" t="s">
        <v>23</v>
      </c>
      <c r="M797">
        <v>2022</v>
      </c>
      <c r="N797" t="s">
        <v>38</v>
      </c>
      <c r="O797" t="s">
        <v>19</v>
      </c>
      <c r="P797">
        <v>28</v>
      </c>
      <c r="Q797">
        <f>AVERAGE(Table1[funds_raised_millions])</f>
        <v>470.28289473684208</v>
      </c>
      <c r="R797">
        <f>AVERAGE(Table1[total_laid_off])</f>
        <v>236.96936274509804</v>
      </c>
    </row>
    <row r="798" spans="1:18" x14ac:dyDescent="0.25">
      <c r="A798" s="3" t="s">
        <v>885</v>
      </c>
      <c r="B798" t="s">
        <v>886</v>
      </c>
      <c r="C798" t="s">
        <v>181</v>
      </c>
      <c r="D798">
        <v>38</v>
      </c>
      <c r="E798" s="1">
        <v>0.1</v>
      </c>
      <c r="F798" s="1" t="str">
        <f>IF(Table1[[#This Row],[percentage_laid_off]]=100%,"1","0")</f>
        <v>0</v>
      </c>
      <c r="G798" t="s">
        <v>16</v>
      </c>
      <c r="H798" s="2">
        <v>44803</v>
      </c>
      <c r="I798" s="2" t="str">
        <f>TEXT(Table1[[#This Row],[date]],"dd")</f>
        <v>30</v>
      </c>
      <c r="J798" s="20">
        <f>DATE(2000,MONTH(Table1[[#This Row],[date]]),1)</f>
        <v>36739</v>
      </c>
      <c r="K798" s="18" t="str">
        <f>TEXT(Table1[[#This Row],[date]],"mm")</f>
        <v>08</v>
      </c>
      <c r="L798" s="16" t="s">
        <v>53</v>
      </c>
      <c r="M798">
        <v>2022</v>
      </c>
      <c r="N798" t="s">
        <v>35</v>
      </c>
      <c r="O798" t="s">
        <v>200</v>
      </c>
      <c r="P798">
        <v>123</v>
      </c>
      <c r="Q798">
        <f>AVERAGE(Table1[funds_raised_millions])</f>
        <v>470.28289473684208</v>
      </c>
      <c r="R798">
        <f>AVERAGE(Table1[total_laid_off])</f>
        <v>236.96936274509804</v>
      </c>
    </row>
    <row r="799" spans="1:18" x14ac:dyDescent="0.25">
      <c r="A799" s="3" t="s">
        <v>887</v>
      </c>
      <c r="B799" t="s">
        <v>55</v>
      </c>
      <c r="C799" t="s">
        <v>46</v>
      </c>
      <c r="D799" t="s">
        <v>15</v>
      </c>
      <c r="E799" s="1">
        <v>0.11</v>
      </c>
      <c r="F799" s="1" t="str">
        <f>IF(Table1[[#This Row],[percentage_laid_off]]=100%,"1","0")</f>
        <v>0</v>
      </c>
      <c r="G799" t="s">
        <v>28</v>
      </c>
      <c r="H799" s="2">
        <v>44979</v>
      </c>
      <c r="I799" s="2" t="str">
        <f>TEXT(Table1[[#This Row],[date]],"dd")</f>
        <v>22</v>
      </c>
      <c r="J799" s="20">
        <f>DATE(2000,MONTH(Table1[[#This Row],[date]]),1)</f>
        <v>36557</v>
      </c>
      <c r="K799" s="18" t="str">
        <f>TEXT(Table1[[#This Row],[date]],"mm")</f>
        <v>02</v>
      </c>
      <c r="L799" s="16" t="s">
        <v>42</v>
      </c>
      <c r="M799">
        <v>2023</v>
      </c>
      <c r="N799" t="s">
        <v>35</v>
      </c>
      <c r="O799" t="s">
        <v>58</v>
      </c>
      <c r="P799">
        <v>279</v>
      </c>
      <c r="Q799">
        <f>AVERAGE(Table1[funds_raised_millions])</f>
        <v>470.28289473684208</v>
      </c>
      <c r="R799">
        <f>AVERAGE(Table1[total_laid_off])</f>
        <v>236.96936274509804</v>
      </c>
    </row>
    <row r="800" spans="1:18" x14ac:dyDescent="0.25">
      <c r="A800" s="3" t="s">
        <v>887</v>
      </c>
      <c r="B800" t="s">
        <v>55</v>
      </c>
      <c r="C800" t="s">
        <v>46</v>
      </c>
      <c r="D800">
        <v>20</v>
      </c>
      <c r="E800" s="1">
        <v>0.06</v>
      </c>
      <c r="F800" s="1" t="str">
        <f>IF(Table1[[#This Row],[percentage_laid_off]]=100%,"1","0")</f>
        <v>0</v>
      </c>
      <c r="G800" t="s">
        <v>16</v>
      </c>
      <c r="H800" s="2">
        <v>44768</v>
      </c>
      <c r="I800" s="2" t="str">
        <f>TEXT(Table1[[#This Row],[date]],"dd")</f>
        <v>26</v>
      </c>
      <c r="J800" s="20">
        <f>DATE(2000,MONTH(Table1[[#This Row],[date]]),1)</f>
        <v>36708</v>
      </c>
      <c r="K800" s="18" t="str">
        <f>TEXT(Table1[[#This Row],[date]],"mm")</f>
        <v>07</v>
      </c>
      <c r="L800" s="16" t="s">
        <v>17</v>
      </c>
      <c r="M800">
        <v>2022</v>
      </c>
      <c r="N800" t="s">
        <v>35</v>
      </c>
      <c r="O800" t="s">
        <v>58</v>
      </c>
      <c r="P800">
        <v>279</v>
      </c>
      <c r="Q800">
        <f>AVERAGE(Table1[funds_raised_millions])</f>
        <v>470.28289473684208</v>
      </c>
      <c r="R800">
        <f>AVERAGE(Table1[total_laid_off])</f>
        <v>236.96936274509804</v>
      </c>
    </row>
    <row r="801" spans="1:18" x14ac:dyDescent="0.25">
      <c r="A801" s="3" t="s">
        <v>888</v>
      </c>
      <c r="B801" t="s">
        <v>33</v>
      </c>
      <c r="C801" t="s">
        <v>22</v>
      </c>
      <c r="D801" t="s">
        <v>15</v>
      </c>
      <c r="E801" s="1">
        <v>0.1</v>
      </c>
      <c r="F801" s="1" t="str">
        <f>IF(Table1[[#This Row],[percentage_laid_off]]=100%,"1","0")</f>
        <v>0</v>
      </c>
      <c r="G801" t="s">
        <v>16</v>
      </c>
      <c r="H801" s="2">
        <v>44798</v>
      </c>
      <c r="I801" s="2" t="str">
        <f>TEXT(Table1[[#This Row],[date]],"dd")</f>
        <v>25</v>
      </c>
      <c r="J801" s="20">
        <f>DATE(2000,MONTH(Table1[[#This Row],[date]]),1)</f>
        <v>36739</v>
      </c>
      <c r="K801" s="18" t="str">
        <f>TEXT(Table1[[#This Row],[date]],"mm")</f>
        <v>08</v>
      </c>
      <c r="L801" s="16" t="s">
        <v>53</v>
      </c>
      <c r="M801">
        <v>2022</v>
      </c>
      <c r="N801" t="s">
        <v>117</v>
      </c>
      <c r="O801" t="s">
        <v>19</v>
      </c>
      <c r="P801">
        <v>361</v>
      </c>
      <c r="Q801">
        <f>AVERAGE(Table1[funds_raised_millions])</f>
        <v>470.28289473684208</v>
      </c>
      <c r="R801">
        <f>AVERAGE(Table1[total_laid_off])</f>
        <v>236.96936274509804</v>
      </c>
    </row>
    <row r="802" spans="1:18" x14ac:dyDescent="0.25">
      <c r="A802" s="3" t="s">
        <v>889</v>
      </c>
      <c r="B802" t="s">
        <v>199</v>
      </c>
      <c r="C802" t="s">
        <v>112</v>
      </c>
      <c r="D802">
        <v>30</v>
      </c>
      <c r="E802" s="1">
        <v>0.35</v>
      </c>
      <c r="F802" s="1" t="str">
        <f>IF(Table1[[#This Row],[percentage_laid_off]]=100%,"1","0")</f>
        <v>0</v>
      </c>
      <c r="G802" t="s">
        <v>28</v>
      </c>
      <c r="H802" s="2">
        <v>44567</v>
      </c>
      <c r="I802" s="2" t="str">
        <f>TEXT(Table1[[#This Row],[date]],"dd")</f>
        <v>06</v>
      </c>
      <c r="J802" s="20">
        <f>DATE(2000,MONTH(Table1[[#This Row],[date]]),1)</f>
        <v>36526</v>
      </c>
      <c r="K802" s="18" t="str">
        <f>TEXT(Table1[[#This Row],[date]],"mm")</f>
        <v>01</v>
      </c>
      <c r="L802" s="16" t="s">
        <v>29</v>
      </c>
      <c r="M802">
        <v>2022</v>
      </c>
      <c r="N802" t="s">
        <v>30</v>
      </c>
      <c r="O802" t="s">
        <v>200</v>
      </c>
      <c r="P802">
        <v>32</v>
      </c>
      <c r="Q802">
        <f>AVERAGE(Table1[funds_raised_millions])</f>
        <v>470.28289473684208</v>
      </c>
      <c r="R802">
        <f>AVERAGE(Table1[total_laid_off])</f>
        <v>236.96936274509804</v>
      </c>
    </row>
    <row r="803" spans="1:18" x14ac:dyDescent="0.25">
      <c r="A803" s="3" t="s">
        <v>890</v>
      </c>
      <c r="B803" t="s">
        <v>13</v>
      </c>
      <c r="C803" t="s">
        <v>64</v>
      </c>
      <c r="D803">
        <v>50</v>
      </c>
      <c r="E803" t="s">
        <v>15</v>
      </c>
      <c r="F803" s="1" t="str">
        <f>IF(Table1[[#This Row],[percentage_laid_off]]=100%,"1","0")</f>
        <v>0</v>
      </c>
      <c r="G803" t="b">
        <v>0</v>
      </c>
      <c r="H803" s="2">
        <v>44771</v>
      </c>
      <c r="I803" s="2" t="str">
        <f>TEXT(Table1[[#This Row],[date]],"dd")</f>
        <v>29</v>
      </c>
      <c r="J803" s="20">
        <f>DATE(2000,MONTH(Table1[[#This Row],[date]]),1)</f>
        <v>36708</v>
      </c>
      <c r="K803" s="18" t="str">
        <f>TEXT(Table1[[#This Row],[date]],"mm")</f>
        <v>07</v>
      </c>
      <c r="L803" s="16" t="s">
        <v>17</v>
      </c>
      <c r="M803">
        <v>2022</v>
      </c>
      <c r="N803" t="s">
        <v>43</v>
      </c>
      <c r="O803" t="s">
        <v>19</v>
      </c>
      <c r="P803">
        <v>229</v>
      </c>
      <c r="Q803">
        <f>AVERAGE(Table1[funds_raised_millions])</f>
        <v>470.28289473684208</v>
      </c>
      <c r="R803">
        <f>AVERAGE(Table1[total_laid_off])</f>
        <v>236.96936274509804</v>
      </c>
    </row>
    <row r="804" spans="1:18" x14ac:dyDescent="0.25">
      <c r="A804" s="3" t="s">
        <v>891</v>
      </c>
      <c r="B804" t="s">
        <v>13</v>
      </c>
      <c r="C804" t="s">
        <v>64</v>
      </c>
      <c r="D804">
        <v>50</v>
      </c>
      <c r="E804" s="1">
        <v>0.06</v>
      </c>
      <c r="F804" s="1" t="str">
        <f>IF(Table1[[#This Row],[percentage_laid_off]]=100%,"1","0")</f>
        <v>0</v>
      </c>
      <c r="G804" t="s">
        <v>16</v>
      </c>
      <c r="H804" s="2">
        <v>44722</v>
      </c>
      <c r="I804" s="2" t="str">
        <f>TEXT(Table1[[#This Row],[date]],"dd")</f>
        <v>10</v>
      </c>
      <c r="J804" s="20">
        <f>DATE(2000,MONTH(Table1[[#This Row],[date]]),1)</f>
        <v>36678</v>
      </c>
      <c r="K804" s="18" t="str">
        <f>TEXT(Table1[[#This Row],[date]],"mm")</f>
        <v>06</v>
      </c>
      <c r="L804" s="16" t="s">
        <v>73</v>
      </c>
      <c r="M804">
        <v>2022</v>
      </c>
      <c r="N804" t="s">
        <v>396</v>
      </c>
      <c r="O804" t="s">
        <v>19</v>
      </c>
      <c r="P804">
        <v>1900</v>
      </c>
      <c r="Q804">
        <f>AVERAGE(Table1[funds_raised_millions])</f>
        <v>470.28289473684208</v>
      </c>
      <c r="R804">
        <f>AVERAGE(Table1[total_laid_off])</f>
        <v>236.96936274509804</v>
      </c>
    </row>
    <row r="805" spans="1:18" x14ac:dyDescent="0.25">
      <c r="A805" s="3" t="s">
        <v>892</v>
      </c>
      <c r="B805" t="s">
        <v>13</v>
      </c>
      <c r="C805" t="s">
        <v>64</v>
      </c>
      <c r="D805">
        <v>140</v>
      </c>
      <c r="E805" s="1">
        <v>0.2</v>
      </c>
      <c r="F805" s="1" t="str">
        <f>IF(Table1[[#This Row],[percentage_laid_off]]=100%,"1","0")</f>
        <v>0</v>
      </c>
      <c r="G805" t="s">
        <v>28</v>
      </c>
      <c r="H805" s="2">
        <v>44956</v>
      </c>
      <c r="I805" s="2" t="str">
        <f>TEXT(Table1[[#This Row],[date]],"dd")</f>
        <v>30</v>
      </c>
      <c r="J805" s="20">
        <f>DATE(2000,MONTH(Table1[[#This Row],[date]]),1)</f>
        <v>36526</v>
      </c>
      <c r="K805" s="18" t="str">
        <f>TEXT(Table1[[#This Row],[date]],"mm")</f>
        <v>01</v>
      </c>
      <c r="L805" s="16" t="s">
        <v>29</v>
      </c>
      <c r="M805">
        <v>2023</v>
      </c>
      <c r="N805" t="s">
        <v>396</v>
      </c>
      <c r="O805" t="s">
        <v>19</v>
      </c>
      <c r="P805">
        <v>1900</v>
      </c>
      <c r="Q805">
        <f>AVERAGE(Table1[funds_raised_millions])</f>
        <v>470.28289473684208</v>
      </c>
      <c r="R805">
        <f>AVERAGE(Table1[total_laid_off])</f>
        <v>236.96936274509804</v>
      </c>
    </row>
    <row r="806" spans="1:18" x14ac:dyDescent="0.25">
      <c r="A806" s="3" t="s">
        <v>893</v>
      </c>
      <c r="B806" t="s">
        <v>199</v>
      </c>
      <c r="C806" t="s">
        <v>161</v>
      </c>
      <c r="D806" t="s">
        <v>15</v>
      </c>
      <c r="E806" s="1">
        <v>0.1</v>
      </c>
      <c r="F806" s="1" t="str">
        <f>IF(Table1[[#This Row],[percentage_laid_off]]=100%,"1","0")</f>
        <v>0</v>
      </c>
      <c r="G806" t="s">
        <v>16</v>
      </c>
      <c r="H806" s="2">
        <v>44911</v>
      </c>
      <c r="I806" s="2" t="str">
        <f>TEXT(Table1[[#This Row],[date]],"dd")</f>
        <v>16</v>
      </c>
      <c r="J806" s="20">
        <f>DATE(2000,MONTH(Table1[[#This Row],[date]]),1)</f>
        <v>36861</v>
      </c>
      <c r="K806" s="18" t="str">
        <f>TEXT(Table1[[#This Row],[date]],"mm")</f>
        <v>12</v>
      </c>
      <c r="L806" s="16" t="s">
        <v>61</v>
      </c>
      <c r="M806">
        <v>2022</v>
      </c>
      <c r="N806" t="s">
        <v>47</v>
      </c>
      <c r="O806" t="s">
        <v>200</v>
      </c>
      <c r="P806">
        <v>704</v>
      </c>
      <c r="Q806">
        <f>AVERAGE(Table1[funds_raised_millions])</f>
        <v>470.28289473684208</v>
      </c>
      <c r="R806">
        <f>AVERAGE(Table1[total_laid_off])</f>
        <v>236.96936274509804</v>
      </c>
    </row>
    <row r="807" spans="1:18" x14ac:dyDescent="0.25">
      <c r="A807" s="3" t="s">
        <v>894</v>
      </c>
      <c r="B807" t="s">
        <v>13</v>
      </c>
      <c r="C807" t="s">
        <v>14</v>
      </c>
      <c r="D807">
        <v>9</v>
      </c>
      <c r="E807" s="1">
        <v>0.4</v>
      </c>
      <c r="F807" s="1" t="str">
        <f>IF(Table1[[#This Row],[percentage_laid_off]]=100%,"1","0")</f>
        <v>0</v>
      </c>
      <c r="G807" t="s">
        <v>28</v>
      </c>
      <c r="H807" s="2">
        <v>43834</v>
      </c>
      <c r="I807" s="2" t="str">
        <f>TEXT(Table1[[#This Row],[date]],"dd")</f>
        <v>04</v>
      </c>
      <c r="J807" s="20">
        <f>DATE(2000,MONTH(Table1[[#This Row],[date]]),1)</f>
        <v>36526</v>
      </c>
      <c r="K807" s="18" t="str">
        <f>TEXT(Table1[[#This Row],[date]],"mm")</f>
        <v>01</v>
      </c>
      <c r="L807" s="16" t="s">
        <v>29</v>
      </c>
      <c r="M807">
        <v>2020</v>
      </c>
      <c r="N807" t="s">
        <v>24</v>
      </c>
      <c r="O807" t="s">
        <v>19</v>
      </c>
      <c r="P807">
        <v>15</v>
      </c>
      <c r="Q807">
        <f>AVERAGE(Table1[funds_raised_millions])</f>
        <v>470.28289473684208</v>
      </c>
      <c r="R807">
        <f>AVERAGE(Table1[total_laid_off])</f>
        <v>236.96936274509804</v>
      </c>
    </row>
    <row r="808" spans="1:18" x14ac:dyDescent="0.25">
      <c r="A808" s="3" t="s">
        <v>895</v>
      </c>
      <c r="B808" t="s">
        <v>55</v>
      </c>
      <c r="C808" t="s">
        <v>82</v>
      </c>
      <c r="D808">
        <v>40</v>
      </c>
      <c r="E808" s="1">
        <v>0.17</v>
      </c>
      <c r="F808" s="1" t="str">
        <f>IF(Table1[[#This Row],[percentage_laid_off]]=100%,"1","0")</f>
        <v>0</v>
      </c>
      <c r="G808" t="s">
        <v>28</v>
      </c>
      <c r="H808" s="2">
        <v>44768</v>
      </c>
      <c r="I808" s="2" t="str">
        <f>TEXT(Table1[[#This Row],[date]],"dd")</f>
        <v>26</v>
      </c>
      <c r="J808" s="20">
        <f>DATE(2000,MONTH(Table1[[#This Row],[date]]),1)</f>
        <v>36708</v>
      </c>
      <c r="K808" s="18" t="str">
        <f>TEXT(Table1[[#This Row],[date]],"mm")</f>
        <v>07</v>
      </c>
      <c r="L808" s="16" t="s">
        <v>17</v>
      </c>
      <c r="M808">
        <v>2022</v>
      </c>
      <c r="N808" t="s">
        <v>30</v>
      </c>
      <c r="O808" t="s">
        <v>58</v>
      </c>
      <c r="P808">
        <v>41</v>
      </c>
      <c r="Q808">
        <f>AVERAGE(Table1[funds_raised_millions])</f>
        <v>470.28289473684208</v>
      </c>
      <c r="R808">
        <f>AVERAGE(Table1[total_laid_off])</f>
        <v>236.96936274509804</v>
      </c>
    </row>
    <row r="809" spans="1:18" x14ac:dyDescent="0.25">
      <c r="A809" s="3" t="s">
        <v>896</v>
      </c>
      <c r="B809" t="s">
        <v>88</v>
      </c>
      <c r="C809" t="s">
        <v>161</v>
      </c>
      <c r="D809">
        <v>80</v>
      </c>
      <c r="E809" t="s">
        <v>15</v>
      </c>
      <c r="F809" s="1" t="str">
        <f>IF(Table1[[#This Row],[percentage_laid_off]]=100%,"1","0")</f>
        <v>0</v>
      </c>
      <c r="G809" t="b">
        <v>0</v>
      </c>
      <c r="H809" s="2">
        <v>44441</v>
      </c>
      <c r="I809" s="2" t="str">
        <f>TEXT(Table1[[#This Row],[date]],"dd")</f>
        <v>02</v>
      </c>
      <c r="J809" s="20">
        <f>DATE(2000,MONTH(Table1[[#This Row],[date]]),1)</f>
        <v>36770</v>
      </c>
      <c r="K809" s="18" t="str">
        <f>TEXT(Table1[[#This Row],[date]],"mm")</f>
        <v>09</v>
      </c>
      <c r="L809" s="16" t="s">
        <v>70</v>
      </c>
      <c r="M809">
        <v>2021</v>
      </c>
      <c r="N809" t="s">
        <v>100</v>
      </c>
      <c r="O809" t="s">
        <v>19</v>
      </c>
      <c r="P809">
        <v>1200</v>
      </c>
      <c r="Q809">
        <f>AVERAGE(Table1[funds_raised_millions])</f>
        <v>470.28289473684208</v>
      </c>
      <c r="R809">
        <f>AVERAGE(Table1[total_laid_off])</f>
        <v>236.96936274509804</v>
      </c>
    </row>
    <row r="810" spans="1:18" x14ac:dyDescent="0.25">
      <c r="A810" s="3" t="s">
        <v>897</v>
      </c>
      <c r="B810" t="s">
        <v>40</v>
      </c>
      <c r="C810" t="s">
        <v>174</v>
      </c>
      <c r="D810">
        <v>90</v>
      </c>
      <c r="E810" s="1">
        <v>0.2</v>
      </c>
      <c r="F810" s="1" t="str">
        <f>IF(Table1[[#This Row],[percentage_laid_off]]=100%,"1","0")</f>
        <v>0</v>
      </c>
      <c r="G810" t="s">
        <v>28</v>
      </c>
      <c r="H810" s="2">
        <v>43865</v>
      </c>
      <c r="I810" s="2" t="str">
        <f>TEXT(Table1[[#This Row],[date]],"dd")</f>
        <v>04</v>
      </c>
      <c r="J810" s="20">
        <f>DATE(2000,MONTH(Table1[[#This Row],[date]]),1)</f>
        <v>36557</v>
      </c>
      <c r="K810" s="18" t="str">
        <f>TEXT(Table1[[#This Row],[date]],"mm")</f>
        <v>02</v>
      </c>
      <c r="L810" s="16" t="s">
        <v>42</v>
      </c>
      <c r="M810">
        <v>2020</v>
      </c>
      <c r="N810" t="s">
        <v>43</v>
      </c>
      <c r="O810" t="s">
        <v>19</v>
      </c>
      <c r="P810">
        <v>222</v>
      </c>
      <c r="Q810">
        <f>AVERAGE(Table1[funds_raised_millions])</f>
        <v>470.28289473684208</v>
      </c>
      <c r="R810">
        <f>AVERAGE(Table1[total_laid_off])</f>
        <v>236.96936274509804</v>
      </c>
    </row>
    <row r="811" spans="1:18" x14ac:dyDescent="0.25">
      <c r="A811" s="3" t="s">
        <v>898</v>
      </c>
      <c r="B811" t="s">
        <v>94</v>
      </c>
      <c r="C811" t="s">
        <v>161</v>
      </c>
      <c r="D811">
        <v>50</v>
      </c>
      <c r="E811" s="1">
        <v>0.05</v>
      </c>
      <c r="F811" s="1" t="str">
        <f>IF(Table1[[#This Row],[percentage_laid_off]]=100%,"1","0")</f>
        <v>0</v>
      </c>
      <c r="G811" t="s">
        <v>16</v>
      </c>
      <c r="H811" s="2">
        <v>44818</v>
      </c>
      <c r="I811" s="2" t="str">
        <f>TEXT(Table1[[#This Row],[date]],"dd")</f>
        <v>14</v>
      </c>
      <c r="J811" s="20">
        <f>DATE(2000,MONTH(Table1[[#This Row],[date]]),1)</f>
        <v>36770</v>
      </c>
      <c r="K811" s="18" t="str">
        <f>TEXT(Table1[[#This Row],[date]],"mm")</f>
        <v>09</v>
      </c>
      <c r="L811" s="16" t="s">
        <v>70</v>
      </c>
      <c r="M811">
        <v>2022</v>
      </c>
      <c r="N811" t="s">
        <v>43</v>
      </c>
      <c r="O811" t="s">
        <v>96</v>
      </c>
      <c r="P811">
        <v>604</v>
      </c>
      <c r="Q811">
        <f>AVERAGE(Table1[funds_raised_millions])</f>
        <v>470.28289473684208</v>
      </c>
      <c r="R811">
        <f>AVERAGE(Table1[total_laid_off])</f>
        <v>236.96936274509804</v>
      </c>
    </row>
    <row r="812" spans="1:18" x14ac:dyDescent="0.25">
      <c r="A812" s="3" t="s">
        <v>898</v>
      </c>
      <c r="B812" t="s">
        <v>94</v>
      </c>
      <c r="C812" t="s">
        <v>161</v>
      </c>
      <c r="D812">
        <v>500</v>
      </c>
      <c r="E812" s="1">
        <v>0.5</v>
      </c>
      <c r="F812" s="1" t="str">
        <f>IF(Table1[[#This Row],[percentage_laid_off]]=100%,"1","0")</f>
        <v>0</v>
      </c>
      <c r="G812" t="s">
        <v>28</v>
      </c>
      <c r="H812" s="2">
        <v>44893</v>
      </c>
      <c r="I812" s="2" t="str">
        <f>TEXT(Table1[[#This Row],[date]],"dd")</f>
        <v>28</v>
      </c>
      <c r="J812" s="20">
        <f>DATE(2000,MONTH(Table1[[#This Row],[date]]),1)</f>
        <v>36831</v>
      </c>
      <c r="K812" s="18" t="str">
        <f>TEXT(Table1[[#This Row],[date]],"mm")</f>
        <v>11</v>
      </c>
      <c r="L812" s="16" t="s">
        <v>23</v>
      </c>
      <c r="M812">
        <v>2022</v>
      </c>
      <c r="N812" t="s">
        <v>43</v>
      </c>
      <c r="O812" t="s">
        <v>96</v>
      </c>
      <c r="P812">
        <v>604</v>
      </c>
      <c r="Q812">
        <f>AVERAGE(Table1[funds_raised_millions])</f>
        <v>470.28289473684208</v>
      </c>
      <c r="R812">
        <f>AVERAGE(Table1[total_laid_off])</f>
        <v>236.96936274509804</v>
      </c>
    </row>
    <row r="813" spans="1:18" x14ac:dyDescent="0.25">
      <c r="A813" s="3" t="s">
        <v>899</v>
      </c>
      <c r="B813" t="s">
        <v>13</v>
      </c>
      <c r="C813" t="s">
        <v>89</v>
      </c>
      <c r="D813">
        <v>65</v>
      </c>
      <c r="E813" s="1">
        <v>0.27</v>
      </c>
      <c r="F813" s="1" t="str">
        <f>IF(Table1[[#This Row],[percentage_laid_off]]=100%,"1","0")</f>
        <v>0</v>
      </c>
      <c r="G813" t="s">
        <v>28</v>
      </c>
      <c r="H813" s="2">
        <v>44845</v>
      </c>
      <c r="I813" s="2" t="str">
        <f>TEXT(Table1[[#This Row],[date]],"dd")</f>
        <v>11</v>
      </c>
      <c r="J813" s="20">
        <f>DATE(2000,MONTH(Table1[[#This Row],[date]]),1)</f>
        <v>36800</v>
      </c>
      <c r="K813" s="18" t="str">
        <f>TEXT(Table1[[#This Row],[date]],"mm")</f>
        <v>10</v>
      </c>
      <c r="L813" s="16" t="s">
        <v>95</v>
      </c>
      <c r="M813">
        <v>2022</v>
      </c>
      <c r="N813" t="s">
        <v>43</v>
      </c>
      <c r="O813" t="s">
        <v>19</v>
      </c>
      <c r="P813">
        <v>119</v>
      </c>
      <c r="Q813">
        <f>AVERAGE(Table1[funds_raised_millions])</f>
        <v>470.28289473684208</v>
      </c>
      <c r="R813">
        <f>AVERAGE(Table1[total_laid_off])</f>
        <v>236.96936274509804</v>
      </c>
    </row>
    <row r="814" spans="1:18" x14ac:dyDescent="0.25">
      <c r="A814" s="3" t="s">
        <v>900</v>
      </c>
      <c r="B814" t="s">
        <v>13</v>
      </c>
      <c r="C814" t="s">
        <v>89</v>
      </c>
      <c r="D814">
        <v>450</v>
      </c>
      <c r="E814" s="1">
        <v>7.0000000000000007E-2</v>
      </c>
      <c r="F814" s="1" t="str">
        <f>IF(Table1[[#This Row],[percentage_laid_off]]=100%,"1","0")</f>
        <v>0</v>
      </c>
      <c r="G814" t="s">
        <v>16</v>
      </c>
      <c r="H814" s="2">
        <v>45200</v>
      </c>
      <c r="I814" s="2" t="str">
        <f>TEXT(Table1[[#This Row],[date]],"dd")</f>
        <v>01</v>
      </c>
      <c r="J814" s="20">
        <f>DATE(2000,MONTH(Table1[[#This Row],[date]]),1)</f>
        <v>36800</v>
      </c>
      <c r="K814" s="18" t="str">
        <f>TEXT(Table1[[#This Row],[date]],"mm")</f>
        <v>10</v>
      </c>
      <c r="L814" s="16" t="s">
        <v>95</v>
      </c>
      <c r="M814">
        <v>2023</v>
      </c>
      <c r="N814" t="s">
        <v>38</v>
      </c>
      <c r="O814" t="s">
        <v>19</v>
      </c>
      <c r="P814" t="s">
        <v>15</v>
      </c>
      <c r="Q814">
        <f>AVERAGE(Table1[funds_raised_millions])</f>
        <v>470.28289473684208</v>
      </c>
      <c r="R814">
        <f>AVERAGE(Table1[total_laid_off])</f>
        <v>236.96936274509804</v>
      </c>
    </row>
    <row r="815" spans="1:18" x14ac:dyDescent="0.25">
      <c r="A815" s="3" t="s">
        <v>901</v>
      </c>
      <c r="B815" t="s">
        <v>199</v>
      </c>
      <c r="C815" t="s">
        <v>181</v>
      </c>
      <c r="D815">
        <v>20</v>
      </c>
      <c r="E815" s="1">
        <v>0.12</v>
      </c>
      <c r="F815" s="1" t="str">
        <f>IF(Table1[[#This Row],[percentage_laid_off]]=100%,"1","0")</f>
        <v>0</v>
      </c>
      <c r="G815" t="s">
        <v>28</v>
      </c>
      <c r="H815" s="2">
        <v>44853</v>
      </c>
      <c r="I815" s="2" t="str">
        <f>TEXT(Table1[[#This Row],[date]],"dd")</f>
        <v>19</v>
      </c>
      <c r="J815" s="20">
        <f>DATE(2000,MONTH(Table1[[#This Row],[date]]),1)</f>
        <v>36800</v>
      </c>
      <c r="K815" s="18" t="str">
        <f>TEXT(Table1[[#This Row],[date]],"mm")</f>
        <v>10</v>
      </c>
      <c r="L815" s="16" t="s">
        <v>95</v>
      </c>
      <c r="M815">
        <v>2022</v>
      </c>
      <c r="N815" t="s">
        <v>30</v>
      </c>
      <c r="O815" t="s">
        <v>200</v>
      </c>
      <c r="P815">
        <v>88</v>
      </c>
      <c r="Q815">
        <f>AVERAGE(Table1[funds_raised_millions])</f>
        <v>470.28289473684208</v>
      </c>
      <c r="R815">
        <f>AVERAGE(Table1[total_laid_off])</f>
        <v>236.96936274509804</v>
      </c>
    </row>
    <row r="816" spans="1:18" x14ac:dyDescent="0.25">
      <c r="A816" s="3" t="s">
        <v>902</v>
      </c>
      <c r="B816" t="s">
        <v>313</v>
      </c>
      <c r="C816" t="s">
        <v>22</v>
      </c>
      <c r="D816">
        <v>50</v>
      </c>
      <c r="E816" t="s">
        <v>15</v>
      </c>
      <c r="F816" s="1" t="str">
        <f>IF(Table1[[#This Row],[percentage_laid_off]]=100%,"1","0")</f>
        <v>0</v>
      </c>
      <c r="G816" t="b">
        <v>0</v>
      </c>
      <c r="H816" s="2">
        <v>44949</v>
      </c>
      <c r="I816" s="2" t="str">
        <f>TEXT(Table1[[#This Row],[date]],"dd")</f>
        <v>23</v>
      </c>
      <c r="J816" s="20">
        <f>DATE(2000,MONTH(Table1[[#This Row],[date]]),1)</f>
        <v>36526</v>
      </c>
      <c r="K816" s="18" t="str">
        <f>TEXT(Table1[[#This Row],[date]],"mm")</f>
        <v>01</v>
      </c>
      <c r="L816" s="16" t="s">
        <v>29</v>
      </c>
      <c r="M816">
        <v>2023</v>
      </c>
      <c r="N816" t="s">
        <v>47</v>
      </c>
      <c r="O816" t="s">
        <v>83</v>
      </c>
      <c r="P816">
        <v>320</v>
      </c>
      <c r="Q816">
        <f>AVERAGE(Table1[funds_raised_millions])</f>
        <v>470.28289473684208</v>
      </c>
      <c r="R816">
        <f>AVERAGE(Table1[total_laid_off])</f>
        <v>236.96936274509804</v>
      </c>
    </row>
    <row r="817" spans="1:18" x14ac:dyDescent="0.25">
      <c r="A817" s="3" t="s">
        <v>903</v>
      </c>
      <c r="B817" t="s">
        <v>13</v>
      </c>
      <c r="C817" t="s">
        <v>14</v>
      </c>
      <c r="D817">
        <v>90</v>
      </c>
      <c r="E817" s="1">
        <v>0.08</v>
      </c>
      <c r="F817" s="1" t="str">
        <f>IF(Table1[[#This Row],[percentage_laid_off]]=100%,"1","0")</f>
        <v>0</v>
      </c>
      <c r="G817" t="s">
        <v>16</v>
      </c>
      <c r="H817" s="2">
        <v>44570</v>
      </c>
      <c r="I817" s="2" t="str">
        <f>TEXT(Table1[[#This Row],[date]],"dd")</f>
        <v>09</v>
      </c>
      <c r="J817" s="20">
        <f>DATE(2000,MONTH(Table1[[#This Row],[date]]),1)</f>
        <v>36526</v>
      </c>
      <c r="K817" s="18" t="str">
        <f>TEXT(Table1[[#This Row],[date]],"mm")</f>
        <v>01</v>
      </c>
      <c r="L817" s="16" t="s">
        <v>29</v>
      </c>
      <c r="M817">
        <v>2022</v>
      </c>
      <c r="N817" t="s">
        <v>18</v>
      </c>
      <c r="O817" t="s">
        <v>19</v>
      </c>
      <c r="P817">
        <v>379</v>
      </c>
      <c r="Q817">
        <f>AVERAGE(Table1[funds_raised_millions])</f>
        <v>470.28289473684208</v>
      </c>
      <c r="R817">
        <f>AVERAGE(Table1[total_laid_off])</f>
        <v>236.96936274509804</v>
      </c>
    </row>
    <row r="818" spans="1:18" x14ac:dyDescent="0.25">
      <c r="A818" s="3" t="s">
        <v>903</v>
      </c>
      <c r="B818" t="s">
        <v>13</v>
      </c>
      <c r="C818" t="s">
        <v>14</v>
      </c>
      <c r="D818">
        <v>245</v>
      </c>
      <c r="E818" s="1">
        <v>0.15</v>
      </c>
      <c r="F818" s="1" t="str">
        <f>IF(Table1[[#This Row],[percentage_laid_off]]=100%,"1","0")</f>
        <v>0</v>
      </c>
      <c r="G818" t="s">
        <v>28</v>
      </c>
      <c r="H818" s="2">
        <v>44950</v>
      </c>
      <c r="I818" s="2" t="str">
        <f>TEXT(Table1[[#This Row],[date]],"dd")</f>
        <v>24</v>
      </c>
      <c r="J818" s="20">
        <f>DATE(2000,MONTH(Table1[[#This Row],[date]]),1)</f>
        <v>36526</v>
      </c>
      <c r="K818" s="18" t="str">
        <f>TEXT(Table1[[#This Row],[date]],"mm")</f>
        <v>01</v>
      </c>
      <c r="L818" s="16" t="s">
        <v>29</v>
      </c>
      <c r="M818">
        <v>2023</v>
      </c>
      <c r="N818" t="s">
        <v>18</v>
      </c>
      <c r="O818" t="s">
        <v>19</v>
      </c>
      <c r="P818">
        <v>379</v>
      </c>
      <c r="Q818">
        <f>AVERAGE(Table1[funds_raised_millions])</f>
        <v>470.28289473684208</v>
      </c>
      <c r="R818">
        <f>AVERAGE(Table1[total_laid_off])</f>
        <v>236.96936274509804</v>
      </c>
    </row>
    <row r="819" spans="1:18" x14ac:dyDescent="0.25">
      <c r="A819" s="3" t="s">
        <v>904</v>
      </c>
      <c r="B819" t="s">
        <v>40</v>
      </c>
      <c r="C819" t="s">
        <v>22</v>
      </c>
      <c r="D819">
        <v>40</v>
      </c>
      <c r="E819" s="1">
        <v>0.1</v>
      </c>
      <c r="F819" s="1" t="str">
        <f>IF(Table1[[#This Row],[percentage_laid_off]]=100%,"1","0")</f>
        <v>0</v>
      </c>
      <c r="G819" t="s">
        <v>16</v>
      </c>
      <c r="H819" s="2">
        <v>44949</v>
      </c>
      <c r="I819" s="2" t="str">
        <f>TEXT(Table1[[#This Row],[date]],"dd")</f>
        <v>23</v>
      </c>
      <c r="J819" s="20">
        <f>DATE(2000,MONTH(Table1[[#This Row],[date]]),1)</f>
        <v>36526</v>
      </c>
      <c r="K819" s="18" t="str">
        <f>TEXT(Table1[[#This Row],[date]],"mm")</f>
        <v>01</v>
      </c>
      <c r="L819" s="16" t="s">
        <v>29</v>
      </c>
      <c r="M819">
        <v>2023</v>
      </c>
      <c r="N819" t="s">
        <v>38</v>
      </c>
      <c r="O819" t="s">
        <v>19</v>
      </c>
      <c r="P819">
        <v>295</v>
      </c>
      <c r="Q819">
        <f>AVERAGE(Table1[funds_raised_millions])</f>
        <v>470.28289473684208</v>
      </c>
      <c r="R819">
        <f>AVERAGE(Table1[total_laid_off])</f>
        <v>236.96936274509804</v>
      </c>
    </row>
    <row r="820" spans="1:18" x14ac:dyDescent="0.25">
      <c r="A820" s="3" t="s">
        <v>905</v>
      </c>
      <c r="B820" t="s">
        <v>228</v>
      </c>
      <c r="C820" t="s">
        <v>14</v>
      </c>
      <c r="D820">
        <v>43</v>
      </c>
      <c r="E820" t="s">
        <v>15</v>
      </c>
      <c r="F820" s="1" t="str">
        <f>IF(Table1[[#This Row],[percentage_laid_off]]=100%,"1","0")</f>
        <v>0</v>
      </c>
      <c r="G820" t="b">
        <v>0</v>
      </c>
      <c r="H820" s="2">
        <v>44785</v>
      </c>
      <c r="I820" s="2" t="str">
        <f>TEXT(Table1[[#This Row],[date]],"dd")</f>
        <v>12</v>
      </c>
      <c r="J820" s="20">
        <f>DATE(2000,MONTH(Table1[[#This Row],[date]]),1)</f>
        <v>36739</v>
      </c>
      <c r="K820" s="18" t="str">
        <f>TEXT(Table1[[#This Row],[date]],"mm")</f>
        <v>08</v>
      </c>
      <c r="L820" s="16" t="s">
        <v>53</v>
      </c>
      <c r="M820">
        <v>2022</v>
      </c>
      <c r="N820" t="s">
        <v>18</v>
      </c>
      <c r="O820" t="s">
        <v>19</v>
      </c>
      <c r="P820">
        <v>459</v>
      </c>
      <c r="Q820">
        <f>AVERAGE(Table1[funds_raised_millions])</f>
        <v>470.28289473684208</v>
      </c>
      <c r="R820">
        <f>AVERAGE(Table1[total_laid_off])</f>
        <v>236.96936274509804</v>
      </c>
    </row>
    <row r="821" spans="1:18" x14ac:dyDescent="0.25">
      <c r="A821" s="3" t="s">
        <v>906</v>
      </c>
      <c r="B821" t="s">
        <v>325</v>
      </c>
      <c r="C821" t="s">
        <v>112</v>
      </c>
      <c r="D821">
        <v>109</v>
      </c>
      <c r="E821" s="1">
        <v>0.12</v>
      </c>
      <c r="F821" s="1" t="str">
        <f>IF(Table1[[#This Row],[percentage_laid_off]]=100%,"1","0")</f>
        <v>0</v>
      </c>
      <c r="G821" t="s">
        <v>28</v>
      </c>
      <c r="H821" s="2">
        <v>44944</v>
      </c>
      <c r="I821" s="2" t="str">
        <f>TEXT(Table1[[#This Row],[date]],"dd")</f>
        <v>18</v>
      </c>
      <c r="J821" s="20">
        <f>DATE(2000,MONTH(Table1[[#This Row],[date]]),1)</f>
        <v>36526</v>
      </c>
      <c r="K821" s="18" t="str">
        <f>TEXT(Table1[[#This Row],[date]],"mm")</f>
        <v>01</v>
      </c>
      <c r="L821" s="16" t="s">
        <v>29</v>
      </c>
      <c r="M821">
        <v>2023</v>
      </c>
      <c r="N821" t="s">
        <v>38</v>
      </c>
      <c r="O821" t="s">
        <v>19</v>
      </c>
      <c r="P821">
        <v>179</v>
      </c>
      <c r="Q821">
        <f>AVERAGE(Table1[funds_raised_millions])</f>
        <v>470.28289473684208</v>
      </c>
      <c r="R821">
        <f>AVERAGE(Table1[total_laid_off])</f>
        <v>236.96936274509804</v>
      </c>
    </row>
    <row r="822" spans="1:18" x14ac:dyDescent="0.25">
      <c r="A822" s="3" t="s">
        <v>906</v>
      </c>
      <c r="B822" t="s">
        <v>325</v>
      </c>
      <c r="C822" t="s">
        <v>112</v>
      </c>
      <c r="D822">
        <v>130</v>
      </c>
      <c r="E822" s="1">
        <v>0.22</v>
      </c>
      <c r="F822" s="1" t="str">
        <f>IF(Table1[[#This Row],[percentage_laid_off]]=100%,"1","0")</f>
        <v>0</v>
      </c>
      <c r="G822" t="s">
        <v>28</v>
      </c>
      <c r="H822" s="2">
        <v>43906</v>
      </c>
      <c r="I822" s="2" t="str">
        <f>TEXT(Table1[[#This Row],[date]],"dd")</f>
        <v>16</v>
      </c>
      <c r="J822" s="20">
        <f>DATE(2000,MONTH(Table1[[#This Row],[date]]),1)</f>
        <v>36586</v>
      </c>
      <c r="K822" s="18" t="str">
        <f>TEXT(Table1[[#This Row],[date]],"mm")</f>
        <v>03</v>
      </c>
      <c r="L822" s="16" t="s">
        <v>57</v>
      </c>
      <c r="M822">
        <v>2020</v>
      </c>
      <c r="N822" t="s">
        <v>35</v>
      </c>
      <c r="O822" t="s">
        <v>19</v>
      </c>
      <c r="P822">
        <v>79</v>
      </c>
      <c r="Q822">
        <f>AVERAGE(Table1[funds_raised_millions])</f>
        <v>470.28289473684208</v>
      </c>
      <c r="R822">
        <f>AVERAGE(Table1[total_laid_off])</f>
        <v>236.96936274509804</v>
      </c>
    </row>
    <row r="823" spans="1:18" x14ac:dyDescent="0.25">
      <c r="A823" s="3" t="s">
        <v>907</v>
      </c>
      <c r="B823" t="s">
        <v>13</v>
      </c>
      <c r="C823" t="s">
        <v>64</v>
      </c>
      <c r="D823">
        <v>1877</v>
      </c>
      <c r="E823" t="s">
        <v>15</v>
      </c>
      <c r="F823" s="1" t="str">
        <f>IF(Table1[[#This Row],[percentage_laid_off]]=100%,"1","0")</f>
        <v>0</v>
      </c>
      <c r="G823" t="b">
        <v>0</v>
      </c>
      <c r="H823" s="2">
        <v>44217</v>
      </c>
      <c r="I823" s="2" t="str">
        <f>TEXT(Table1[[#This Row],[date]],"dd")</f>
        <v>21</v>
      </c>
      <c r="J823" s="20">
        <f>DATE(2000,MONTH(Table1[[#This Row],[date]]),1)</f>
        <v>36526</v>
      </c>
      <c r="K823" s="18" t="str">
        <f>TEXT(Table1[[#This Row],[date]],"mm")</f>
        <v>01</v>
      </c>
      <c r="L823" s="16" t="s">
        <v>29</v>
      </c>
      <c r="M823">
        <v>2021</v>
      </c>
      <c r="N823" t="s">
        <v>47</v>
      </c>
      <c r="O823" t="s">
        <v>19</v>
      </c>
      <c r="P823">
        <v>2400</v>
      </c>
      <c r="Q823">
        <f>AVERAGE(Table1[funds_raised_millions])</f>
        <v>470.28289473684208</v>
      </c>
      <c r="R823">
        <f>AVERAGE(Table1[total_laid_off])</f>
        <v>236.96936274509804</v>
      </c>
    </row>
    <row r="824" spans="1:18" x14ac:dyDescent="0.25">
      <c r="A824" s="3" t="s">
        <v>908</v>
      </c>
      <c r="B824" t="s">
        <v>313</v>
      </c>
      <c r="C824" t="s">
        <v>82</v>
      </c>
      <c r="D824">
        <v>6</v>
      </c>
      <c r="E824" s="1">
        <v>0.06</v>
      </c>
      <c r="F824" s="1" t="str">
        <f>IF(Table1[[#This Row],[percentage_laid_off]]=100%,"1","0")</f>
        <v>0</v>
      </c>
      <c r="G824" t="s">
        <v>16</v>
      </c>
      <c r="H824" s="2">
        <v>43865</v>
      </c>
      <c r="I824" s="2" t="str">
        <f>TEXT(Table1[[#This Row],[date]],"dd")</f>
        <v>04</v>
      </c>
      <c r="J824" s="20">
        <f>DATE(2000,MONTH(Table1[[#This Row],[date]]),1)</f>
        <v>36557</v>
      </c>
      <c r="K824" s="18" t="str">
        <f>TEXT(Table1[[#This Row],[date]],"mm")</f>
        <v>02</v>
      </c>
      <c r="L824" s="16" t="s">
        <v>42</v>
      </c>
      <c r="M824">
        <v>2020</v>
      </c>
      <c r="N824" t="s">
        <v>47</v>
      </c>
      <c r="O824" t="s">
        <v>83</v>
      </c>
      <c r="P824">
        <v>8</v>
      </c>
      <c r="Q824">
        <f>AVERAGE(Table1[funds_raised_millions])</f>
        <v>470.28289473684208</v>
      </c>
      <c r="R824">
        <f>AVERAGE(Table1[total_laid_off])</f>
        <v>236.96936274509804</v>
      </c>
    </row>
    <row r="825" spans="1:18" x14ac:dyDescent="0.25">
      <c r="A825" s="3" t="s">
        <v>909</v>
      </c>
      <c r="B825" t="s">
        <v>103</v>
      </c>
      <c r="C825" t="s">
        <v>51</v>
      </c>
      <c r="D825">
        <v>150</v>
      </c>
      <c r="E825" s="1">
        <v>0.12</v>
      </c>
      <c r="F825" s="1" t="str">
        <f>IF(Table1[[#This Row],[percentage_laid_off]]=100%,"1","0")</f>
        <v>0</v>
      </c>
      <c r="G825" t="s">
        <v>28</v>
      </c>
      <c r="H825" s="2">
        <v>43978</v>
      </c>
      <c r="I825" s="2" t="str">
        <f>TEXT(Table1[[#This Row],[date]],"dd")</f>
        <v>27</v>
      </c>
      <c r="J825" s="20">
        <f>DATE(2000,MONTH(Table1[[#This Row],[date]]),1)</f>
        <v>36647</v>
      </c>
      <c r="K825" s="18" t="str">
        <f>TEXT(Table1[[#This Row],[date]],"mm")</f>
        <v>05</v>
      </c>
      <c r="L825" s="16" t="s">
        <v>86</v>
      </c>
      <c r="M825">
        <v>2020</v>
      </c>
      <c r="N825" t="s">
        <v>71</v>
      </c>
      <c r="O825" t="s">
        <v>19</v>
      </c>
      <c r="P825">
        <v>89</v>
      </c>
      <c r="Q825">
        <f>AVERAGE(Table1[funds_raised_millions])</f>
        <v>470.28289473684208</v>
      </c>
      <c r="R825">
        <f>AVERAGE(Table1[total_laid_off])</f>
        <v>236.96936274509804</v>
      </c>
    </row>
    <row r="826" spans="1:18" x14ac:dyDescent="0.25">
      <c r="A826" s="3" t="s">
        <v>910</v>
      </c>
      <c r="B826" t="s">
        <v>13</v>
      </c>
      <c r="C826" t="s">
        <v>535</v>
      </c>
      <c r="D826">
        <v>45</v>
      </c>
      <c r="E826" s="1">
        <v>0.05</v>
      </c>
      <c r="F826" s="1" t="str">
        <f>IF(Table1[[#This Row],[percentage_laid_off]]=100%,"1","0")</f>
        <v>0</v>
      </c>
      <c r="G826" t="s">
        <v>16</v>
      </c>
      <c r="H826" s="2">
        <v>43969</v>
      </c>
      <c r="I826" s="2" t="str">
        <f>TEXT(Table1[[#This Row],[date]],"dd")</f>
        <v>18</v>
      </c>
      <c r="J826" s="20">
        <f>DATE(2000,MONTH(Table1[[#This Row],[date]]),1)</f>
        <v>36647</v>
      </c>
      <c r="K826" s="18" t="str">
        <f>TEXT(Table1[[#This Row],[date]],"mm")</f>
        <v>05</v>
      </c>
      <c r="L826" s="16" t="s">
        <v>86</v>
      </c>
      <c r="M826">
        <v>2020</v>
      </c>
      <c r="N826" t="s">
        <v>117</v>
      </c>
      <c r="O826" t="s">
        <v>19</v>
      </c>
      <c r="P826" t="s">
        <v>15</v>
      </c>
      <c r="Q826">
        <f>AVERAGE(Table1[funds_raised_millions])</f>
        <v>470.28289473684208</v>
      </c>
      <c r="R826">
        <f>AVERAGE(Table1[total_laid_off])</f>
        <v>236.96936274509804</v>
      </c>
    </row>
    <row r="827" spans="1:18" x14ac:dyDescent="0.25">
      <c r="A827" s="3" t="s">
        <v>911</v>
      </c>
      <c r="B827" t="s">
        <v>40</v>
      </c>
      <c r="C827" t="s">
        <v>22</v>
      </c>
      <c r="D827">
        <v>70</v>
      </c>
      <c r="E827" s="1">
        <v>0.1</v>
      </c>
      <c r="F827" s="1" t="str">
        <f>IF(Table1[[#This Row],[percentage_laid_off]]=100%,"1","0")</f>
        <v>0</v>
      </c>
      <c r="G827" t="s">
        <v>16</v>
      </c>
      <c r="H827" s="2">
        <v>43965</v>
      </c>
      <c r="I827" s="2" t="str">
        <f>TEXT(Table1[[#This Row],[date]],"dd")</f>
        <v>14</v>
      </c>
      <c r="J827" s="20">
        <f>DATE(2000,MONTH(Table1[[#This Row],[date]]),1)</f>
        <v>36647</v>
      </c>
      <c r="K827" s="18" t="str">
        <f>TEXT(Table1[[#This Row],[date]],"mm")</f>
        <v>05</v>
      </c>
      <c r="L827" s="16" t="s">
        <v>86</v>
      </c>
      <c r="M827">
        <v>2020</v>
      </c>
      <c r="N827" t="s">
        <v>71</v>
      </c>
      <c r="O827" t="s">
        <v>19</v>
      </c>
      <c r="P827">
        <v>116</v>
      </c>
      <c r="Q827">
        <f>AVERAGE(Table1[funds_raised_millions])</f>
        <v>470.28289473684208</v>
      </c>
      <c r="R827">
        <f>AVERAGE(Table1[total_laid_off])</f>
        <v>236.96936274509804</v>
      </c>
    </row>
    <row r="828" spans="1:18" x14ac:dyDescent="0.25">
      <c r="A828" s="3" t="s">
        <v>911</v>
      </c>
      <c r="B828" t="s">
        <v>40</v>
      </c>
      <c r="C828" t="s">
        <v>22</v>
      </c>
      <c r="D828">
        <v>120</v>
      </c>
      <c r="E828" s="1">
        <v>0.13</v>
      </c>
      <c r="F828" s="1" t="str">
        <f>IF(Table1[[#This Row],[percentage_laid_off]]=100%,"1","0")</f>
        <v>0</v>
      </c>
      <c r="G828" t="s">
        <v>28</v>
      </c>
      <c r="H828" s="2">
        <v>44754</v>
      </c>
      <c r="I828" s="2" t="str">
        <f>TEXT(Table1[[#This Row],[date]],"dd")</f>
        <v>12</v>
      </c>
      <c r="J828" s="20">
        <f>DATE(2000,MONTH(Table1[[#This Row],[date]]),1)</f>
        <v>36708</v>
      </c>
      <c r="K828" s="18" t="str">
        <f>TEXT(Table1[[#This Row],[date]],"mm")</f>
        <v>07</v>
      </c>
      <c r="L828" s="16" t="s">
        <v>17</v>
      </c>
      <c r="M828">
        <v>2022</v>
      </c>
      <c r="N828" t="s">
        <v>71</v>
      </c>
      <c r="O828" t="s">
        <v>19</v>
      </c>
      <c r="P828">
        <v>116</v>
      </c>
      <c r="Q828">
        <f>AVERAGE(Table1[funds_raised_millions])</f>
        <v>470.28289473684208</v>
      </c>
      <c r="R828">
        <f>AVERAGE(Table1[total_laid_off])</f>
        <v>236.96936274509804</v>
      </c>
    </row>
    <row r="829" spans="1:18" x14ac:dyDescent="0.25">
      <c r="A829" s="3" t="s">
        <v>912</v>
      </c>
      <c r="B829" t="s">
        <v>27</v>
      </c>
      <c r="C829" t="s">
        <v>66</v>
      </c>
      <c r="D829">
        <v>26</v>
      </c>
      <c r="E829" t="s">
        <v>15</v>
      </c>
      <c r="F829" s="1" t="str">
        <f>IF(Table1[[#This Row],[percentage_laid_off]]=100%,"1","0")</f>
        <v>0</v>
      </c>
      <c r="G829" t="b">
        <v>0</v>
      </c>
      <c r="H829" s="2">
        <v>44080</v>
      </c>
      <c r="I829" s="2" t="str">
        <f>TEXT(Table1[[#This Row],[date]],"dd")</f>
        <v>06</v>
      </c>
      <c r="J829" s="20">
        <f>DATE(2000,MONTH(Table1[[#This Row],[date]]),1)</f>
        <v>36770</v>
      </c>
      <c r="K829" s="18" t="str">
        <f>TEXT(Table1[[#This Row],[date]],"mm")</f>
        <v>09</v>
      </c>
      <c r="L829" s="16" t="s">
        <v>70</v>
      </c>
      <c r="M829">
        <v>2020</v>
      </c>
      <c r="N829" t="s">
        <v>47</v>
      </c>
      <c r="O829" t="s">
        <v>31</v>
      </c>
      <c r="P829">
        <v>40</v>
      </c>
      <c r="Q829">
        <f>AVERAGE(Table1[funds_raised_millions])</f>
        <v>470.28289473684208</v>
      </c>
      <c r="R829">
        <f>AVERAGE(Table1[total_laid_off])</f>
        <v>236.96936274509804</v>
      </c>
    </row>
    <row r="830" spans="1:18" x14ac:dyDescent="0.25">
      <c r="A830" s="3" t="s">
        <v>913</v>
      </c>
      <c r="B830" t="s">
        <v>13</v>
      </c>
      <c r="C830" t="s">
        <v>309</v>
      </c>
      <c r="D830">
        <v>201</v>
      </c>
      <c r="E830" t="s">
        <v>15</v>
      </c>
      <c r="F830" s="1" t="str">
        <f>IF(Table1[[#This Row],[percentage_laid_off]]=100%,"1","0")</f>
        <v>0</v>
      </c>
      <c r="G830" t="b">
        <v>0</v>
      </c>
      <c r="H830" s="2">
        <v>44724</v>
      </c>
      <c r="I830" s="2" t="str">
        <f>TEXT(Table1[[#This Row],[date]],"dd")</f>
        <v>12</v>
      </c>
      <c r="J830" s="20">
        <f>DATE(2000,MONTH(Table1[[#This Row],[date]]),1)</f>
        <v>36678</v>
      </c>
      <c r="K830" s="18" t="str">
        <f>TEXT(Table1[[#This Row],[date]],"mm")</f>
        <v>06</v>
      </c>
      <c r="L830" s="16" t="s">
        <v>73</v>
      </c>
      <c r="M830">
        <v>2022</v>
      </c>
      <c r="N830" t="s">
        <v>38</v>
      </c>
      <c r="O830" t="s">
        <v>19</v>
      </c>
      <c r="P830">
        <v>12</v>
      </c>
      <c r="Q830">
        <f>AVERAGE(Table1[funds_raised_millions])</f>
        <v>470.28289473684208</v>
      </c>
      <c r="R830">
        <f>AVERAGE(Table1[total_laid_off])</f>
        <v>236.96936274509804</v>
      </c>
    </row>
    <row r="831" spans="1:18" x14ac:dyDescent="0.25">
      <c r="A831" s="3" t="s">
        <v>913</v>
      </c>
      <c r="B831" t="s">
        <v>13</v>
      </c>
      <c r="C831" t="s">
        <v>309</v>
      </c>
      <c r="D831">
        <v>343</v>
      </c>
      <c r="E831" t="s">
        <v>15</v>
      </c>
      <c r="F831" s="1" t="str">
        <f>IF(Table1[[#This Row],[percentage_laid_off]]=100%,"1","0")</f>
        <v>0</v>
      </c>
      <c r="G831" t="b">
        <v>0</v>
      </c>
      <c r="H831" s="2">
        <v>44956</v>
      </c>
      <c r="I831" s="2" t="str">
        <f>TEXT(Table1[[#This Row],[date]],"dd")</f>
        <v>30</v>
      </c>
      <c r="J831" s="20">
        <f>DATE(2000,MONTH(Table1[[#This Row],[date]]),1)</f>
        <v>36526</v>
      </c>
      <c r="K831" s="18" t="str">
        <f>TEXT(Table1[[#This Row],[date]],"mm")</f>
        <v>01</v>
      </c>
      <c r="L831" s="16" t="s">
        <v>29</v>
      </c>
      <c r="M831">
        <v>2023</v>
      </c>
      <c r="N831" t="s">
        <v>38</v>
      </c>
      <c r="O831" t="s">
        <v>19</v>
      </c>
      <c r="P831">
        <v>12</v>
      </c>
      <c r="Q831">
        <f>AVERAGE(Table1[funds_raised_millions])</f>
        <v>470.28289473684208</v>
      </c>
      <c r="R831">
        <f>AVERAGE(Table1[total_laid_off])</f>
        <v>236.96936274509804</v>
      </c>
    </row>
    <row r="832" spans="1:18" x14ac:dyDescent="0.25">
      <c r="A832" s="3" t="s">
        <v>914</v>
      </c>
      <c r="B832" t="s">
        <v>13</v>
      </c>
      <c r="C832" t="s">
        <v>66</v>
      </c>
      <c r="D832">
        <v>39</v>
      </c>
      <c r="E832" s="1">
        <v>0.06</v>
      </c>
      <c r="F832" s="1" t="str">
        <f>IF(Table1[[#This Row],[percentage_laid_off]]=100%,"1","0")</f>
        <v>0</v>
      </c>
      <c r="G832" t="s">
        <v>16</v>
      </c>
      <c r="H832" s="2">
        <v>43971</v>
      </c>
      <c r="I832" s="2" t="str">
        <f>TEXT(Table1[[#This Row],[date]],"dd")</f>
        <v>20</v>
      </c>
      <c r="J832" s="20">
        <f>DATE(2000,MONTH(Table1[[#This Row],[date]]),1)</f>
        <v>36647</v>
      </c>
      <c r="K832" s="18" t="str">
        <f>TEXT(Table1[[#This Row],[date]],"mm")</f>
        <v>05</v>
      </c>
      <c r="L832" s="16" t="s">
        <v>86</v>
      </c>
      <c r="M832">
        <v>2020</v>
      </c>
      <c r="N832" t="s">
        <v>43</v>
      </c>
      <c r="O832" t="s">
        <v>19</v>
      </c>
      <c r="P832">
        <v>240</v>
      </c>
      <c r="Q832">
        <f>AVERAGE(Table1[funds_raised_millions])</f>
        <v>470.28289473684208</v>
      </c>
      <c r="R832">
        <f>AVERAGE(Table1[total_laid_off])</f>
        <v>236.96936274509804</v>
      </c>
    </row>
    <row r="833" spans="1:18" x14ac:dyDescent="0.25">
      <c r="A833" s="3" t="s">
        <v>914</v>
      </c>
      <c r="B833" t="s">
        <v>13</v>
      </c>
      <c r="C833" t="s">
        <v>66</v>
      </c>
      <c r="D833">
        <v>49</v>
      </c>
      <c r="E833" s="1">
        <v>0.05</v>
      </c>
      <c r="F833" s="1" t="str">
        <f>IF(Table1[[#This Row],[percentage_laid_off]]=100%,"1","0")</f>
        <v>0</v>
      </c>
      <c r="G833" t="s">
        <v>16</v>
      </c>
      <c r="H833" s="2">
        <v>44751</v>
      </c>
      <c r="I833" s="2" t="str">
        <f>TEXT(Table1[[#This Row],[date]],"dd")</f>
        <v>09</v>
      </c>
      <c r="J833" s="20">
        <f>DATE(2000,MONTH(Table1[[#This Row],[date]]),1)</f>
        <v>36708</v>
      </c>
      <c r="K833" s="18" t="str">
        <f>TEXT(Table1[[#This Row],[date]],"mm")</f>
        <v>07</v>
      </c>
      <c r="L833" s="16" t="s">
        <v>17</v>
      </c>
      <c r="M833">
        <v>2022</v>
      </c>
      <c r="N833" t="s">
        <v>43</v>
      </c>
      <c r="O833" t="s">
        <v>19</v>
      </c>
      <c r="P833">
        <v>240</v>
      </c>
      <c r="Q833">
        <f>AVERAGE(Table1[funds_raised_millions])</f>
        <v>470.28289473684208</v>
      </c>
      <c r="R833">
        <f>AVERAGE(Table1[total_laid_off])</f>
        <v>236.96936274509804</v>
      </c>
    </row>
    <row r="834" spans="1:18" x14ac:dyDescent="0.25">
      <c r="A834" s="3" t="s">
        <v>914</v>
      </c>
      <c r="B834" t="s">
        <v>13</v>
      </c>
      <c r="C834" t="s">
        <v>66</v>
      </c>
      <c r="D834">
        <v>124</v>
      </c>
      <c r="E834" s="1">
        <v>0.13</v>
      </c>
      <c r="F834" s="1" t="str">
        <f>IF(Table1[[#This Row],[percentage_laid_off]]=100%,"1","0")</f>
        <v>0</v>
      </c>
      <c r="G834" t="s">
        <v>28</v>
      </c>
      <c r="H834" s="2">
        <v>44879</v>
      </c>
      <c r="I834" s="2" t="str">
        <f>TEXT(Table1[[#This Row],[date]],"dd")</f>
        <v>14</v>
      </c>
      <c r="J834" s="20">
        <f>DATE(2000,MONTH(Table1[[#This Row],[date]]),1)</f>
        <v>36831</v>
      </c>
      <c r="K834" s="18" t="str">
        <f>TEXT(Table1[[#This Row],[date]],"mm")</f>
        <v>11</v>
      </c>
      <c r="L834" s="16" t="s">
        <v>23</v>
      </c>
      <c r="M834">
        <v>2022</v>
      </c>
      <c r="N834" t="s">
        <v>43</v>
      </c>
      <c r="O834" t="s">
        <v>19</v>
      </c>
      <c r="P834">
        <v>240</v>
      </c>
      <c r="Q834">
        <f>AVERAGE(Table1[funds_raised_millions])</f>
        <v>470.28289473684208</v>
      </c>
      <c r="R834">
        <f>AVERAGE(Table1[total_laid_off])</f>
        <v>236.96936274509804</v>
      </c>
    </row>
    <row r="835" spans="1:18" x14ac:dyDescent="0.25">
      <c r="A835" s="3" t="s">
        <v>915</v>
      </c>
      <c r="B835" t="s">
        <v>27</v>
      </c>
      <c r="C835" t="s">
        <v>123</v>
      </c>
      <c r="D835">
        <v>19</v>
      </c>
      <c r="E835" s="1">
        <v>0.11</v>
      </c>
      <c r="F835" s="1" t="str">
        <f>IF(Table1[[#This Row],[percentage_laid_off]]=100%,"1","0")</f>
        <v>0</v>
      </c>
      <c r="G835" t="s">
        <v>28</v>
      </c>
      <c r="H835" s="2">
        <v>43964</v>
      </c>
      <c r="I835" s="2" t="str">
        <f>TEXT(Table1[[#This Row],[date]],"dd")</f>
        <v>13</v>
      </c>
      <c r="J835" s="20">
        <f>DATE(2000,MONTH(Table1[[#This Row],[date]]),1)</f>
        <v>36647</v>
      </c>
      <c r="K835" s="18" t="str">
        <f>TEXT(Table1[[#This Row],[date]],"mm")</f>
        <v>05</v>
      </c>
      <c r="L835" s="16" t="s">
        <v>86</v>
      </c>
      <c r="M835">
        <v>2020</v>
      </c>
      <c r="N835" t="s">
        <v>71</v>
      </c>
      <c r="O835" t="s">
        <v>31</v>
      </c>
      <c r="P835" t="s">
        <v>15</v>
      </c>
      <c r="Q835">
        <f>AVERAGE(Table1[funds_raised_millions])</f>
        <v>470.28289473684208</v>
      </c>
      <c r="R835">
        <f>AVERAGE(Table1[total_laid_off])</f>
        <v>236.96936274509804</v>
      </c>
    </row>
    <row r="836" spans="1:18" x14ac:dyDescent="0.25">
      <c r="A836" s="3" t="s">
        <v>916</v>
      </c>
      <c r="B836" t="s">
        <v>13</v>
      </c>
      <c r="C836" t="s">
        <v>161</v>
      </c>
      <c r="D836">
        <v>40</v>
      </c>
      <c r="E836" s="1">
        <v>0.2</v>
      </c>
      <c r="F836" s="1" t="str">
        <f>IF(Table1[[#This Row],[percentage_laid_off]]=100%,"1","0")</f>
        <v>0</v>
      </c>
      <c r="G836" t="s">
        <v>28</v>
      </c>
      <c r="H836" s="2">
        <v>45231</v>
      </c>
      <c r="I836" s="2" t="str">
        <f>TEXT(Table1[[#This Row],[date]],"dd")</f>
        <v>01</v>
      </c>
      <c r="J836" s="20">
        <f>DATE(2000,MONTH(Table1[[#This Row],[date]]),1)</f>
        <v>36831</v>
      </c>
      <c r="K836" s="18" t="str">
        <f>TEXT(Table1[[#This Row],[date]],"mm")</f>
        <v>11</v>
      </c>
      <c r="L836" s="16" t="s">
        <v>23</v>
      </c>
      <c r="M836">
        <v>2023</v>
      </c>
      <c r="N836" t="s">
        <v>71</v>
      </c>
      <c r="O836" t="s">
        <v>19</v>
      </c>
      <c r="P836" t="s">
        <v>15</v>
      </c>
      <c r="Q836">
        <f>AVERAGE(Table1[funds_raised_millions])</f>
        <v>470.28289473684208</v>
      </c>
      <c r="R836">
        <f>AVERAGE(Table1[total_laid_off])</f>
        <v>236.96936274509804</v>
      </c>
    </row>
    <row r="837" spans="1:18" x14ac:dyDescent="0.25">
      <c r="A837" s="3" t="s">
        <v>917</v>
      </c>
      <c r="B837" t="s">
        <v>918</v>
      </c>
      <c r="C837" t="s">
        <v>60</v>
      </c>
      <c r="D837">
        <v>57</v>
      </c>
      <c r="E837" s="1">
        <v>0.16</v>
      </c>
      <c r="F837" s="1" t="str">
        <f>IF(Table1[[#This Row],[percentage_laid_off]]=100%,"1","0")</f>
        <v>0</v>
      </c>
      <c r="G837" t="s">
        <v>28</v>
      </c>
      <c r="H837" s="2">
        <v>44762</v>
      </c>
      <c r="I837" s="2" t="str">
        <f>TEXT(Table1[[#This Row],[date]],"dd")</f>
        <v>20</v>
      </c>
      <c r="J837" s="20">
        <f>DATE(2000,MONTH(Table1[[#This Row],[date]]),1)</f>
        <v>36708</v>
      </c>
      <c r="K837" s="18" t="str">
        <f>TEXT(Table1[[#This Row],[date]],"mm")</f>
        <v>07</v>
      </c>
      <c r="L837" s="16" t="s">
        <v>17</v>
      </c>
      <c r="M837">
        <v>2022</v>
      </c>
      <c r="N837" t="s">
        <v>35</v>
      </c>
      <c r="O837" t="s">
        <v>31</v>
      </c>
      <c r="P837">
        <v>125</v>
      </c>
      <c r="Q837">
        <f>AVERAGE(Table1[funds_raised_millions])</f>
        <v>470.28289473684208</v>
      </c>
      <c r="R837">
        <f>AVERAGE(Table1[total_laid_off])</f>
        <v>236.96936274509804</v>
      </c>
    </row>
    <row r="838" spans="1:18" x14ac:dyDescent="0.25">
      <c r="A838" s="3" t="s">
        <v>919</v>
      </c>
      <c r="B838" t="s">
        <v>13</v>
      </c>
      <c r="C838" t="s">
        <v>82</v>
      </c>
      <c r="D838">
        <v>715</v>
      </c>
      <c r="E838" s="1">
        <v>7.0000000000000007E-2</v>
      </c>
      <c r="F838" s="1" t="str">
        <f>IF(Table1[[#This Row],[percentage_laid_off]]=100%,"1","0")</f>
        <v>0</v>
      </c>
      <c r="G838" t="s">
        <v>16</v>
      </c>
      <c r="H838" s="2">
        <v>44004</v>
      </c>
      <c r="I838" s="2" t="str">
        <f>TEXT(Table1[[#This Row],[date]],"dd")</f>
        <v>22</v>
      </c>
      <c r="J838" s="20">
        <f>DATE(2000,MONTH(Table1[[#This Row],[date]]),1)</f>
        <v>36678</v>
      </c>
      <c r="K838" s="18" t="str">
        <f>TEXT(Table1[[#This Row],[date]],"mm")</f>
        <v>06</v>
      </c>
      <c r="L838" s="16" t="s">
        <v>73</v>
      </c>
      <c r="M838">
        <v>2020</v>
      </c>
      <c r="N838" t="s">
        <v>38</v>
      </c>
      <c r="O838" t="s">
        <v>19</v>
      </c>
      <c r="P838">
        <v>18</v>
      </c>
      <c r="Q838">
        <f>AVERAGE(Table1[funds_raised_millions])</f>
        <v>470.28289473684208</v>
      </c>
      <c r="R838">
        <f>AVERAGE(Table1[total_laid_off])</f>
        <v>236.96936274509804</v>
      </c>
    </row>
    <row r="839" spans="1:18" x14ac:dyDescent="0.25">
      <c r="A839" s="3" t="s">
        <v>920</v>
      </c>
      <c r="B839" t="s">
        <v>40</v>
      </c>
      <c r="C839" t="s">
        <v>123</v>
      </c>
      <c r="D839" t="s">
        <v>15</v>
      </c>
      <c r="E839" s="1">
        <v>0.5</v>
      </c>
      <c r="F839" s="1" t="str">
        <f>IF(Table1[[#This Row],[percentage_laid_off]]=100%,"1","0")</f>
        <v>0</v>
      </c>
      <c r="G839" t="s">
        <v>28</v>
      </c>
      <c r="H839" s="2">
        <v>44763</v>
      </c>
      <c r="I839" s="2" t="str">
        <f>TEXT(Table1[[#This Row],[date]],"dd")</f>
        <v>21</v>
      </c>
      <c r="J839" s="20">
        <f>DATE(2000,MONTH(Table1[[#This Row],[date]]),1)</f>
        <v>36708</v>
      </c>
      <c r="K839" s="18" t="str">
        <f>TEXT(Table1[[#This Row],[date]],"mm")</f>
        <v>07</v>
      </c>
      <c r="L839" s="16" t="s">
        <v>17</v>
      </c>
      <c r="M839">
        <v>2022</v>
      </c>
      <c r="N839" t="s">
        <v>100</v>
      </c>
      <c r="O839" t="s">
        <v>19</v>
      </c>
      <c r="P839">
        <v>356</v>
      </c>
      <c r="Q839">
        <f>AVERAGE(Table1[funds_raised_millions])</f>
        <v>470.28289473684208</v>
      </c>
      <c r="R839">
        <f>AVERAGE(Table1[total_laid_off])</f>
        <v>236.96936274509804</v>
      </c>
    </row>
    <row r="840" spans="1:18" x14ac:dyDescent="0.25">
      <c r="A840" s="3" t="s">
        <v>920</v>
      </c>
      <c r="B840" t="s">
        <v>40</v>
      </c>
      <c r="C840" t="s">
        <v>123</v>
      </c>
      <c r="D840">
        <v>22</v>
      </c>
      <c r="E840" t="s">
        <v>15</v>
      </c>
      <c r="F840" s="1" t="str">
        <f>IF(Table1[[#This Row],[percentage_laid_off]]=100%,"1","0")</f>
        <v>0</v>
      </c>
      <c r="G840" t="b">
        <v>0</v>
      </c>
      <c r="H840" s="2">
        <v>44326</v>
      </c>
      <c r="I840" s="2" t="str">
        <f>TEXT(Table1[[#This Row],[date]],"dd")</f>
        <v>10</v>
      </c>
      <c r="J840" s="20">
        <f>DATE(2000,MONTH(Table1[[#This Row],[date]]),1)</f>
        <v>36647</v>
      </c>
      <c r="K840" s="18" t="str">
        <f>TEXT(Table1[[#This Row],[date]],"mm")</f>
        <v>05</v>
      </c>
      <c r="L840" s="16" t="s">
        <v>86</v>
      </c>
      <c r="M840">
        <v>2021</v>
      </c>
      <c r="N840" t="s">
        <v>47</v>
      </c>
      <c r="O840" t="s">
        <v>19</v>
      </c>
      <c r="P840">
        <v>356</v>
      </c>
      <c r="Q840">
        <f>AVERAGE(Table1[funds_raised_millions])</f>
        <v>470.28289473684208</v>
      </c>
      <c r="R840">
        <f>AVERAGE(Table1[total_laid_off])</f>
        <v>236.96936274509804</v>
      </c>
    </row>
    <row r="841" spans="1:18" x14ac:dyDescent="0.25">
      <c r="A841" s="3" t="s">
        <v>921</v>
      </c>
      <c r="B841" t="s">
        <v>13</v>
      </c>
      <c r="C841" t="s">
        <v>14</v>
      </c>
      <c r="D841">
        <v>1000</v>
      </c>
      <c r="E841" t="s">
        <v>15</v>
      </c>
      <c r="F841" s="1" t="str">
        <f>IF(Table1[[#This Row],[percentage_laid_off]]=100%,"1","0")</f>
        <v>0</v>
      </c>
      <c r="G841" t="b">
        <v>0</v>
      </c>
      <c r="H841" s="2">
        <v>44761</v>
      </c>
      <c r="I841" s="2" t="str">
        <f>TEXT(Table1[[#This Row],[date]],"dd")</f>
        <v>19</v>
      </c>
      <c r="J841" s="20">
        <f>DATE(2000,MONTH(Table1[[#This Row],[date]]),1)</f>
        <v>36708</v>
      </c>
      <c r="K841" s="18" t="str">
        <f>TEXT(Table1[[#This Row],[date]],"mm")</f>
        <v>07</v>
      </c>
      <c r="L841" s="16" t="s">
        <v>17</v>
      </c>
      <c r="M841">
        <v>2022</v>
      </c>
      <c r="N841" t="s">
        <v>38</v>
      </c>
      <c r="O841" t="s">
        <v>19</v>
      </c>
      <c r="P841">
        <v>2000</v>
      </c>
      <c r="Q841">
        <f>AVERAGE(Table1[funds_raised_millions])</f>
        <v>470.28289473684208</v>
      </c>
      <c r="R841">
        <f>AVERAGE(Table1[total_laid_off])</f>
        <v>236.96936274509804</v>
      </c>
    </row>
    <row r="842" spans="1:18" x14ac:dyDescent="0.25">
      <c r="A842" s="3" t="s">
        <v>922</v>
      </c>
      <c r="B842" t="s">
        <v>923</v>
      </c>
      <c r="C842" t="s">
        <v>41</v>
      </c>
      <c r="D842">
        <v>70</v>
      </c>
      <c r="E842" s="1">
        <v>0.18</v>
      </c>
      <c r="F842" s="1" t="str">
        <f>IF(Table1[[#This Row],[percentage_laid_off]]=100%,"1","0")</f>
        <v>0</v>
      </c>
      <c r="G842" t="s">
        <v>28</v>
      </c>
      <c r="H842" s="2">
        <v>44755</v>
      </c>
      <c r="I842" s="2" t="str">
        <f>TEXT(Table1[[#This Row],[date]],"dd")</f>
        <v>13</v>
      </c>
      <c r="J842" s="20">
        <f>DATE(2000,MONTH(Table1[[#This Row],[date]]),1)</f>
        <v>36708</v>
      </c>
      <c r="K842" s="18" t="str">
        <f>TEXT(Table1[[#This Row],[date]],"mm")</f>
        <v>07</v>
      </c>
      <c r="L842" s="16" t="s">
        <v>17</v>
      </c>
      <c r="M842">
        <v>2022</v>
      </c>
      <c r="N842" t="s">
        <v>47</v>
      </c>
      <c r="O842" t="s">
        <v>48</v>
      </c>
      <c r="P842">
        <v>23</v>
      </c>
      <c r="Q842">
        <f>AVERAGE(Table1[funds_raised_millions])</f>
        <v>470.28289473684208</v>
      </c>
      <c r="R842">
        <f>AVERAGE(Table1[total_laid_off])</f>
        <v>236.96936274509804</v>
      </c>
    </row>
    <row r="843" spans="1:18" x14ac:dyDescent="0.25">
      <c r="A843" s="3" t="s">
        <v>924</v>
      </c>
      <c r="B843" t="s">
        <v>425</v>
      </c>
      <c r="C843" t="s">
        <v>41</v>
      </c>
      <c r="D843">
        <v>50</v>
      </c>
      <c r="E843" s="1">
        <v>0.2</v>
      </c>
      <c r="F843" s="1" t="str">
        <f>IF(Table1[[#This Row],[percentage_laid_off]]=100%,"1","0")</f>
        <v>0</v>
      </c>
      <c r="G843" t="s">
        <v>28</v>
      </c>
      <c r="H843" s="2">
        <v>44779</v>
      </c>
      <c r="I843" s="2" t="str">
        <f>TEXT(Table1[[#This Row],[date]],"dd")</f>
        <v>06</v>
      </c>
      <c r="J843" s="20">
        <f>DATE(2000,MONTH(Table1[[#This Row],[date]]),1)</f>
        <v>36739</v>
      </c>
      <c r="K843" s="18" t="str">
        <f>TEXT(Table1[[#This Row],[date]],"mm")</f>
        <v>08</v>
      </c>
      <c r="L843" s="16" t="s">
        <v>53</v>
      </c>
      <c r="M843">
        <v>2022</v>
      </c>
      <c r="N843" t="s">
        <v>47</v>
      </c>
      <c r="O843" t="s">
        <v>426</v>
      </c>
      <c r="P843">
        <v>26</v>
      </c>
      <c r="Q843">
        <f>AVERAGE(Table1[funds_raised_millions])</f>
        <v>470.28289473684208</v>
      </c>
      <c r="R843">
        <f>AVERAGE(Table1[total_laid_off])</f>
        <v>236.96936274509804</v>
      </c>
    </row>
    <row r="844" spans="1:18" x14ac:dyDescent="0.25">
      <c r="A844" s="3" t="s">
        <v>925</v>
      </c>
      <c r="B844" t="s">
        <v>40</v>
      </c>
      <c r="C844" t="s">
        <v>64</v>
      </c>
      <c r="D844">
        <v>9</v>
      </c>
      <c r="E844" s="1">
        <v>0.5</v>
      </c>
      <c r="F844" s="1" t="str">
        <f>IF(Table1[[#This Row],[percentage_laid_off]]=100%,"1","0")</f>
        <v>0</v>
      </c>
      <c r="G844" t="s">
        <v>28</v>
      </c>
      <c r="H844" s="2">
        <v>43920</v>
      </c>
      <c r="I844" s="2" t="str">
        <f>TEXT(Table1[[#This Row],[date]],"dd")</f>
        <v>30</v>
      </c>
      <c r="J844" s="20">
        <f>DATE(2000,MONTH(Table1[[#This Row],[date]]),1)</f>
        <v>36586</v>
      </c>
      <c r="K844" s="18" t="str">
        <f>TEXT(Table1[[#This Row],[date]],"mm")</f>
        <v>03</v>
      </c>
      <c r="L844" s="16" t="s">
        <v>57</v>
      </c>
      <c r="M844">
        <v>2020</v>
      </c>
      <c r="N844" t="s">
        <v>139</v>
      </c>
      <c r="O844" t="s">
        <v>19</v>
      </c>
      <c r="P844">
        <v>15</v>
      </c>
      <c r="Q844">
        <f>AVERAGE(Table1[funds_raised_millions])</f>
        <v>470.28289473684208</v>
      </c>
      <c r="R844">
        <f>AVERAGE(Table1[total_laid_off])</f>
        <v>236.96936274509804</v>
      </c>
    </row>
    <row r="845" spans="1:18" x14ac:dyDescent="0.25">
      <c r="A845" s="3" t="s">
        <v>926</v>
      </c>
      <c r="B845" t="s">
        <v>13</v>
      </c>
      <c r="C845" t="s">
        <v>34</v>
      </c>
      <c r="D845">
        <v>25</v>
      </c>
      <c r="E845" s="1">
        <v>0.25</v>
      </c>
      <c r="F845" s="1" t="str">
        <f>IF(Table1[[#This Row],[percentage_laid_off]]=100%,"1","0")</f>
        <v>0</v>
      </c>
      <c r="G845" t="s">
        <v>28</v>
      </c>
      <c r="H845" s="2">
        <v>44598</v>
      </c>
      <c r="I845" s="2" t="str">
        <f>TEXT(Table1[[#This Row],[date]],"dd")</f>
        <v>06</v>
      </c>
      <c r="J845" s="20">
        <f>DATE(2000,MONTH(Table1[[#This Row],[date]]),1)</f>
        <v>36557</v>
      </c>
      <c r="K845" s="18" t="str">
        <f>TEXT(Table1[[#This Row],[date]],"mm")</f>
        <v>02</v>
      </c>
      <c r="L845" s="16" t="s">
        <v>42</v>
      </c>
      <c r="M845">
        <v>2022</v>
      </c>
      <c r="N845" t="s">
        <v>35</v>
      </c>
      <c r="O845" t="s">
        <v>19</v>
      </c>
      <c r="P845">
        <v>197</v>
      </c>
      <c r="Q845">
        <f>AVERAGE(Table1[funds_raised_millions])</f>
        <v>470.28289473684208</v>
      </c>
      <c r="R845">
        <f>AVERAGE(Table1[total_laid_off])</f>
        <v>236.96936274509804</v>
      </c>
    </row>
    <row r="846" spans="1:18" x14ac:dyDescent="0.25">
      <c r="A846" s="3" t="s">
        <v>927</v>
      </c>
      <c r="B846" t="s">
        <v>88</v>
      </c>
      <c r="C846" t="s">
        <v>34</v>
      </c>
      <c r="D846">
        <v>85</v>
      </c>
      <c r="E846" s="1">
        <v>7.0000000000000007E-2</v>
      </c>
      <c r="F846" s="1" t="str">
        <f>IF(Table1[[#This Row],[percentage_laid_off]]=100%,"1","0")</f>
        <v>0</v>
      </c>
      <c r="G846" t="s">
        <v>16</v>
      </c>
      <c r="H846" s="2">
        <v>44970</v>
      </c>
      <c r="I846" s="2" t="str">
        <f>TEXT(Table1[[#This Row],[date]],"dd")</f>
        <v>13</v>
      </c>
      <c r="J846" s="20">
        <f>DATE(2000,MONTH(Table1[[#This Row],[date]]),1)</f>
        <v>36557</v>
      </c>
      <c r="K846" s="18" t="str">
        <f>TEXT(Table1[[#This Row],[date]],"mm")</f>
        <v>02</v>
      </c>
      <c r="L846" s="16" t="s">
        <v>42</v>
      </c>
      <c r="M846">
        <v>2023</v>
      </c>
      <c r="N846" t="s">
        <v>71</v>
      </c>
      <c r="O846" t="s">
        <v>19</v>
      </c>
      <c r="P846">
        <v>30</v>
      </c>
      <c r="Q846">
        <f>AVERAGE(Table1[funds_raised_millions])</f>
        <v>470.28289473684208</v>
      </c>
      <c r="R846">
        <f>AVERAGE(Table1[total_laid_off])</f>
        <v>236.96936274509804</v>
      </c>
    </row>
    <row r="847" spans="1:18" x14ac:dyDescent="0.25">
      <c r="A847" s="3" t="s">
        <v>927</v>
      </c>
      <c r="B847" t="s">
        <v>88</v>
      </c>
      <c r="C847" t="s">
        <v>34</v>
      </c>
      <c r="D847">
        <v>140</v>
      </c>
      <c r="E847" s="1">
        <v>0.1</v>
      </c>
      <c r="F847" s="1" t="str">
        <f>IF(Table1[[#This Row],[percentage_laid_off]]=100%,"1","0")</f>
        <v>0</v>
      </c>
      <c r="G847" t="s">
        <v>16</v>
      </c>
      <c r="H847" s="2">
        <v>44689</v>
      </c>
      <c r="I847" s="2" t="str">
        <f>TEXT(Table1[[#This Row],[date]],"dd")</f>
        <v>08</v>
      </c>
      <c r="J847" s="20">
        <f>DATE(2000,MONTH(Table1[[#This Row],[date]]),1)</f>
        <v>36647</v>
      </c>
      <c r="K847" s="18" t="str">
        <f>TEXT(Table1[[#This Row],[date]],"mm")</f>
        <v>05</v>
      </c>
      <c r="L847" s="16" t="s">
        <v>86</v>
      </c>
      <c r="M847">
        <v>2022</v>
      </c>
      <c r="N847" t="s">
        <v>71</v>
      </c>
      <c r="O847" t="s">
        <v>19</v>
      </c>
      <c r="P847">
        <v>30</v>
      </c>
      <c r="Q847">
        <f>AVERAGE(Table1[funds_raised_millions])</f>
        <v>470.28289473684208</v>
      </c>
      <c r="R847">
        <f>AVERAGE(Table1[total_laid_off])</f>
        <v>236.96936274509804</v>
      </c>
    </row>
    <row r="848" spans="1:18" x14ac:dyDescent="0.25">
      <c r="A848" s="3" t="s">
        <v>928</v>
      </c>
      <c r="B848" t="s">
        <v>13</v>
      </c>
      <c r="C848" t="s">
        <v>64</v>
      </c>
      <c r="D848">
        <v>50</v>
      </c>
      <c r="E848" s="1">
        <v>0.5</v>
      </c>
      <c r="F848" s="1" t="str">
        <f>IF(Table1[[#This Row],[percentage_laid_off]]=100%,"1","0")</f>
        <v>0</v>
      </c>
      <c r="G848" t="s">
        <v>28</v>
      </c>
      <c r="H848" s="2">
        <v>44603</v>
      </c>
      <c r="I848" s="2" t="str">
        <f>TEXT(Table1[[#This Row],[date]],"dd")</f>
        <v>11</v>
      </c>
      <c r="J848" s="20">
        <f>DATE(2000,MONTH(Table1[[#This Row],[date]]),1)</f>
        <v>36557</v>
      </c>
      <c r="K848" s="18" t="str">
        <f>TEXT(Table1[[#This Row],[date]],"mm")</f>
        <v>02</v>
      </c>
      <c r="L848" s="16" t="s">
        <v>42</v>
      </c>
      <c r="M848">
        <v>2022</v>
      </c>
      <c r="N848" t="s">
        <v>35</v>
      </c>
      <c r="O848" t="s">
        <v>19</v>
      </c>
      <c r="P848">
        <v>103</v>
      </c>
      <c r="Q848">
        <f>AVERAGE(Table1[funds_raised_millions])</f>
        <v>470.28289473684208</v>
      </c>
      <c r="R848">
        <f>AVERAGE(Table1[total_laid_off])</f>
        <v>236.96936274509804</v>
      </c>
    </row>
    <row r="849" spans="1:18" x14ac:dyDescent="0.25">
      <c r="A849" s="3" t="s">
        <v>929</v>
      </c>
      <c r="B849" t="s">
        <v>50</v>
      </c>
      <c r="C849" t="s">
        <v>181</v>
      </c>
      <c r="D849">
        <v>55</v>
      </c>
      <c r="E849" s="1">
        <v>0.17</v>
      </c>
      <c r="F849" s="1" t="str">
        <f>IF(Table1[[#This Row],[percentage_laid_off]]=100%,"1","0")</f>
        <v>0</v>
      </c>
      <c r="G849" t="s">
        <v>28</v>
      </c>
      <c r="H849" s="2">
        <v>44734</v>
      </c>
      <c r="I849" s="2" t="str">
        <f>TEXT(Table1[[#This Row],[date]],"dd")</f>
        <v>22</v>
      </c>
      <c r="J849" s="20">
        <f>DATE(2000,MONTH(Table1[[#This Row],[date]]),1)</f>
        <v>36678</v>
      </c>
      <c r="K849" s="18" t="str">
        <f>TEXT(Table1[[#This Row],[date]],"mm")</f>
        <v>06</v>
      </c>
      <c r="L849" s="16" t="s">
        <v>73</v>
      </c>
      <c r="M849">
        <v>2022</v>
      </c>
      <c r="N849" t="s">
        <v>38</v>
      </c>
      <c r="O849" t="s">
        <v>19</v>
      </c>
      <c r="P849">
        <v>410</v>
      </c>
      <c r="Q849">
        <f>AVERAGE(Table1[funds_raised_millions])</f>
        <v>470.28289473684208</v>
      </c>
      <c r="R849">
        <f>AVERAGE(Table1[total_laid_off])</f>
        <v>236.96936274509804</v>
      </c>
    </row>
    <row r="850" spans="1:18" x14ac:dyDescent="0.25">
      <c r="A850" s="3" t="s">
        <v>929</v>
      </c>
      <c r="B850" t="s">
        <v>50</v>
      </c>
      <c r="C850" t="s">
        <v>181</v>
      </c>
      <c r="D850">
        <v>90</v>
      </c>
      <c r="E850" s="1">
        <v>0.35</v>
      </c>
      <c r="F850" s="1" t="str">
        <f>IF(Table1[[#This Row],[percentage_laid_off]]=100%,"1","0")</f>
        <v>0</v>
      </c>
      <c r="G850" t="s">
        <v>28</v>
      </c>
      <c r="H850" s="2">
        <v>44734</v>
      </c>
      <c r="I850" s="2" t="str">
        <f>TEXT(Table1[[#This Row],[date]],"dd")</f>
        <v>22</v>
      </c>
      <c r="J850" s="20">
        <f>DATE(2000,MONTH(Table1[[#This Row],[date]]),1)</f>
        <v>36678</v>
      </c>
      <c r="K850" s="18" t="str">
        <f>TEXT(Table1[[#This Row],[date]],"mm")</f>
        <v>06</v>
      </c>
      <c r="L850" s="16" t="s">
        <v>73</v>
      </c>
      <c r="M850">
        <v>2022</v>
      </c>
      <c r="N850" t="s">
        <v>38</v>
      </c>
      <c r="O850" t="s">
        <v>19</v>
      </c>
      <c r="P850">
        <v>410</v>
      </c>
      <c r="Q850">
        <f>AVERAGE(Table1[funds_raised_millions])</f>
        <v>470.28289473684208</v>
      </c>
      <c r="R850">
        <f>AVERAGE(Table1[total_laid_off])</f>
        <v>236.96936274509804</v>
      </c>
    </row>
    <row r="851" spans="1:18" x14ac:dyDescent="0.25">
      <c r="A851" s="3" t="s">
        <v>930</v>
      </c>
      <c r="B851" t="s">
        <v>33</v>
      </c>
      <c r="C851" t="s">
        <v>34</v>
      </c>
      <c r="D851">
        <v>200</v>
      </c>
      <c r="E851" s="1">
        <v>0.17</v>
      </c>
      <c r="F851" s="1" t="str">
        <f>IF(Table1[[#This Row],[percentage_laid_off]]=100%,"1","0")</f>
        <v>0</v>
      </c>
      <c r="G851" t="s">
        <v>28</v>
      </c>
      <c r="H851" s="2">
        <v>44659</v>
      </c>
      <c r="I851" s="2" t="str">
        <f>TEXT(Table1[[#This Row],[date]],"dd")</f>
        <v>08</v>
      </c>
      <c r="J851" s="20">
        <f>DATE(2000,MONTH(Table1[[#This Row],[date]]),1)</f>
        <v>36617</v>
      </c>
      <c r="K851" s="18" t="str">
        <f>TEXT(Table1[[#This Row],[date]],"mm")</f>
        <v>04</v>
      </c>
      <c r="L851" s="16" t="s">
        <v>37</v>
      </c>
      <c r="M851">
        <v>2022</v>
      </c>
      <c r="N851" t="s">
        <v>47</v>
      </c>
      <c r="O851" t="s">
        <v>19</v>
      </c>
      <c r="P851">
        <v>652</v>
      </c>
      <c r="Q851">
        <f>AVERAGE(Table1[funds_raised_millions])</f>
        <v>470.28289473684208</v>
      </c>
      <c r="R851">
        <f>AVERAGE(Table1[total_laid_off])</f>
        <v>236.96936274509804</v>
      </c>
    </row>
    <row r="852" spans="1:18" x14ac:dyDescent="0.25">
      <c r="A852" s="3" t="s">
        <v>931</v>
      </c>
      <c r="B852" t="s">
        <v>85</v>
      </c>
      <c r="C852" t="s">
        <v>123</v>
      </c>
      <c r="D852">
        <v>12</v>
      </c>
      <c r="E852" s="1">
        <v>0.05</v>
      </c>
      <c r="F852" s="1" t="str">
        <f>IF(Table1[[#This Row],[percentage_laid_off]]=100%,"1","0")</f>
        <v>0</v>
      </c>
      <c r="G852" t="s">
        <v>16</v>
      </c>
      <c r="H852" s="2">
        <v>43915</v>
      </c>
      <c r="I852" s="2" t="str">
        <f>TEXT(Table1[[#This Row],[date]],"dd")</f>
        <v>25</v>
      </c>
      <c r="J852" s="20">
        <f>DATE(2000,MONTH(Table1[[#This Row],[date]]),1)</f>
        <v>36586</v>
      </c>
      <c r="K852" s="18" t="str">
        <f>TEXT(Table1[[#This Row],[date]],"mm")</f>
        <v>03</v>
      </c>
      <c r="L852" s="16" t="s">
        <v>57</v>
      </c>
      <c r="M852">
        <v>2020</v>
      </c>
      <c r="N852" t="s">
        <v>47</v>
      </c>
      <c r="O852" t="s">
        <v>19</v>
      </c>
      <c r="P852">
        <v>233</v>
      </c>
      <c r="Q852">
        <f>AVERAGE(Table1[funds_raised_millions])</f>
        <v>470.28289473684208</v>
      </c>
      <c r="R852">
        <f>AVERAGE(Table1[total_laid_off])</f>
        <v>236.96936274509804</v>
      </c>
    </row>
    <row r="853" spans="1:18" x14ac:dyDescent="0.25">
      <c r="A853" s="3" t="s">
        <v>932</v>
      </c>
      <c r="B853" t="s">
        <v>129</v>
      </c>
      <c r="C853" t="s">
        <v>41</v>
      </c>
      <c r="D853">
        <v>200</v>
      </c>
      <c r="E853" s="1">
        <v>0.3</v>
      </c>
      <c r="F853" s="1" t="str">
        <f>IF(Table1[[#This Row],[percentage_laid_off]]=100%,"1","0")</f>
        <v>0</v>
      </c>
      <c r="G853" t="s">
        <v>28</v>
      </c>
      <c r="H853" s="2">
        <v>44909</v>
      </c>
      <c r="I853" s="2" t="str">
        <f>TEXT(Table1[[#This Row],[date]],"dd")</f>
        <v>14</v>
      </c>
      <c r="J853" s="20">
        <f>DATE(2000,MONTH(Table1[[#This Row],[date]]),1)</f>
        <v>36861</v>
      </c>
      <c r="K853" s="18" t="str">
        <f>TEXT(Table1[[#This Row],[date]],"mm")</f>
        <v>12</v>
      </c>
      <c r="L853" s="16" t="s">
        <v>61</v>
      </c>
      <c r="M853">
        <v>2022</v>
      </c>
      <c r="N853" t="s">
        <v>38</v>
      </c>
      <c r="O853" t="s">
        <v>131</v>
      </c>
      <c r="P853">
        <v>5100</v>
      </c>
      <c r="Q853">
        <f>AVERAGE(Table1[funds_raised_millions])</f>
        <v>470.28289473684208</v>
      </c>
      <c r="R853">
        <f>AVERAGE(Table1[total_laid_off])</f>
        <v>236.96936274509804</v>
      </c>
    </row>
    <row r="854" spans="1:18" x14ac:dyDescent="0.25">
      <c r="A854" s="3" t="s">
        <v>933</v>
      </c>
      <c r="B854" t="s">
        <v>88</v>
      </c>
      <c r="C854" t="s">
        <v>123</v>
      </c>
      <c r="D854" t="s">
        <v>15</v>
      </c>
      <c r="E854" s="1">
        <v>0.09</v>
      </c>
      <c r="F854" s="1" t="str">
        <f>IF(Table1[[#This Row],[percentage_laid_off]]=100%,"1","0")</f>
        <v>0</v>
      </c>
      <c r="G854" t="s">
        <v>16</v>
      </c>
      <c r="H854" s="2">
        <v>44939</v>
      </c>
      <c r="I854" s="2" t="str">
        <f>TEXT(Table1[[#This Row],[date]],"dd")</f>
        <v>13</v>
      </c>
      <c r="J854" s="20">
        <f>DATE(2000,MONTH(Table1[[#This Row],[date]]),1)</f>
        <v>36526</v>
      </c>
      <c r="K854" s="18" t="str">
        <f>TEXT(Table1[[#This Row],[date]],"mm")</f>
        <v>01</v>
      </c>
      <c r="L854" s="16" t="s">
        <v>29</v>
      </c>
      <c r="M854">
        <v>2023</v>
      </c>
      <c r="N854" t="s">
        <v>35</v>
      </c>
      <c r="O854" t="s">
        <v>19</v>
      </c>
      <c r="P854">
        <v>114</v>
      </c>
      <c r="Q854">
        <f>AVERAGE(Table1[funds_raised_millions])</f>
        <v>470.28289473684208</v>
      </c>
      <c r="R854">
        <f>AVERAGE(Table1[total_laid_off])</f>
        <v>236.96936274509804</v>
      </c>
    </row>
    <row r="855" spans="1:18" x14ac:dyDescent="0.25">
      <c r="A855" s="3" t="s">
        <v>934</v>
      </c>
      <c r="B855" t="s">
        <v>40</v>
      </c>
      <c r="C855" t="s">
        <v>78</v>
      </c>
      <c r="D855" t="s">
        <v>15</v>
      </c>
      <c r="E855" s="1">
        <v>0.08</v>
      </c>
      <c r="F855" s="1" t="str">
        <f>IF(Table1[[#This Row],[percentage_laid_off]]=100%,"1","0")</f>
        <v>0</v>
      </c>
      <c r="G855" t="s">
        <v>16</v>
      </c>
      <c r="H855" s="2">
        <v>44810</v>
      </c>
      <c r="I855" s="2" t="str">
        <f>TEXT(Table1[[#This Row],[date]],"dd")</f>
        <v>06</v>
      </c>
      <c r="J855" s="20">
        <f>DATE(2000,MONTH(Table1[[#This Row],[date]]),1)</f>
        <v>36770</v>
      </c>
      <c r="K855" s="18" t="str">
        <f>TEXT(Table1[[#This Row],[date]],"mm")</f>
        <v>09</v>
      </c>
      <c r="L855" s="16" t="s">
        <v>70</v>
      </c>
      <c r="M855">
        <v>2022</v>
      </c>
      <c r="N855" t="s">
        <v>35</v>
      </c>
      <c r="O855" t="s">
        <v>19</v>
      </c>
      <c r="P855">
        <v>22</v>
      </c>
      <c r="Q855">
        <f>AVERAGE(Table1[funds_raised_millions])</f>
        <v>470.28289473684208</v>
      </c>
      <c r="R855">
        <f>AVERAGE(Table1[total_laid_off])</f>
        <v>236.96936274509804</v>
      </c>
    </row>
    <row r="856" spans="1:18" x14ac:dyDescent="0.25">
      <c r="A856" s="3" t="s">
        <v>934</v>
      </c>
      <c r="B856" t="s">
        <v>243</v>
      </c>
      <c r="C856" t="s">
        <v>78</v>
      </c>
      <c r="D856">
        <v>208</v>
      </c>
      <c r="E856" t="s">
        <v>15</v>
      </c>
      <c r="F856" s="1" t="str">
        <f>IF(Table1[[#This Row],[percentage_laid_off]]=100%,"1","0")</f>
        <v>0</v>
      </c>
      <c r="G856" t="b">
        <v>0</v>
      </c>
      <c r="H856" s="2">
        <v>44972</v>
      </c>
      <c r="I856" s="2" t="str">
        <f>TEXT(Table1[[#This Row],[date]],"dd")</f>
        <v>15</v>
      </c>
      <c r="J856" s="20">
        <f>DATE(2000,MONTH(Table1[[#This Row],[date]]),1)</f>
        <v>36557</v>
      </c>
      <c r="K856" s="18" t="str">
        <f>TEXT(Table1[[#This Row],[date]],"mm")</f>
        <v>02</v>
      </c>
      <c r="L856" s="16" t="s">
        <v>42</v>
      </c>
      <c r="M856">
        <v>2023</v>
      </c>
      <c r="N856" t="s">
        <v>35</v>
      </c>
      <c r="O856" t="s">
        <v>244</v>
      </c>
      <c r="P856">
        <v>22</v>
      </c>
      <c r="Q856">
        <f>AVERAGE(Table1[funds_raised_millions])</f>
        <v>470.28289473684208</v>
      </c>
      <c r="R856">
        <f>AVERAGE(Table1[total_laid_off])</f>
        <v>236.96936274509804</v>
      </c>
    </row>
    <row r="857" spans="1:18" x14ac:dyDescent="0.25">
      <c r="A857" s="3" t="s">
        <v>935</v>
      </c>
      <c r="B857" t="s">
        <v>68</v>
      </c>
      <c r="C857" t="s">
        <v>174</v>
      </c>
      <c r="D857" t="s">
        <v>15</v>
      </c>
      <c r="E857" s="1">
        <v>1</v>
      </c>
      <c r="F857" s="1" t="str">
        <f>IF(Table1[[#This Row],[percentage_laid_off]]=100%,"1","0")</f>
        <v>1</v>
      </c>
      <c r="G857" t="s">
        <v>114</v>
      </c>
      <c r="H857" s="2">
        <v>44727</v>
      </c>
      <c r="I857" s="2" t="str">
        <f>TEXT(Table1[[#This Row],[date]],"dd")</f>
        <v>15</v>
      </c>
      <c r="J857" s="20">
        <f>DATE(2000,MONTH(Table1[[#This Row],[date]]),1)</f>
        <v>36678</v>
      </c>
      <c r="K857" s="18" t="str">
        <f>TEXT(Table1[[#This Row],[date]],"mm")</f>
        <v>06</v>
      </c>
      <c r="L857" s="16" t="s">
        <v>73</v>
      </c>
      <c r="M857">
        <v>2022</v>
      </c>
      <c r="N857" t="s">
        <v>30</v>
      </c>
      <c r="O857" t="s">
        <v>19</v>
      </c>
      <c r="P857">
        <v>44</v>
      </c>
      <c r="Q857">
        <f>AVERAGE(Table1[funds_raised_millions])</f>
        <v>470.28289473684208</v>
      </c>
      <c r="R857">
        <f>AVERAGE(Table1[total_laid_off])</f>
        <v>236.96936274509804</v>
      </c>
    </row>
    <row r="858" spans="1:18" x14ac:dyDescent="0.25">
      <c r="A858" s="3" t="s">
        <v>935</v>
      </c>
      <c r="B858" t="s">
        <v>68</v>
      </c>
      <c r="C858" t="s">
        <v>174</v>
      </c>
      <c r="D858">
        <v>20</v>
      </c>
      <c r="E858" s="1">
        <v>0.2</v>
      </c>
      <c r="F858" s="1" t="str">
        <f>IF(Table1[[#This Row],[percentage_laid_off]]=100%,"1","0")</f>
        <v>0</v>
      </c>
      <c r="G858" t="s">
        <v>28</v>
      </c>
      <c r="H858" s="2">
        <v>43948</v>
      </c>
      <c r="I858" s="2" t="str">
        <f>TEXT(Table1[[#This Row],[date]],"dd")</f>
        <v>27</v>
      </c>
      <c r="J858" s="20">
        <f>DATE(2000,MONTH(Table1[[#This Row],[date]]),1)</f>
        <v>36617</v>
      </c>
      <c r="K858" s="18" t="str">
        <f>TEXT(Table1[[#This Row],[date]],"mm")</f>
        <v>04</v>
      </c>
      <c r="L858" s="16" t="s">
        <v>37</v>
      </c>
      <c r="M858">
        <v>2020</v>
      </c>
      <c r="N858" t="s">
        <v>24</v>
      </c>
      <c r="O858" t="s">
        <v>19</v>
      </c>
      <c r="P858">
        <v>24</v>
      </c>
      <c r="Q858">
        <f>AVERAGE(Table1[funds_raised_millions])</f>
        <v>470.28289473684208</v>
      </c>
      <c r="R858">
        <f>AVERAGE(Table1[total_laid_off])</f>
        <v>236.96936274509804</v>
      </c>
    </row>
    <row r="859" spans="1:18" x14ac:dyDescent="0.25">
      <c r="A859" s="3" t="s">
        <v>936</v>
      </c>
      <c r="B859" t="s">
        <v>40</v>
      </c>
      <c r="C859" t="s">
        <v>82</v>
      </c>
      <c r="D859">
        <v>35</v>
      </c>
      <c r="E859" s="1">
        <v>0.4</v>
      </c>
      <c r="F859" s="1" t="str">
        <f>IF(Table1[[#This Row],[percentage_laid_off]]=100%,"1","0")</f>
        <v>0</v>
      </c>
      <c r="G859" t="s">
        <v>28</v>
      </c>
      <c r="H859" s="2">
        <v>43894</v>
      </c>
      <c r="I859" s="2" t="str">
        <f>TEXT(Table1[[#This Row],[date]],"dd")</f>
        <v>04</v>
      </c>
      <c r="J859" s="20">
        <f>DATE(2000,MONTH(Table1[[#This Row],[date]]),1)</f>
        <v>36586</v>
      </c>
      <c r="K859" s="18" t="str">
        <f>TEXT(Table1[[#This Row],[date]],"mm")</f>
        <v>03</v>
      </c>
      <c r="L859" s="16" t="s">
        <v>57</v>
      </c>
      <c r="M859">
        <v>2020</v>
      </c>
      <c r="N859" t="s">
        <v>30</v>
      </c>
      <c r="O859" t="s">
        <v>19</v>
      </c>
      <c r="P859">
        <v>40</v>
      </c>
      <c r="Q859">
        <f>AVERAGE(Table1[funds_raised_millions])</f>
        <v>470.28289473684208</v>
      </c>
      <c r="R859">
        <f>AVERAGE(Table1[total_laid_off])</f>
        <v>236.96936274509804</v>
      </c>
    </row>
    <row r="860" spans="1:18" x14ac:dyDescent="0.25">
      <c r="A860" s="3" t="s">
        <v>937</v>
      </c>
      <c r="B860" t="s">
        <v>698</v>
      </c>
      <c r="C860" t="s">
        <v>161</v>
      </c>
      <c r="D860">
        <v>50</v>
      </c>
      <c r="E860" s="1">
        <v>0.16</v>
      </c>
      <c r="F860" s="1" t="str">
        <f>IF(Table1[[#This Row],[percentage_laid_off]]=100%,"1","0")</f>
        <v>0</v>
      </c>
      <c r="G860" t="s">
        <v>28</v>
      </c>
      <c r="H860" s="2">
        <v>44880</v>
      </c>
      <c r="I860" s="2" t="str">
        <f>TEXT(Table1[[#This Row],[date]],"dd")</f>
        <v>15</v>
      </c>
      <c r="J860" s="20">
        <f>DATE(2000,MONTH(Table1[[#This Row],[date]]),1)</f>
        <v>36831</v>
      </c>
      <c r="K860" s="18" t="str">
        <f>TEXT(Table1[[#This Row],[date]],"mm")</f>
        <v>11</v>
      </c>
      <c r="L860" s="16" t="s">
        <v>23</v>
      </c>
      <c r="M860">
        <v>2022</v>
      </c>
      <c r="N860" t="s">
        <v>47</v>
      </c>
      <c r="O860" t="s">
        <v>96</v>
      </c>
      <c r="P860">
        <v>28</v>
      </c>
      <c r="Q860">
        <f>AVERAGE(Table1[funds_raised_millions])</f>
        <v>470.28289473684208</v>
      </c>
      <c r="R860">
        <f>AVERAGE(Table1[total_laid_off])</f>
        <v>236.96936274509804</v>
      </c>
    </row>
    <row r="861" spans="1:18" x14ac:dyDescent="0.25">
      <c r="A861" s="3" t="s">
        <v>938</v>
      </c>
      <c r="B861" t="s">
        <v>91</v>
      </c>
      <c r="C861" t="s">
        <v>34</v>
      </c>
      <c r="D861">
        <v>6</v>
      </c>
      <c r="E861" s="1">
        <v>0.21</v>
      </c>
      <c r="F861" s="1" t="str">
        <f>IF(Table1[[#This Row],[percentage_laid_off]]=100%,"1","0")</f>
        <v>0</v>
      </c>
      <c r="G861" t="s">
        <v>28</v>
      </c>
      <c r="H861" s="2">
        <v>43945</v>
      </c>
      <c r="I861" s="2" t="str">
        <f>TEXT(Table1[[#This Row],[date]],"dd")</f>
        <v>24</v>
      </c>
      <c r="J861" s="20">
        <f>DATE(2000,MONTH(Table1[[#This Row],[date]]),1)</f>
        <v>36617</v>
      </c>
      <c r="K861" s="18" t="str">
        <f>TEXT(Table1[[#This Row],[date]],"mm")</f>
        <v>04</v>
      </c>
      <c r="L861" s="16" t="s">
        <v>37</v>
      </c>
      <c r="M861">
        <v>2020</v>
      </c>
      <c r="N861" t="s">
        <v>47</v>
      </c>
      <c r="O861" t="s">
        <v>19</v>
      </c>
      <c r="P861">
        <v>12</v>
      </c>
      <c r="Q861">
        <f>AVERAGE(Table1[funds_raised_millions])</f>
        <v>470.28289473684208</v>
      </c>
      <c r="R861">
        <f>AVERAGE(Table1[total_laid_off])</f>
        <v>236.96936274509804</v>
      </c>
    </row>
    <row r="862" spans="1:18" x14ac:dyDescent="0.25">
      <c r="A862" s="3" t="s">
        <v>939</v>
      </c>
      <c r="B862" t="s">
        <v>88</v>
      </c>
      <c r="C862" t="s">
        <v>167</v>
      </c>
      <c r="D862">
        <v>39</v>
      </c>
      <c r="E862" s="1">
        <v>0.2</v>
      </c>
      <c r="F862" s="1" t="str">
        <f>IF(Table1[[#This Row],[percentage_laid_off]]=100%,"1","0")</f>
        <v>0</v>
      </c>
      <c r="G862" t="s">
        <v>28</v>
      </c>
      <c r="H862" s="2">
        <v>43865</v>
      </c>
      <c r="I862" s="2" t="str">
        <f>TEXT(Table1[[#This Row],[date]],"dd")</f>
        <v>04</v>
      </c>
      <c r="J862" s="20">
        <f>DATE(2000,MONTH(Table1[[#This Row],[date]]),1)</f>
        <v>36557</v>
      </c>
      <c r="K862" s="18" t="str">
        <f>TEXT(Table1[[#This Row],[date]],"mm")</f>
        <v>02</v>
      </c>
      <c r="L862" s="16" t="s">
        <v>42</v>
      </c>
      <c r="M862">
        <v>2020</v>
      </c>
      <c r="N862" t="s">
        <v>117</v>
      </c>
      <c r="O862" t="s">
        <v>19</v>
      </c>
      <c r="P862">
        <v>118</v>
      </c>
      <c r="Q862">
        <f>AVERAGE(Table1[funds_raised_millions])</f>
        <v>470.28289473684208</v>
      </c>
      <c r="R862">
        <f>AVERAGE(Table1[total_laid_off])</f>
        <v>236.96936274509804</v>
      </c>
    </row>
    <row r="863" spans="1:18" x14ac:dyDescent="0.25">
      <c r="A863" s="3" t="s">
        <v>940</v>
      </c>
      <c r="B863" t="s">
        <v>40</v>
      </c>
      <c r="C863" t="s">
        <v>64</v>
      </c>
      <c r="D863">
        <v>50</v>
      </c>
      <c r="E863" s="1">
        <v>0.05</v>
      </c>
      <c r="F863" s="1" t="str">
        <f>IF(Table1[[#This Row],[percentage_laid_off]]=100%,"1","0")</f>
        <v>0</v>
      </c>
      <c r="G863" t="s">
        <v>16</v>
      </c>
      <c r="H863" s="2">
        <v>44728</v>
      </c>
      <c r="I863" s="2" t="str">
        <f>TEXT(Table1[[#This Row],[date]],"dd")</f>
        <v>16</v>
      </c>
      <c r="J863" s="20">
        <f>DATE(2000,MONTH(Table1[[#This Row],[date]]),1)</f>
        <v>36678</v>
      </c>
      <c r="K863" s="18" t="str">
        <f>TEXT(Table1[[#This Row],[date]],"mm")</f>
        <v>06</v>
      </c>
      <c r="L863" s="16" t="s">
        <v>73</v>
      </c>
      <c r="M863">
        <v>2022</v>
      </c>
      <c r="N863" t="s">
        <v>30</v>
      </c>
      <c r="O863" t="s">
        <v>19</v>
      </c>
      <c r="P863">
        <v>430</v>
      </c>
      <c r="Q863">
        <f>AVERAGE(Table1[funds_raised_millions])</f>
        <v>470.28289473684208</v>
      </c>
      <c r="R863">
        <f>AVERAGE(Table1[total_laid_off])</f>
        <v>236.96936274509804</v>
      </c>
    </row>
    <row r="864" spans="1:18" x14ac:dyDescent="0.25">
      <c r="A864" s="3" t="s">
        <v>941</v>
      </c>
      <c r="B864" t="s">
        <v>88</v>
      </c>
      <c r="C864" t="s">
        <v>14</v>
      </c>
      <c r="D864" t="s">
        <v>15</v>
      </c>
      <c r="E864" s="1">
        <v>0.56999999999999995</v>
      </c>
      <c r="F864" s="1" t="str">
        <f>IF(Table1[[#This Row],[percentage_laid_off]]=100%,"1","0")</f>
        <v>0</v>
      </c>
      <c r="G864" t="s">
        <v>130</v>
      </c>
      <c r="H864" s="2">
        <v>44979</v>
      </c>
      <c r="I864" s="2" t="str">
        <f>TEXT(Table1[[#This Row],[date]],"dd")</f>
        <v>22</v>
      </c>
      <c r="J864" s="20">
        <f>DATE(2000,MONTH(Table1[[#This Row],[date]]),1)</f>
        <v>36557</v>
      </c>
      <c r="K864" s="18" t="str">
        <f>TEXT(Table1[[#This Row],[date]],"mm")</f>
        <v>02</v>
      </c>
      <c r="L864" s="16" t="s">
        <v>42</v>
      </c>
      <c r="M864">
        <v>2023</v>
      </c>
      <c r="N864" t="s">
        <v>71</v>
      </c>
      <c r="O864" t="s">
        <v>19</v>
      </c>
      <c r="P864">
        <v>194</v>
      </c>
      <c r="Q864">
        <f>AVERAGE(Table1[funds_raised_millions])</f>
        <v>470.28289473684208</v>
      </c>
      <c r="R864">
        <f>AVERAGE(Table1[total_laid_off])</f>
        <v>236.96936274509804</v>
      </c>
    </row>
    <row r="865" spans="1:18" x14ac:dyDescent="0.25">
      <c r="A865" s="3" t="s">
        <v>942</v>
      </c>
      <c r="B865" t="s">
        <v>329</v>
      </c>
      <c r="C865" t="s">
        <v>41</v>
      </c>
      <c r="D865">
        <v>900</v>
      </c>
      <c r="E865" s="1">
        <v>0.2</v>
      </c>
      <c r="F865" s="1" t="str">
        <f>IF(Table1[[#This Row],[percentage_laid_off]]=100%,"1","0")</f>
        <v>0</v>
      </c>
      <c r="G865" t="s">
        <v>28</v>
      </c>
      <c r="H865" s="2">
        <v>44886</v>
      </c>
      <c r="I865" s="2" t="str">
        <f>TEXT(Table1[[#This Row],[date]],"dd")</f>
        <v>21</v>
      </c>
      <c r="J865" s="20">
        <f>DATE(2000,MONTH(Table1[[#This Row],[date]]),1)</f>
        <v>36831</v>
      </c>
      <c r="K865" s="18" t="str">
        <f>TEXT(Table1[[#This Row],[date]],"mm")</f>
        <v>11</v>
      </c>
      <c r="L865" s="16" t="s">
        <v>23</v>
      </c>
      <c r="M865">
        <v>2022</v>
      </c>
      <c r="N865" t="s">
        <v>38</v>
      </c>
      <c r="O865" t="s">
        <v>146</v>
      </c>
      <c r="P865">
        <v>1200</v>
      </c>
      <c r="Q865">
        <f>AVERAGE(Table1[funds_raised_millions])</f>
        <v>470.28289473684208</v>
      </c>
      <c r="R865">
        <f>AVERAGE(Table1[total_laid_off])</f>
        <v>236.96936274509804</v>
      </c>
    </row>
    <row r="866" spans="1:18" x14ac:dyDescent="0.25">
      <c r="A866" s="3" t="s">
        <v>943</v>
      </c>
      <c r="B866" t="s">
        <v>13</v>
      </c>
      <c r="C866" t="s">
        <v>181</v>
      </c>
      <c r="D866">
        <v>100</v>
      </c>
      <c r="E866" s="1">
        <v>0.06</v>
      </c>
      <c r="F866" s="1" t="str">
        <f>IF(Table1[[#This Row],[percentage_laid_off]]=100%,"1","0")</f>
        <v>0</v>
      </c>
      <c r="G866" t="s">
        <v>16</v>
      </c>
      <c r="H866" s="2">
        <v>45231</v>
      </c>
      <c r="I866" s="2" t="str">
        <f>TEXT(Table1[[#This Row],[date]],"dd")</f>
        <v>01</v>
      </c>
      <c r="J866" s="20">
        <f>DATE(2000,MONTH(Table1[[#This Row],[date]]),1)</f>
        <v>36831</v>
      </c>
      <c r="K866" s="18" t="str">
        <f>TEXT(Table1[[#This Row],[date]],"mm")</f>
        <v>11</v>
      </c>
      <c r="L866" s="16" t="s">
        <v>23</v>
      </c>
      <c r="M866">
        <v>2023</v>
      </c>
      <c r="N866" t="s">
        <v>117</v>
      </c>
      <c r="O866" t="s">
        <v>19</v>
      </c>
      <c r="P866">
        <v>205</v>
      </c>
      <c r="Q866">
        <f>AVERAGE(Table1[funds_raised_millions])</f>
        <v>470.28289473684208</v>
      </c>
      <c r="R866">
        <f>AVERAGE(Table1[total_laid_off])</f>
        <v>236.96936274509804</v>
      </c>
    </row>
    <row r="867" spans="1:18" x14ac:dyDescent="0.25">
      <c r="A867" s="3" t="s">
        <v>944</v>
      </c>
      <c r="B867" t="s">
        <v>40</v>
      </c>
      <c r="C867" t="s">
        <v>69</v>
      </c>
      <c r="D867">
        <v>500</v>
      </c>
      <c r="E867" s="1">
        <v>1</v>
      </c>
      <c r="F867" s="1" t="str">
        <f>IF(Table1[[#This Row],[percentage_laid_off]]=100%,"1","0")</f>
        <v>1</v>
      </c>
      <c r="G867" t="s">
        <v>114</v>
      </c>
      <c r="H867" s="2">
        <v>44017</v>
      </c>
      <c r="I867" s="2" t="str">
        <f>TEXT(Table1[[#This Row],[date]],"dd")</f>
        <v>05</v>
      </c>
      <c r="J867" s="20">
        <f>DATE(2000,MONTH(Table1[[#This Row],[date]]),1)</f>
        <v>36708</v>
      </c>
      <c r="K867" s="18" t="str">
        <f>TEXT(Table1[[#This Row],[date]],"mm")</f>
        <v>07</v>
      </c>
      <c r="L867" s="16" t="s">
        <v>17</v>
      </c>
      <c r="M867">
        <v>2020</v>
      </c>
      <c r="N867" t="s">
        <v>71</v>
      </c>
      <c r="O867" t="s">
        <v>19</v>
      </c>
      <c r="P867">
        <v>11</v>
      </c>
      <c r="Q867">
        <f>AVERAGE(Table1[funds_raised_millions])</f>
        <v>470.28289473684208</v>
      </c>
      <c r="R867">
        <f>AVERAGE(Table1[total_laid_off])</f>
        <v>236.96936274509804</v>
      </c>
    </row>
    <row r="868" spans="1:18" x14ac:dyDescent="0.25">
      <c r="A868" s="3" t="s">
        <v>945</v>
      </c>
      <c r="B868" t="s">
        <v>228</v>
      </c>
      <c r="C868" t="s">
        <v>181</v>
      </c>
      <c r="D868">
        <v>100</v>
      </c>
      <c r="E868" s="1">
        <v>0.12</v>
      </c>
      <c r="F868" s="1" t="str">
        <f>IF(Table1[[#This Row],[percentage_laid_off]]=100%,"1","0")</f>
        <v>0</v>
      </c>
      <c r="G868" t="s">
        <v>28</v>
      </c>
      <c r="H868" s="2">
        <v>44944</v>
      </c>
      <c r="I868" s="2" t="str">
        <f>TEXT(Table1[[#This Row],[date]],"dd")</f>
        <v>18</v>
      </c>
      <c r="J868" s="20">
        <f>DATE(2000,MONTH(Table1[[#This Row],[date]]),1)</f>
        <v>36526</v>
      </c>
      <c r="K868" s="18" t="str">
        <f>TEXT(Table1[[#This Row],[date]],"mm")</f>
        <v>01</v>
      </c>
      <c r="L868" s="16" t="s">
        <v>29</v>
      </c>
      <c r="M868">
        <v>2023</v>
      </c>
      <c r="N868" t="s">
        <v>100</v>
      </c>
      <c r="O868" t="s">
        <v>19</v>
      </c>
      <c r="P868">
        <v>416</v>
      </c>
      <c r="Q868">
        <f>AVERAGE(Table1[funds_raised_millions])</f>
        <v>470.28289473684208</v>
      </c>
      <c r="R868">
        <f>AVERAGE(Table1[total_laid_off])</f>
        <v>236.96936274509804</v>
      </c>
    </row>
    <row r="869" spans="1:18" x14ac:dyDescent="0.25">
      <c r="A869" s="3" t="s">
        <v>946</v>
      </c>
      <c r="B869" t="s">
        <v>947</v>
      </c>
      <c r="C869" t="s">
        <v>82</v>
      </c>
      <c r="D869">
        <v>72</v>
      </c>
      <c r="E869" s="1">
        <v>0.33</v>
      </c>
      <c r="F869" s="1" t="str">
        <f>IF(Table1[[#This Row],[percentage_laid_off]]=100%,"1","0")</f>
        <v>0</v>
      </c>
      <c r="G869" t="s">
        <v>28</v>
      </c>
      <c r="H869" s="2">
        <v>44882</v>
      </c>
      <c r="I869" s="2" t="str">
        <f>TEXT(Table1[[#This Row],[date]],"dd")</f>
        <v>17</v>
      </c>
      <c r="J869" s="20">
        <f>DATE(2000,MONTH(Table1[[#This Row],[date]]),1)</f>
        <v>36831</v>
      </c>
      <c r="K869" s="18" t="str">
        <f>TEXT(Table1[[#This Row],[date]],"mm")</f>
        <v>11</v>
      </c>
      <c r="L869" s="16" t="s">
        <v>23</v>
      </c>
      <c r="M869">
        <v>2022</v>
      </c>
      <c r="N869" t="s">
        <v>47</v>
      </c>
      <c r="O869" t="s">
        <v>79</v>
      </c>
      <c r="P869">
        <v>281</v>
      </c>
      <c r="Q869">
        <f>AVERAGE(Table1[funds_raised_millions])</f>
        <v>470.28289473684208</v>
      </c>
      <c r="R869">
        <f>AVERAGE(Table1[total_laid_off])</f>
        <v>236.96936274509804</v>
      </c>
    </row>
    <row r="870" spans="1:18" x14ac:dyDescent="0.25">
      <c r="A870" s="3" t="s">
        <v>948</v>
      </c>
      <c r="B870" t="s">
        <v>13</v>
      </c>
      <c r="C870" t="s">
        <v>174</v>
      </c>
      <c r="D870" t="s">
        <v>15</v>
      </c>
      <c r="E870" s="1">
        <v>0.14000000000000001</v>
      </c>
      <c r="F870" s="1" t="str">
        <f>IF(Table1[[#This Row],[percentage_laid_off]]=100%,"1","0")</f>
        <v>0</v>
      </c>
      <c r="G870" t="s">
        <v>28</v>
      </c>
      <c r="H870" s="2">
        <v>44721</v>
      </c>
      <c r="I870" s="2" t="str">
        <f>TEXT(Table1[[#This Row],[date]],"dd")</f>
        <v>09</v>
      </c>
      <c r="J870" s="20">
        <f>DATE(2000,MONTH(Table1[[#This Row],[date]]),1)</f>
        <v>36678</v>
      </c>
      <c r="K870" s="18" t="str">
        <f>TEXT(Table1[[#This Row],[date]],"mm")</f>
        <v>06</v>
      </c>
      <c r="L870" s="16" t="s">
        <v>73</v>
      </c>
      <c r="M870">
        <v>2022</v>
      </c>
      <c r="N870" t="s">
        <v>35</v>
      </c>
      <c r="O870" t="s">
        <v>19</v>
      </c>
      <c r="P870">
        <v>108</v>
      </c>
      <c r="Q870">
        <f>AVERAGE(Table1[funds_raised_millions])</f>
        <v>470.28289473684208</v>
      </c>
      <c r="R870">
        <f>AVERAGE(Table1[total_laid_off])</f>
        <v>236.96936274509804</v>
      </c>
    </row>
    <row r="871" spans="1:18" x14ac:dyDescent="0.25">
      <c r="A871" s="3" t="s">
        <v>949</v>
      </c>
      <c r="B871" t="s">
        <v>334</v>
      </c>
      <c r="C871" t="s">
        <v>64</v>
      </c>
      <c r="D871">
        <v>390</v>
      </c>
      <c r="E871" t="s">
        <v>15</v>
      </c>
      <c r="F871" s="1" t="str">
        <f>IF(Table1[[#This Row],[percentage_laid_off]]=100%,"1","0")</f>
        <v>0</v>
      </c>
      <c r="G871" t="b">
        <v>0</v>
      </c>
      <c r="H871" s="2">
        <v>44762</v>
      </c>
      <c r="I871" s="2" t="str">
        <f>TEXT(Table1[[#This Row],[date]],"dd")</f>
        <v>20</v>
      </c>
      <c r="J871" s="20">
        <f>DATE(2000,MONTH(Table1[[#This Row],[date]]),1)</f>
        <v>36708</v>
      </c>
      <c r="K871" s="18" t="str">
        <f>TEXT(Table1[[#This Row],[date]],"mm")</f>
        <v>07</v>
      </c>
      <c r="L871" s="16" t="s">
        <v>17</v>
      </c>
      <c r="M871">
        <v>2022</v>
      </c>
      <c r="N871" t="s">
        <v>38</v>
      </c>
      <c r="O871" t="s">
        <v>335</v>
      </c>
      <c r="P871">
        <v>2800</v>
      </c>
      <c r="Q871">
        <f>AVERAGE(Table1[funds_raised_millions])</f>
        <v>470.28289473684208</v>
      </c>
      <c r="R871">
        <f>AVERAGE(Table1[total_laid_off])</f>
        <v>236.96936274509804</v>
      </c>
    </row>
    <row r="872" spans="1:18" x14ac:dyDescent="0.25">
      <c r="A872" s="3" t="s">
        <v>950</v>
      </c>
      <c r="B872" t="s">
        <v>13</v>
      </c>
      <c r="C872" t="s">
        <v>34</v>
      </c>
      <c r="D872">
        <v>400</v>
      </c>
      <c r="E872" s="1">
        <v>0.3</v>
      </c>
      <c r="F872" s="1" t="str">
        <f>IF(Table1[[#This Row],[percentage_laid_off]]=100%,"1","0")</f>
        <v>0</v>
      </c>
      <c r="G872" t="s">
        <v>28</v>
      </c>
      <c r="H872" s="2">
        <v>44845</v>
      </c>
      <c r="I872" s="2" t="str">
        <f>TEXT(Table1[[#This Row],[date]],"dd")</f>
        <v>11</v>
      </c>
      <c r="J872" s="20">
        <f>DATE(2000,MONTH(Table1[[#This Row],[date]]),1)</f>
        <v>36800</v>
      </c>
      <c r="K872" s="18" t="str">
        <f>TEXT(Table1[[#This Row],[date]],"mm")</f>
        <v>10</v>
      </c>
      <c r="L872" s="16" t="s">
        <v>95</v>
      </c>
      <c r="M872">
        <v>2022</v>
      </c>
      <c r="N872" t="s">
        <v>47</v>
      </c>
      <c r="O872" t="s">
        <v>19</v>
      </c>
      <c r="P872">
        <v>1500</v>
      </c>
      <c r="Q872">
        <f>AVERAGE(Table1[funds_raised_millions])</f>
        <v>470.28289473684208</v>
      </c>
      <c r="R872">
        <f>AVERAGE(Table1[total_laid_off])</f>
        <v>236.96936274509804</v>
      </c>
    </row>
    <row r="873" spans="1:18" x14ac:dyDescent="0.25">
      <c r="A873" s="3" t="s">
        <v>950</v>
      </c>
      <c r="B873" t="s">
        <v>13</v>
      </c>
      <c r="C873" t="s">
        <v>34</v>
      </c>
      <c r="D873">
        <v>900</v>
      </c>
      <c r="E873" s="1">
        <v>0.3</v>
      </c>
      <c r="F873" s="1" t="str">
        <f>IF(Table1[[#This Row],[percentage_laid_off]]=100%,"1","0")</f>
        <v>0</v>
      </c>
      <c r="G873" t="s">
        <v>28</v>
      </c>
      <c r="H873" s="2">
        <v>43956</v>
      </c>
      <c r="I873" s="2" t="str">
        <f>TEXT(Table1[[#This Row],[date]],"dd")</f>
        <v>05</v>
      </c>
      <c r="J873" s="20">
        <f>DATE(2000,MONTH(Table1[[#This Row],[date]]),1)</f>
        <v>36647</v>
      </c>
      <c r="K873" s="18" t="str">
        <f>TEXT(Table1[[#This Row],[date]],"mm")</f>
        <v>05</v>
      </c>
      <c r="L873" s="16" t="s">
        <v>86</v>
      </c>
      <c r="M873">
        <v>2020</v>
      </c>
      <c r="N873" t="s">
        <v>47</v>
      </c>
      <c r="O873" t="s">
        <v>19</v>
      </c>
      <c r="P873">
        <v>1500</v>
      </c>
      <c r="Q873">
        <f>AVERAGE(Table1[funds_raised_millions])</f>
        <v>470.28289473684208</v>
      </c>
      <c r="R873">
        <f>AVERAGE(Table1[total_laid_off])</f>
        <v>236.96936274509804</v>
      </c>
    </row>
    <row r="874" spans="1:18" x14ac:dyDescent="0.25">
      <c r="A874" s="3" t="s">
        <v>951</v>
      </c>
      <c r="B874" t="s">
        <v>13</v>
      </c>
      <c r="C874" t="s">
        <v>34</v>
      </c>
      <c r="D874">
        <v>35</v>
      </c>
      <c r="E874" s="1">
        <v>7.0000000000000007E-2</v>
      </c>
      <c r="F874" s="1" t="str">
        <f>IF(Table1[[#This Row],[percentage_laid_off]]=100%,"1","0")</f>
        <v>0</v>
      </c>
      <c r="G874" t="s">
        <v>16</v>
      </c>
      <c r="H874" s="2">
        <v>44815</v>
      </c>
      <c r="I874" s="2" t="str">
        <f>TEXT(Table1[[#This Row],[date]],"dd")</f>
        <v>11</v>
      </c>
      <c r="J874" s="20">
        <f>DATE(2000,MONTH(Table1[[#This Row],[date]]),1)</f>
        <v>36770</v>
      </c>
      <c r="K874" s="18" t="str">
        <f>TEXT(Table1[[#This Row],[date]],"mm")</f>
        <v>09</v>
      </c>
      <c r="L874" s="16" t="s">
        <v>70</v>
      </c>
      <c r="M874">
        <v>2022</v>
      </c>
      <c r="N874" t="s">
        <v>71</v>
      </c>
      <c r="O874" t="s">
        <v>19</v>
      </c>
      <c r="P874">
        <v>244</v>
      </c>
      <c r="Q874">
        <f>AVERAGE(Table1[funds_raised_millions])</f>
        <v>470.28289473684208</v>
      </c>
      <c r="R874">
        <f>AVERAGE(Table1[total_laid_off])</f>
        <v>236.96936274509804</v>
      </c>
    </row>
    <row r="875" spans="1:18" x14ac:dyDescent="0.25">
      <c r="A875" s="3" t="s">
        <v>952</v>
      </c>
      <c r="B875" t="s">
        <v>40</v>
      </c>
      <c r="C875" t="s">
        <v>78</v>
      </c>
      <c r="D875" t="s">
        <v>15</v>
      </c>
      <c r="E875" s="1">
        <v>0.1</v>
      </c>
      <c r="F875" s="1" t="str">
        <f>IF(Table1[[#This Row],[percentage_laid_off]]=100%,"1","0")</f>
        <v>0</v>
      </c>
      <c r="G875" t="s">
        <v>16</v>
      </c>
      <c r="H875" s="2">
        <v>44812</v>
      </c>
      <c r="I875" s="2" t="str">
        <f>TEXT(Table1[[#This Row],[date]],"dd")</f>
        <v>08</v>
      </c>
      <c r="J875" s="20">
        <f>DATE(2000,MONTH(Table1[[#This Row],[date]]),1)</f>
        <v>36770</v>
      </c>
      <c r="K875" s="18" t="str">
        <f>TEXT(Table1[[#This Row],[date]],"mm")</f>
        <v>09</v>
      </c>
      <c r="L875" s="16" t="s">
        <v>70</v>
      </c>
      <c r="M875">
        <v>2022</v>
      </c>
      <c r="N875" t="s">
        <v>38</v>
      </c>
      <c r="O875" t="s">
        <v>19</v>
      </c>
      <c r="P875">
        <v>166</v>
      </c>
      <c r="Q875">
        <f>AVERAGE(Table1[funds_raised_millions])</f>
        <v>470.28289473684208</v>
      </c>
      <c r="R875">
        <f>AVERAGE(Table1[total_laid_off])</f>
        <v>236.96936274509804</v>
      </c>
    </row>
    <row r="876" spans="1:18" x14ac:dyDescent="0.25">
      <c r="A876" s="3" t="s">
        <v>952</v>
      </c>
      <c r="B876" t="s">
        <v>40</v>
      </c>
      <c r="C876" t="s">
        <v>78</v>
      </c>
      <c r="D876">
        <v>75</v>
      </c>
      <c r="E876" s="1">
        <v>0.11</v>
      </c>
      <c r="F876" s="1" t="str">
        <f>IF(Table1[[#This Row],[percentage_laid_off]]=100%,"1","0")</f>
        <v>0</v>
      </c>
      <c r="G876" t="s">
        <v>28</v>
      </c>
      <c r="H876" s="2">
        <v>45017</v>
      </c>
      <c r="I876" s="2" t="str">
        <f>TEXT(Table1[[#This Row],[date]],"dd")</f>
        <v>01</v>
      </c>
      <c r="J876" s="20">
        <f>DATE(2000,MONTH(Table1[[#This Row],[date]]),1)</f>
        <v>36617</v>
      </c>
      <c r="K876" s="18" t="str">
        <f>TEXT(Table1[[#This Row],[date]],"mm")</f>
        <v>04</v>
      </c>
      <c r="L876" s="16" t="s">
        <v>37</v>
      </c>
      <c r="M876">
        <v>2023</v>
      </c>
      <c r="N876" t="s">
        <v>38</v>
      </c>
      <c r="O876" t="s">
        <v>19</v>
      </c>
      <c r="P876">
        <v>166</v>
      </c>
      <c r="Q876">
        <f>AVERAGE(Table1[funds_raised_millions])</f>
        <v>470.28289473684208</v>
      </c>
      <c r="R876">
        <f>AVERAGE(Table1[total_laid_off])</f>
        <v>236.96936274509804</v>
      </c>
    </row>
    <row r="877" spans="1:18" x14ac:dyDescent="0.25">
      <c r="A877" s="3" t="s">
        <v>953</v>
      </c>
      <c r="B877" t="s">
        <v>33</v>
      </c>
      <c r="C877" t="s">
        <v>34</v>
      </c>
      <c r="D877" t="s">
        <v>15</v>
      </c>
      <c r="E877" s="1">
        <v>1</v>
      </c>
      <c r="F877" s="1" t="str">
        <f>IF(Table1[[#This Row],[percentage_laid_off]]=100%,"1","0")</f>
        <v>1</v>
      </c>
      <c r="G877" t="s">
        <v>114</v>
      </c>
      <c r="H877" s="2">
        <v>44960</v>
      </c>
      <c r="I877" s="2" t="str">
        <f>TEXT(Table1[[#This Row],[date]],"dd")</f>
        <v>03</v>
      </c>
      <c r="J877" s="20">
        <f>DATE(2000,MONTH(Table1[[#This Row],[date]]),1)</f>
        <v>36557</v>
      </c>
      <c r="K877" s="18" t="str">
        <f>TEXT(Table1[[#This Row],[date]],"mm")</f>
        <v>02</v>
      </c>
      <c r="L877" s="16" t="s">
        <v>42</v>
      </c>
      <c r="M877">
        <v>2023</v>
      </c>
      <c r="N877" t="s">
        <v>71</v>
      </c>
      <c r="O877" t="s">
        <v>19</v>
      </c>
      <c r="P877" t="s">
        <v>15</v>
      </c>
      <c r="Q877">
        <f>AVERAGE(Table1[funds_raised_millions])</f>
        <v>470.28289473684208</v>
      </c>
      <c r="R877">
        <f>AVERAGE(Table1[total_laid_off])</f>
        <v>236.96936274509804</v>
      </c>
    </row>
    <row r="878" spans="1:18" x14ac:dyDescent="0.25">
      <c r="A878" s="3" t="s">
        <v>954</v>
      </c>
      <c r="B878" t="s">
        <v>389</v>
      </c>
      <c r="C878" t="s">
        <v>161</v>
      </c>
      <c r="D878" t="s">
        <v>15</v>
      </c>
      <c r="E878" s="1">
        <v>0.17</v>
      </c>
      <c r="F878" s="1" t="str">
        <f>IF(Table1[[#This Row],[percentage_laid_off]]=100%,"1","0")</f>
        <v>0</v>
      </c>
      <c r="G878" t="s">
        <v>28</v>
      </c>
      <c r="H878" s="2">
        <v>44882</v>
      </c>
      <c r="I878" s="2" t="str">
        <f>TEXT(Table1[[#This Row],[date]],"dd")</f>
        <v>17</v>
      </c>
      <c r="J878" s="20">
        <f>DATE(2000,MONTH(Table1[[#This Row],[date]]),1)</f>
        <v>36831</v>
      </c>
      <c r="K878" s="18" t="str">
        <f>TEXT(Table1[[#This Row],[date]],"mm")</f>
        <v>11</v>
      </c>
      <c r="L878" s="16" t="s">
        <v>23</v>
      </c>
      <c r="M878">
        <v>2022</v>
      </c>
      <c r="N878" t="s">
        <v>35</v>
      </c>
      <c r="O878" t="s">
        <v>19</v>
      </c>
      <c r="P878">
        <v>188</v>
      </c>
      <c r="Q878">
        <f>AVERAGE(Table1[funds_raised_millions])</f>
        <v>470.28289473684208</v>
      </c>
      <c r="R878">
        <f>AVERAGE(Table1[total_laid_off])</f>
        <v>236.96936274509804</v>
      </c>
    </row>
    <row r="879" spans="1:18" x14ac:dyDescent="0.25">
      <c r="A879" s="3" t="s">
        <v>955</v>
      </c>
      <c r="B879" t="s">
        <v>956</v>
      </c>
      <c r="C879" t="s">
        <v>34</v>
      </c>
      <c r="D879" t="s">
        <v>15</v>
      </c>
      <c r="E879" s="1">
        <v>1</v>
      </c>
      <c r="F879" s="1" t="str">
        <f>IF(Table1[[#This Row],[percentage_laid_off]]=100%,"1","0")</f>
        <v>1</v>
      </c>
      <c r="G879" t="s">
        <v>114</v>
      </c>
      <c r="H879" s="2">
        <v>44598</v>
      </c>
      <c r="I879" s="2" t="str">
        <f>TEXT(Table1[[#This Row],[date]],"dd")</f>
        <v>06</v>
      </c>
      <c r="J879" s="20">
        <f>DATE(2000,MONTH(Table1[[#This Row],[date]]),1)</f>
        <v>36557</v>
      </c>
      <c r="K879" s="18" t="str">
        <f>TEXT(Table1[[#This Row],[date]],"mm")</f>
        <v>02</v>
      </c>
      <c r="L879" s="16" t="s">
        <v>42</v>
      </c>
      <c r="M879">
        <v>2022</v>
      </c>
      <c r="N879" t="s">
        <v>30</v>
      </c>
      <c r="O879" t="s">
        <v>19</v>
      </c>
      <c r="P879">
        <v>17</v>
      </c>
      <c r="Q879">
        <f>AVERAGE(Table1[funds_raised_millions])</f>
        <v>470.28289473684208</v>
      </c>
      <c r="R879">
        <f>AVERAGE(Table1[total_laid_off])</f>
        <v>236.96936274509804</v>
      </c>
    </row>
    <row r="880" spans="1:18" x14ac:dyDescent="0.25">
      <c r="A880" s="3" t="s">
        <v>957</v>
      </c>
      <c r="B880" t="s">
        <v>68</v>
      </c>
      <c r="C880" t="s">
        <v>190</v>
      </c>
      <c r="D880">
        <v>47</v>
      </c>
      <c r="E880" t="s">
        <v>15</v>
      </c>
      <c r="F880" s="1" t="str">
        <f>IF(Table1[[#This Row],[percentage_laid_off]]=100%,"1","0")</f>
        <v>0</v>
      </c>
      <c r="G880" t="b">
        <v>0</v>
      </c>
      <c r="H880" s="2">
        <v>44946</v>
      </c>
      <c r="I880" s="2" t="str">
        <f>TEXT(Table1[[#This Row],[date]],"dd")</f>
        <v>20</v>
      </c>
      <c r="J880" s="20">
        <f>DATE(2000,MONTH(Table1[[#This Row],[date]]),1)</f>
        <v>36526</v>
      </c>
      <c r="K880" s="18" t="str">
        <f>TEXT(Table1[[#This Row],[date]],"mm")</f>
        <v>01</v>
      </c>
      <c r="L880" s="16" t="s">
        <v>29</v>
      </c>
      <c r="M880">
        <v>2023</v>
      </c>
      <c r="N880" t="s">
        <v>47</v>
      </c>
      <c r="O880" t="s">
        <v>19</v>
      </c>
      <c r="P880">
        <v>169</v>
      </c>
      <c r="Q880">
        <f>AVERAGE(Table1[funds_raised_millions])</f>
        <v>470.28289473684208</v>
      </c>
      <c r="R880">
        <f>AVERAGE(Table1[total_laid_off])</f>
        <v>236.96936274509804</v>
      </c>
    </row>
    <row r="881" spans="1:18" x14ac:dyDescent="0.25">
      <c r="A881" s="3" t="s">
        <v>958</v>
      </c>
      <c r="B881" t="s">
        <v>13</v>
      </c>
      <c r="C881" t="s">
        <v>161</v>
      </c>
      <c r="D881" t="s">
        <v>15</v>
      </c>
      <c r="E881" s="1">
        <v>0.23</v>
      </c>
      <c r="F881" s="1" t="str">
        <f>IF(Table1[[#This Row],[percentage_laid_off]]=100%,"1","0")</f>
        <v>0</v>
      </c>
      <c r="G881" t="s">
        <v>28</v>
      </c>
      <c r="H881" s="2">
        <v>44904</v>
      </c>
      <c r="I881" s="2" t="str">
        <f>TEXT(Table1[[#This Row],[date]],"dd")</f>
        <v>09</v>
      </c>
      <c r="J881" s="20">
        <f>DATE(2000,MONTH(Table1[[#This Row],[date]]),1)</f>
        <v>36861</v>
      </c>
      <c r="K881" s="18" t="str">
        <f>TEXT(Table1[[#This Row],[date]],"mm")</f>
        <v>12</v>
      </c>
      <c r="L881" s="16" t="s">
        <v>61</v>
      </c>
      <c r="M881">
        <v>2022</v>
      </c>
      <c r="N881" t="s">
        <v>30</v>
      </c>
      <c r="O881" t="s">
        <v>19</v>
      </c>
      <c r="P881">
        <v>91</v>
      </c>
      <c r="Q881">
        <f>AVERAGE(Table1[funds_raised_millions])</f>
        <v>470.28289473684208</v>
      </c>
      <c r="R881">
        <f>AVERAGE(Table1[total_laid_off])</f>
        <v>236.96936274509804</v>
      </c>
    </row>
    <row r="882" spans="1:18" x14ac:dyDescent="0.25">
      <c r="A882" s="3" t="s">
        <v>959</v>
      </c>
      <c r="B882" t="s">
        <v>13</v>
      </c>
      <c r="C882" t="s">
        <v>360</v>
      </c>
      <c r="D882">
        <v>240</v>
      </c>
      <c r="E882" s="1">
        <v>0.03</v>
      </c>
      <c r="F882" s="1" t="str">
        <f>IF(Table1[[#This Row],[percentage_laid_off]]=100%,"1","0")</f>
        <v>0</v>
      </c>
      <c r="G882" t="s">
        <v>16</v>
      </c>
      <c r="H882" s="2">
        <v>43865</v>
      </c>
      <c r="I882" s="2" t="str">
        <f>TEXT(Table1[[#This Row],[date]],"dd")</f>
        <v>04</v>
      </c>
      <c r="J882" s="20">
        <f>DATE(2000,MONTH(Table1[[#This Row],[date]]),1)</f>
        <v>36557</v>
      </c>
      <c r="K882" s="18" t="str">
        <f>TEXT(Table1[[#This Row],[date]],"mm")</f>
        <v>02</v>
      </c>
      <c r="L882" s="16" t="s">
        <v>42</v>
      </c>
      <c r="M882">
        <v>2020</v>
      </c>
      <c r="N882" t="s">
        <v>43</v>
      </c>
      <c r="O882" t="s">
        <v>19</v>
      </c>
      <c r="P882">
        <v>1200</v>
      </c>
      <c r="Q882">
        <f>AVERAGE(Table1[funds_raised_millions])</f>
        <v>470.28289473684208</v>
      </c>
      <c r="R882">
        <f>AVERAGE(Table1[total_laid_off])</f>
        <v>236.96936274509804</v>
      </c>
    </row>
    <row r="883" spans="1:18" x14ac:dyDescent="0.25">
      <c r="A883" s="3" t="s">
        <v>959</v>
      </c>
      <c r="B883" t="s">
        <v>13</v>
      </c>
      <c r="C883" t="s">
        <v>360</v>
      </c>
      <c r="D883">
        <v>400</v>
      </c>
      <c r="E883" s="1">
        <v>7.0000000000000007E-2</v>
      </c>
      <c r="F883" s="1" t="str">
        <f>IF(Table1[[#This Row],[percentage_laid_off]]=100%,"1","0")</f>
        <v>0</v>
      </c>
      <c r="G883" t="s">
        <v>16</v>
      </c>
      <c r="H883" s="2">
        <v>44011</v>
      </c>
      <c r="I883" s="2" t="str">
        <f>TEXT(Table1[[#This Row],[date]],"dd")</f>
        <v>29</v>
      </c>
      <c r="J883" s="20">
        <f>DATE(2000,MONTH(Table1[[#This Row],[date]]),1)</f>
        <v>36678</v>
      </c>
      <c r="K883" s="18" t="str">
        <f>TEXT(Table1[[#This Row],[date]],"mm")</f>
        <v>06</v>
      </c>
      <c r="L883" s="16" t="s">
        <v>73</v>
      </c>
      <c r="M883">
        <v>2020</v>
      </c>
      <c r="N883" t="s">
        <v>18</v>
      </c>
      <c r="O883" t="s">
        <v>19</v>
      </c>
      <c r="P883">
        <v>1300</v>
      </c>
      <c r="Q883">
        <f>AVERAGE(Table1[funds_raised_millions])</f>
        <v>470.28289473684208</v>
      </c>
      <c r="R883">
        <f>AVERAGE(Table1[total_laid_off])</f>
        <v>236.96936274509804</v>
      </c>
    </row>
    <row r="884" spans="1:18" x14ac:dyDescent="0.25">
      <c r="A884" s="3" t="s">
        <v>959</v>
      </c>
      <c r="B884" t="s">
        <v>13</v>
      </c>
      <c r="C884" t="s">
        <v>360</v>
      </c>
      <c r="D884">
        <v>2434</v>
      </c>
      <c r="E884" s="1">
        <v>1</v>
      </c>
      <c r="F884" s="1" t="str">
        <f>IF(Table1[[#This Row],[percentage_laid_off]]=100%,"1","0")</f>
        <v>1</v>
      </c>
      <c r="G884" t="s">
        <v>114</v>
      </c>
      <c r="H884" s="2">
        <v>44202</v>
      </c>
      <c r="I884" s="2" t="str">
        <f>TEXT(Table1[[#This Row],[date]],"dd")</f>
        <v>06</v>
      </c>
      <c r="J884" s="20">
        <f>DATE(2000,MONTH(Table1[[#This Row],[date]]),1)</f>
        <v>36526</v>
      </c>
      <c r="K884" s="18" t="str">
        <f>TEXT(Table1[[#This Row],[date]],"mm")</f>
        <v>01</v>
      </c>
      <c r="L884" s="16" t="s">
        <v>29</v>
      </c>
      <c r="M884">
        <v>2021</v>
      </c>
      <c r="N884" t="s">
        <v>47</v>
      </c>
      <c r="O884" t="s">
        <v>19</v>
      </c>
      <c r="P884">
        <v>1600</v>
      </c>
      <c r="Q884">
        <f>AVERAGE(Table1[funds_raised_millions])</f>
        <v>470.28289473684208</v>
      </c>
      <c r="R884">
        <f>AVERAGE(Table1[total_laid_off])</f>
        <v>236.96936274509804</v>
      </c>
    </row>
    <row r="885" spans="1:18" x14ac:dyDescent="0.25">
      <c r="A885" s="3" t="s">
        <v>960</v>
      </c>
      <c r="B885" t="s">
        <v>45</v>
      </c>
      <c r="C885" t="s">
        <v>69</v>
      </c>
      <c r="D885">
        <v>150</v>
      </c>
      <c r="E885" t="s">
        <v>15</v>
      </c>
      <c r="F885" s="1" t="str">
        <f>IF(Table1[[#This Row],[percentage_laid_off]]=100%,"1","0")</f>
        <v>0</v>
      </c>
      <c r="G885" t="b">
        <v>0</v>
      </c>
      <c r="H885" s="2">
        <v>44779</v>
      </c>
      <c r="I885" s="2" t="str">
        <f>TEXT(Table1[[#This Row],[date]],"dd")</f>
        <v>06</v>
      </c>
      <c r="J885" s="20">
        <f>DATE(2000,MONTH(Table1[[#This Row],[date]]),1)</f>
        <v>36739</v>
      </c>
      <c r="K885" s="18" t="str">
        <f>TEXT(Table1[[#This Row],[date]],"mm")</f>
        <v>08</v>
      </c>
      <c r="L885" s="16" t="s">
        <v>53</v>
      </c>
      <c r="M885">
        <v>2022</v>
      </c>
      <c r="N885" t="s">
        <v>18</v>
      </c>
      <c r="O885" t="s">
        <v>48</v>
      </c>
      <c r="P885">
        <v>1600</v>
      </c>
      <c r="Q885">
        <f>AVERAGE(Table1[funds_raised_millions])</f>
        <v>470.28289473684208</v>
      </c>
      <c r="R885">
        <f>AVERAGE(Table1[total_laid_off])</f>
        <v>236.96936274509804</v>
      </c>
    </row>
    <row r="886" spans="1:18" x14ac:dyDescent="0.25">
      <c r="A886" s="3" t="s">
        <v>961</v>
      </c>
      <c r="B886" t="s">
        <v>585</v>
      </c>
      <c r="C886" t="s">
        <v>112</v>
      </c>
      <c r="D886">
        <v>160</v>
      </c>
      <c r="E886" s="1">
        <v>0.08</v>
      </c>
      <c r="F886" s="1" t="str">
        <f>IF(Table1[[#This Row],[percentage_laid_off]]=100%,"1","0")</f>
        <v>0</v>
      </c>
      <c r="G886" t="s">
        <v>16</v>
      </c>
      <c r="H886" s="2">
        <v>43950</v>
      </c>
      <c r="I886" s="2" t="str">
        <f>TEXT(Table1[[#This Row],[date]],"dd")</f>
        <v>29</v>
      </c>
      <c r="J886" s="20">
        <f>DATE(2000,MONTH(Table1[[#This Row],[date]]),1)</f>
        <v>36617</v>
      </c>
      <c r="K886" s="18" t="str">
        <f>TEXT(Table1[[#This Row],[date]],"mm")</f>
        <v>04</v>
      </c>
      <c r="L886" s="16" t="s">
        <v>37</v>
      </c>
      <c r="M886">
        <v>2020</v>
      </c>
      <c r="N886" t="s">
        <v>71</v>
      </c>
      <c r="O886" t="s">
        <v>19</v>
      </c>
      <c r="P886">
        <v>229</v>
      </c>
      <c r="Q886">
        <f>AVERAGE(Table1[funds_raised_millions])</f>
        <v>470.28289473684208</v>
      </c>
      <c r="R886">
        <f>AVERAGE(Table1[total_laid_off])</f>
        <v>236.96936274509804</v>
      </c>
    </row>
    <row r="887" spans="1:18" x14ac:dyDescent="0.25">
      <c r="A887" s="3" t="s">
        <v>962</v>
      </c>
      <c r="B887" t="s">
        <v>202</v>
      </c>
      <c r="C887" t="s">
        <v>190</v>
      </c>
      <c r="D887" t="s">
        <v>15</v>
      </c>
      <c r="E887" s="1">
        <v>0.35</v>
      </c>
      <c r="F887" s="1" t="str">
        <f>IF(Table1[[#This Row],[percentage_laid_off]]=100%,"1","0")</f>
        <v>0</v>
      </c>
      <c r="G887" t="s">
        <v>28</v>
      </c>
      <c r="H887" s="2">
        <v>43921</v>
      </c>
      <c r="I887" s="2" t="str">
        <f>TEXT(Table1[[#This Row],[date]],"dd")</f>
        <v>31</v>
      </c>
      <c r="J887" s="20">
        <f>DATE(2000,MONTH(Table1[[#This Row],[date]]),1)</f>
        <v>36586</v>
      </c>
      <c r="K887" s="18" t="str">
        <f>TEXT(Table1[[#This Row],[date]],"mm")</f>
        <v>03</v>
      </c>
      <c r="L887" s="16" t="s">
        <v>57</v>
      </c>
      <c r="M887">
        <v>2020</v>
      </c>
      <c r="N887" t="s">
        <v>24</v>
      </c>
      <c r="O887" t="s">
        <v>19</v>
      </c>
      <c r="P887">
        <v>8</v>
      </c>
      <c r="Q887">
        <f>AVERAGE(Table1[funds_raised_millions])</f>
        <v>470.28289473684208</v>
      </c>
      <c r="R887">
        <f>AVERAGE(Table1[total_laid_off])</f>
        <v>236.96936274509804</v>
      </c>
    </row>
    <row r="888" spans="1:18" x14ac:dyDescent="0.25">
      <c r="A888" s="3" t="s">
        <v>963</v>
      </c>
      <c r="B888" t="s">
        <v>13</v>
      </c>
      <c r="C888" t="s">
        <v>120</v>
      </c>
      <c r="D888">
        <v>349</v>
      </c>
      <c r="E888" s="1">
        <v>0.18</v>
      </c>
      <c r="F888" s="1" t="str">
        <f>IF(Table1[[#This Row],[percentage_laid_off]]=100%,"1","0")</f>
        <v>0</v>
      </c>
      <c r="G888" t="s">
        <v>28</v>
      </c>
      <c r="H888" s="2">
        <v>43921</v>
      </c>
      <c r="I888" s="2" t="str">
        <f>TEXT(Table1[[#This Row],[date]],"dd")</f>
        <v>31</v>
      </c>
      <c r="J888" s="20">
        <f>DATE(2000,MONTH(Table1[[#This Row],[date]]),1)</f>
        <v>36586</v>
      </c>
      <c r="K888" s="18" t="str">
        <f>TEXT(Table1[[#This Row],[date]],"mm")</f>
        <v>03</v>
      </c>
      <c r="L888" s="16" t="s">
        <v>57</v>
      </c>
      <c r="M888">
        <v>2020</v>
      </c>
      <c r="N888" t="s">
        <v>43</v>
      </c>
      <c r="O888" t="s">
        <v>19</v>
      </c>
      <c r="P888">
        <v>227</v>
      </c>
      <c r="Q888">
        <f>AVERAGE(Table1[funds_raised_millions])</f>
        <v>470.28289473684208</v>
      </c>
      <c r="R888">
        <f>AVERAGE(Table1[total_laid_off])</f>
        <v>236.96936274509804</v>
      </c>
    </row>
    <row r="889" spans="1:18" x14ac:dyDescent="0.25">
      <c r="A889" s="3" t="s">
        <v>964</v>
      </c>
      <c r="B889" t="s">
        <v>45</v>
      </c>
      <c r="C889" t="s">
        <v>167</v>
      </c>
      <c r="D889">
        <v>18</v>
      </c>
      <c r="E889" s="1">
        <v>0.16</v>
      </c>
      <c r="F889" s="1" t="str">
        <f>IF(Table1[[#This Row],[percentage_laid_off]]=100%,"1","0")</f>
        <v>0</v>
      </c>
      <c r="G889" t="s">
        <v>28</v>
      </c>
      <c r="H889" s="2">
        <v>44047</v>
      </c>
      <c r="I889" s="2" t="str">
        <f>TEXT(Table1[[#This Row],[date]],"dd")</f>
        <v>04</v>
      </c>
      <c r="J889" s="20">
        <f>DATE(2000,MONTH(Table1[[#This Row],[date]]),1)</f>
        <v>36739</v>
      </c>
      <c r="K889" s="18" t="str">
        <f>TEXT(Table1[[#This Row],[date]],"mm")</f>
        <v>08</v>
      </c>
      <c r="L889" s="16" t="s">
        <v>53</v>
      </c>
      <c r="M889">
        <v>2020</v>
      </c>
      <c r="N889" t="s">
        <v>47</v>
      </c>
      <c r="O889" t="s">
        <v>48</v>
      </c>
      <c r="P889">
        <v>23</v>
      </c>
      <c r="Q889">
        <f>AVERAGE(Table1[funds_raised_millions])</f>
        <v>470.28289473684208</v>
      </c>
      <c r="R889">
        <f>AVERAGE(Table1[total_laid_off])</f>
        <v>236.96936274509804</v>
      </c>
    </row>
    <row r="890" spans="1:18" x14ac:dyDescent="0.25">
      <c r="A890" s="3" t="s">
        <v>965</v>
      </c>
      <c r="B890" t="s">
        <v>202</v>
      </c>
      <c r="C890" t="s">
        <v>60</v>
      </c>
      <c r="D890">
        <v>120</v>
      </c>
      <c r="E890" s="1">
        <v>0.1</v>
      </c>
      <c r="F890" s="1" t="str">
        <f>IF(Table1[[#This Row],[percentage_laid_off]]=100%,"1","0")</f>
        <v>0</v>
      </c>
      <c r="G890" t="s">
        <v>16</v>
      </c>
      <c r="H890" s="2">
        <v>44855</v>
      </c>
      <c r="I890" s="2" t="str">
        <f>TEXT(Table1[[#This Row],[date]],"dd")</f>
        <v>21</v>
      </c>
      <c r="J890" s="20">
        <f>DATE(2000,MONTH(Table1[[#This Row],[date]]),1)</f>
        <v>36800</v>
      </c>
      <c r="K890" s="18" t="str">
        <f>TEXT(Table1[[#This Row],[date]],"mm")</f>
        <v>10</v>
      </c>
      <c r="L890" s="16" t="s">
        <v>95</v>
      </c>
      <c r="M890">
        <v>2022</v>
      </c>
      <c r="N890" t="s">
        <v>117</v>
      </c>
      <c r="O890" t="s">
        <v>19</v>
      </c>
      <c r="P890">
        <v>138</v>
      </c>
      <c r="Q890">
        <f>AVERAGE(Table1[funds_raised_millions])</f>
        <v>470.28289473684208</v>
      </c>
      <c r="R890">
        <f>AVERAGE(Table1[total_laid_off])</f>
        <v>236.96936274509804</v>
      </c>
    </row>
    <row r="891" spans="1:18" x14ac:dyDescent="0.25">
      <c r="A891" s="3" t="s">
        <v>966</v>
      </c>
      <c r="B891" t="s">
        <v>13</v>
      </c>
      <c r="C891" t="s">
        <v>174</v>
      </c>
      <c r="D891">
        <v>39</v>
      </c>
      <c r="E891" s="1">
        <v>7.0000000000000007E-2</v>
      </c>
      <c r="F891" s="1" t="str">
        <f>IF(Table1[[#This Row],[percentage_laid_off]]=100%,"1","0")</f>
        <v>0</v>
      </c>
      <c r="G891" t="s">
        <v>16</v>
      </c>
      <c r="H891" s="2">
        <v>44756</v>
      </c>
      <c r="I891" s="2" t="str">
        <f>TEXT(Table1[[#This Row],[date]],"dd")</f>
        <v>14</v>
      </c>
      <c r="J891" s="20">
        <f>DATE(2000,MONTH(Table1[[#This Row],[date]]),1)</f>
        <v>36708</v>
      </c>
      <c r="K891" s="18" t="str">
        <f>TEXT(Table1[[#This Row],[date]],"mm")</f>
        <v>07</v>
      </c>
      <c r="L891" s="16" t="s">
        <v>17</v>
      </c>
      <c r="M891">
        <v>2022</v>
      </c>
      <c r="N891" t="s">
        <v>18</v>
      </c>
      <c r="O891" t="s">
        <v>19</v>
      </c>
      <c r="P891">
        <v>240</v>
      </c>
      <c r="Q891">
        <f>AVERAGE(Table1[funds_raised_millions])</f>
        <v>470.28289473684208</v>
      </c>
      <c r="R891">
        <f>AVERAGE(Table1[total_laid_off])</f>
        <v>236.96936274509804</v>
      </c>
    </row>
    <row r="892" spans="1:18" x14ac:dyDescent="0.25">
      <c r="A892" s="3" t="s">
        <v>967</v>
      </c>
      <c r="B892" t="s">
        <v>40</v>
      </c>
      <c r="C892" t="s">
        <v>82</v>
      </c>
      <c r="D892">
        <v>25</v>
      </c>
      <c r="E892" s="1">
        <v>0.18</v>
      </c>
      <c r="F892" s="1" t="str">
        <f>IF(Table1[[#This Row],[percentage_laid_off]]=100%,"1","0")</f>
        <v>0</v>
      </c>
      <c r="G892" t="s">
        <v>28</v>
      </c>
      <c r="H892" s="2">
        <v>43964</v>
      </c>
      <c r="I892" s="2" t="str">
        <f>TEXT(Table1[[#This Row],[date]],"dd")</f>
        <v>13</v>
      </c>
      <c r="J892" s="20">
        <f>DATE(2000,MONTH(Table1[[#This Row],[date]]),1)</f>
        <v>36647</v>
      </c>
      <c r="K892" s="18" t="str">
        <f>TEXT(Table1[[#This Row],[date]],"mm")</f>
        <v>05</v>
      </c>
      <c r="L892" s="16" t="s">
        <v>86</v>
      </c>
      <c r="M892">
        <v>2020</v>
      </c>
      <c r="N892" t="s">
        <v>47</v>
      </c>
      <c r="O892" t="s">
        <v>19</v>
      </c>
      <c r="P892">
        <v>10</v>
      </c>
      <c r="Q892">
        <f>AVERAGE(Table1[funds_raised_millions])</f>
        <v>470.28289473684208</v>
      </c>
      <c r="R892">
        <f>AVERAGE(Table1[total_laid_off])</f>
        <v>236.96936274509804</v>
      </c>
    </row>
    <row r="893" spans="1:18" x14ac:dyDescent="0.25">
      <c r="A893" s="3" t="s">
        <v>968</v>
      </c>
      <c r="B893" t="s">
        <v>55</v>
      </c>
      <c r="C893" t="s">
        <v>161</v>
      </c>
      <c r="D893">
        <v>8</v>
      </c>
      <c r="E893" s="1">
        <v>0.28000000000000003</v>
      </c>
      <c r="F893" s="1" t="str">
        <f>IF(Table1[[#This Row],[percentage_laid_off]]=100%,"1","0")</f>
        <v>0</v>
      </c>
      <c r="G893" t="s">
        <v>28</v>
      </c>
      <c r="H893" s="2">
        <v>44977</v>
      </c>
      <c r="I893" s="2" t="str">
        <f>TEXT(Table1[[#This Row],[date]],"dd")</f>
        <v>20</v>
      </c>
      <c r="J893" s="20">
        <f>DATE(2000,MONTH(Table1[[#This Row],[date]]),1)</f>
        <v>36557</v>
      </c>
      <c r="K893" s="18" t="str">
        <f>TEXT(Table1[[#This Row],[date]],"mm")</f>
        <v>02</v>
      </c>
      <c r="L893" s="16" t="s">
        <v>42</v>
      </c>
      <c r="M893">
        <v>2023</v>
      </c>
      <c r="N893" t="s">
        <v>139</v>
      </c>
      <c r="O893" t="s">
        <v>58</v>
      </c>
      <c r="P893">
        <v>10</v>
      </c>
      <c r="Q893">
        <f>AVERAGE(Table1[funds_raised_millions])</f>
        <v>470.28289473684208</v>
      </c>
      <c r="R893">
        <f>AVERAGE(Table1[total_laid_off])</f>
        <v>236.96936274509804</v>
      </c>
    </row>
    <row r="894" spans="1:18" x14ac:dyDescent="0.25">
      <c r="A894" s="3" t="s">
        <v>969</v>
      </c>
      <c r="B894" t="s">
        <v>13</v>
      </c>
      <c r="C894" t="s">
        <v>123</v>
      </c>
      <c r="D894" t="s">
        <v>15</v>
      </c>
      <c r="E894" s="1">
        <v>1</v>
      </c>
      <c r="F894" s="1" t="str">
        <f>IF(Table1[[#This Row],[percentage_laid_off]]=100%,"1","0")</f>
        <v>1</v>
      </c>
      <c r="G894" t="s">
        <v>114</v>
      </c>
      <c r="H894" s="2">
        <v>44881</v>
      </c>
      <c r="I894" s="2" t="str">
        <f>TEXT(Table1[[#This Row],[date]],"dd")</f>
        <v>16</v>
      </c>
      <c r="J894" s="20">
        <f>DATE(2000,MONTH(Table1[[#This Row],[date]]),1)</f>
        <v>36831</v>
      </c>
      <c r="K894" s="18" t="str">
        <f>TEXT(Table1[[#This Row],[date]],"mm")</f>
        <v>11</v>
      </c>
      <c r="L894" s="16" t="s">
        <v>23</v>
      </c>
      <c r="M894">
        <v>2022</v>
      </c>
      <c r="N894" t="s">
        <v>24</v>
      </c>
      <c r="O894" t="s">
        <v>19</v>
      </c>
      <c r="P894">
        <v>21</v>
      </c>
      <c r="Q894">
        <f>AVERAGE(Table1[funds_raised_millions])</f>
        <v>470.28289473684208</v>
      </c>
      <c r="R894">
        <f>AVERAGE(Table1[total_laid_off])</f>
        <v>236.96936274509804</v>
      </c>
    </row>
    <row r="895" spans="1:18" x14ac:dyDescent="0.25">
      <c r="A895" s="3" t="s">
        <v>970</v>
      </c>
      <c r="B895" t="s">
        <v>237</v>
      </c>
      <c r="C895" t="s">
        <v>64</v>
      </c>
      <c r="D895">
        <v>93</v>
      </c>
      <c r="E895" s="1">
        <v>0.1</v>
      </c>
      <c r="F895" s="1" t="str">
        <f>IF(Table1[[#This Row],[percentage_laid_off]]=100%,"1","0")</f>
        <v>0</v>
      </c>
      <c r="G895" t="s">
        <v>16</v>
      </c>
      <c r="H895" s="2">
        <v>44886</v>
      </c>
      <c r="I895" s="2" t="str">
        <f>TEXT(Table1[[#This Row],[date]],"dd")</f>
        <v>21</v>
      </c>
      <c r="J895" s="20">
        <f>DATE(2000,MONTH(Table1[[#This Row],[date]]),1)</f>
        <v>36831</v>
      </c>
      <c r="K895" s="18" t="str">
        <f>TEXT(Table1[[#This Row],[date]],"mm")</f>
        <v>11</v>
      </c>
      <c r="L895" s="16" t="s">
        <v>23</v>
      </c>
      <c r="M895">
        <v>2022</v>
      </c>
      <c r="N895" t="s">
        <v>35</v>
      </c>
      <c r="O895" t="s">
        <v>19</v>
      </c>
      <c r="P895">
        <v>804</v>
      </c>
      <c r="Q895">
        <f>AVERAGE(Table1[funds_raised_millions])</f>
        <v>470.28289473684208</v>
      </c>
      <c r="R895">
        <f>AVERAGE(Table1[total_laid_off])</f>
        <v>236.96936274509804</v>
      </c>
    </row>
    <row r="896" spans="1:18" x14ac:dyDescent="0.25">
      <c r="A896" s="3" t="s">
        <v>970</v>
      </c>
      <c r="B896" t="s">
        <v>40</v>
      </c>
      <c r="C896" t="s">
        <v>64</v>
      </c>
      <c r="D896">
        <v>124</v>
      </c>
      <c r="E896" t="s">
        <v>15</v>
      </c>
      <c r="F896" s="1" t="str">
        <f>IF(Table1[[#This Row],[percentage_laid_off]]=100%,"1","0")</f>
        <v>0</v>
      </c>
      <c r="G896" t="b">
        <v>0</v>
      </c>
      <c r="H896" s="2">
        <v>43950</v>
      </c>
      <c r="I896" s="2" t="str">
        <f>TEXT(Table1[[#This Row],[date]],"dd")</f>
        <v>29</v>
      </c>
      <c r="J896" s="20">
        <f>DATE(2000,MONTH(Table1[[#This Row],[date]]),1)</f>
        <v>36617</v>
      </c>
      <c r="K896" s="18" t="str">
        <f>TEXT(Table1[[#This Row],[date]],"mm")</f>
        <v>04</v>
      </c>
      <c r="L896" s="16" t="s">
        <v>37</v>
      </c>
      <c r="M896">
        <v>2020</v>
      </c>
      <c r="N896" t="s">
        <v>30</v>
      </c>
      <c r="O896" t="s">
        <v>19</v>
      </c>
      <c r="P896">
        <v>89</v>
      </c>
      <c r="Q896">
        <f>AVERAGE(Table1[funds_raised_millions])</f>
        <v>470.28289473684208</v>
      </c>
      <c r="R896">
        <f>AVERAGE(Table1[total_laid_off])</f>
        <v>236.96936274509804</v>
      </c>
    </row>
    <row r="897" spans="1:18" x14ac:dyDescent="0.25">
      <c r="A897" s="3" t="s">
        <v>971</v>
      </c>
      <c r="B897" t="s">
        <v>13</v>
      </c>
      <c r="C897" t="s">
        <v>210</v>
      </c>
      <c r="D897">
        <v>70</v>
      </c>
      <c r="E897" t="s">
        <v>15</v>
      </c>
      <c r="F897" s="1" t="str">
        <f>IF(Table1[[#This Row],[percentage_laid_off]]=100%,"1","0")</f>
        <v>0</v>
      </c>
      <c r="G897" t="b">
        <v>0</v>
      </c>
      <c r="H897" s="2">
        <v>43896</v>
      </c>
      <c r="I897" s="2" t="str">
        <f>TEXT(Table1[[#This Row],[date]],"dd")</f>
        <v>06</v>
      </c>
      <c r="J897" s="20">
        <f>DATE(2000,MONTH(Table1[[#This Row],[date]]),1)</f>
        <v>36586</v>
      </c>
      <c r="K897" s="18" t="str">
        <f>TEXT(Table1[[#This Row],[date]],"mm")</f>
        <v>03</v>
      </c>
      <c r="L897" s="16" t="s">
        <v>57</v>
      </c>
      <c r="M897">
        <v>2020</v>
      </c>
      <c r="N897" t="s">
        <v>47</v>
      </c>
      <c r="O897" t="s">
        <v>19</v>
      </c>
      <c r="P897">
        <v>1</v>
      </c>
      <c r="Q897">
        <f>AVERAGE(Table1[funds_raised_millions])</f>
        <v>470.28289473684208</v>
      </c>
      <c r="R897">
        <f>AVERAGE(Table1[total_laid_off])</f>
        <v>236.96936274509804</v>
      </c>
    </row>
    <row r="898" spans="1:18" x14ac:dyDescent="0.25">
      <c r="A898" s="3" t="s">
        <v>971</v>
      </c>
      <c r="B898" t="s">
        <v>13</v>
      </c>
      <c r="C898" t="s">
        <v>210</v>
      </c>
      <c r="D898">
        <v>100</v>
      </c>
      <c r="E898" s="1">
        <v>1</v>
      </c>
      <c r="F898" s="1" t="str">
        <f>IF(Table1[[#This Row],[percentage_laid_off]]=100%,"1","0")</f>
        <v>1</v>
      </c>
      <c r="G898" t="s">
        <v>114</v>
      </c>
      <c r="H898" s="2">
        <v>44825</v>
      </c>
      <c r="I898" s="2" t="str">
        <f>TEXT(Table1[[#This Row],[date]],"dd")</f>
        <v>21</v>
      </c>
      <c r="J898" s="20">
        <f>DATE(2000,MONTH(Table1[[#This Row],[date]]),1)</f>
        <v>36770</v>
      </c>
      <c r="K898" s="18" t="str">
        <f>TEXT(Table1[[#This Row],[date]],"mm")</f>
        <v>09</v>
      </c>
      <c r="L898" s="16" t="s">
        <v>70</v>
      </c>
      <c r="M898">
        <v>2022</v>
      </c>
      <c r="N898" t="s">
        <v>47</v>
      </c>
      <c r="O898" t="s">
        <v>19</v>
      </c>
      <c r="P898">
        <v>1</v>
      </c>
      <c r="Q898">
        <f>AVERAGE(Table1[funds_raised_millions])</f>
        <v>470.28289473684208</v>
      </c>
      <c r="R898">
        <f>AVERAGE(Table1[total_laid_off])</f>
        <v>236.96936274509804</v>
      </c>
    </row>
    <row r="899" spans="1:18" x14ac:dyDescent="0.25">
      <c r="A899" s="3" t="s">
        <v>972</v>
      </c>
      <c r="B899" t="s">
        <v>13</v>
      </c>
      <c r="C899" t="s">
        <v>41</v>
      </c>
      <c r="D899">
        <v>40</v>
      </c>
      <c r="E899" t="s">
        <v>15</v>
      </c>
      <c r="F899" s="1" t="str">
        <f>IF(Table1[[#This Row],[percentage_laid_off]]=100%,"1","0")</f>
        <v>0</v>
      </c>
      <c r="G899" t="b">
        <v>0</v>
      </c>
      <c r="H899" s="2">
        <v>44748</v>
      </c>
      <c r="I899" s="2" t="str">
        <f>TEXT(Table1[[#This Row],[date]],"dd")</f>
        <v>06</v>
      </c>
      <c r="J899" s="20">
        <f>DATE(2000,MONTH(Table1[[#This Row],[date]]),1)</f>
        <v>36708</v>
      </c>
      <c r="K899" s="18" t="str">
        <f>TEXT(Table1[[#This Row],[date]],"mm")</f>
        <v>07</v>
      </c>
      <c r="L899" s="16" t="s">
        <v>17</v>
      </c>
      <c r="M899">
        <v>2022</v>
      </c>
      <c r="N899" t="s">
        <v>47</v>
      </c>
      <c r="O899" t="s">
        <v>19</v>
      </c>
      <c r="P899">
        <v>11</v>
      </c>
      <c r="Q899">
        <f>AVERAGE(Table1[funds_raised_millions])</f>
        <v>470.28289473684208</v>
      </c>
      <c r="R899">
        <f>AVERAGE(Table1[total_laid_off])</f>
        <v>236.96936274509804</v>
      </c>
    </row>
    <row r="900" spans="1:18" x14ac:dyDescent="0.25">
      <c r="A900" s="3" t="s">
        <v>973</v>
      </c>
      <c r="B900" t="s">
        <v>77</v>
      </c>
      <c r="C900" t="s">
        <v>82</v>
      </c>
      <c r="D900">
        <v>100</v>
      </c>
      <c r="E900" t="s">
        <v>15</v>
      </c>
      <c r="F900" s="1" t="str">
        <f>IF(Table1[[#This Row],[percentage_laid_off]]=100%,"1","0")</f>
        <v>0</v>
      </c>
      <c r="G900" t="b">
        <v>0</v>
      </c>
      <c r="H900" s="2">
        <v>44826</v>
      </c>
      <c r="I900" s="2" t="str">
        <f>TEXT(Table1[[#This Row],[date]],"dd")</f>
        <v>22</v>
      </c>
      <c r="J900" s="20">
        <f>DATE(2000,MONTH(Table1[[#This Row],[date]]),1)</f>
        <v>36770</v>
      </c>
      <c r="K900" s="18" t="str">
        <f>TEXT(Table1[[#This Row],[date]],"mm")</f>
        <v>09</v>
      </c>
      <c r="L900" s="16" t="s">
        <v>70</v>
      </c>
      <c r="M900">
        <v>2022</v>
      </c>
      <c r="N900" t="s">
        <v>47</v>
      </c>
      <c r="O900" t="s">
        <v>79</v>
      </c>
      <c r="P900">
        <v>3700</v>
      </c>
      <c r="Q900">
        <f>AVERAGE(Table1[funds_raised_millions])</f>
        <v>470.28289473684208</v>
      </c>
      <c r="R900">
        <f>AVERAGE(Table1[total_laid_off])</f>
        <v>236.96936274509804</v>
      </c>
    </row>
    <row r="901" spans="1:18" x14ac:dyDescent="0.25">
      <c r="A901" s="3" t="s">
        <v>973</v>
      </c>
      <c r="B901" t="s">
        <v>77</v>
      </c>
      <c r="C901" t="s">
        <v>82</v>
      </c>
      <c r="D901">
        <v>700</v>
      </c>
      <c r="E901" s="1">
        <v>0.1</v>
      </c>
      <c r="F901" s="1" t="str">
        <f>IF(Table1[[#This Row],[percentage_laid_off]]=100%,"1","0")</f>
        <v>0</v>
      </c>
      <c r="G901" t="s">
        <v>16</v>
      </c>
      <c r="H901" s="2">
        <v>44704</v>
      </c>
      <c r="I901" s="2" t="str">
        <f>TEXT(Table1[[#This Row],[date]],"dd")</f>
        <v>23</v>
      </c>
      <c r="J901" s="20">
        <f>DATE(2000,MONTH(Table1[[#This Row],[date]]),1)</f>
        <v>36647</v>
      </c>
      <c r="K901" s="18" t="str">
        <f>TEXT(Table1[[#This Row],[date]],"mm")</f>
        <v>05</v>
      </c>
      <c r="L901" s="16" t="s">
        <v>86</v>
      </c>
      <c r="M901">
        <v>2022</v>
      </c>
      <c r="N901" t="s">
        <v>47</v>
      </c>
      <c r="O901" t="s">
        <v>79</v>
      </c>
      <c r="P901">
        <v>3700</v>
      </c>
      <c r="Q901">
        <f>AVERAGE(Table1[funds_raised_millions])</f>
        <v>470.28289473684208</v>
      </c>
      <c r="R901">
        <f>AVERAGE(Table1[total_laid_off])</f>
        <v>236.96936274509804</v>
      </c>
    </row>
    <row r="902" spans="1:18" x14ac:dyDescent="0.25">
      <c r="A902" s="3" t="s">
        <v>974</v>
      </c>
      <c r="B902" t="s">
        <v>155</v>
      </c>
      <c r="C902" t="s">
        <v>112</v>
      </c>
      <c r="D902">
        <v>300</v>
      </c>
      <c r="E902" s="1">
        <v>0.15</v>
      </c>
      <c r="F902" s="1" t="str">
        <f>IF(Table1[[#This Row],[percentage_laid_off]]=100%,"1","0")</f>
        <v>0</v>
      </c>
      <c r="G902" t="s">
        <v>28</v>
      </c>
      <c r="H902" s="2">
        <v>43941</v>
      </c>
      <c r="I902" s="2" t="str">
        <f>TEXT(Table1[[#This Row],[date]],"dd")</f>
        <v>20</v>
      </c>
      <c r="J902" s="20">
        <f>DATE(2000,MONTH(Table1[[#This Row],[date]]),1)</f>
        <v>36617</v>
      </c>
      <c r="K902" s="18" t="str">
        <f>TEXT(Table1[[#This Row],[date]],"mm")</f>
        <v>04</v>
      </c>
      <c r="L902" s="16" t="s">
        <v>37</v>
      </c>
      <c r="M902">
        <v>2020</v>
      </c>
      <c r="N902" t="s">
        <v>43</v>
      </c>
      <c r="O902" t="s">
        <v>155</v>
      </c>
      <c r="P902">
        <v>521</v>
      </c>
      <c r="Q902">
        <f>AVERAGE(Table1[funds_raised_millions])</f>
        <v>470.28289473684208</v>
      </c>
      <c r="R902">
        <f>AVERAGE(Table1[total_laid_off])</f>
        <v>236.96936274509804</v>
      </c>
    </row>
    <row r="903" spans="1:18" x14ac:dyDescent="0.25">
      <c r="A903" s="3" t="s">
        <v>975</v>
      </c>
      <c r="B903" t="s">
        <v>40</v>
      </c>
      <c r="C903" t="s">
        <v>174</v>
      </c>
      <c r="D903">
        <v>115</v>
      </c>
      <c r="E903" s="1">
        <v>0.46</v>
      </c>
      <c r="F903" s="1" t="str">
        <f>IF(Table1[[#This Row],[percentage_laid_off]]=100%,"1","0")</f>
        <v>0</v>
      </c>
      <c r="G903" t="s">
        <v>28</v>
      </c>
      <c r="H903" s="2">
        <v>44635</v>
      </c>
      <c r="I903" s="2" t="str">
        <f>TEXT(Table1[[#This Row],[date]],"dd")</f>
        <v>15</v>
      </c>
      <c r="J903" s="20">
        <f>DATE(2000,MONTH(Table1[[#This Row],[date]]),1)</f>
        <v>36586</v>
      </c>
      <c r="K903" s="18" t="str">
        <f>TEXT(Table1[[#This Row],[date]],"mm")</f>
        <v>03</v>
      </c>
      <c r="L903" s="16" t="s">
        <v>57</v>
      </c>
      <c r="M903">
        <v>2022</v>
      </c>
      <c r="N903" t="s">
        <v>47</v>
      </c>
      <c r="O903" t="s">
        <v>19</v>
      </c>
      <c r="P903">
        <v>654</v>
      </c>
      <c r="Q903">
        <f>AVERAGE(Table1[funds_raised_millions])</f>
        <v>470.28289473684208</v>
      </c>
      <c r="R903">
        <f>AVERAGE(Table1[total_laid_off])</f>
        <v>236.96936274509804</v>
      </c>
    </row>
    <row r="904" spans="1:18" x14ac:dyDescent="0.25">
      <c r="A904" s="3" t="s">
        <v>976</v>
      </c>
      <c r="B904" t="s">
        <v>40</v>
      </c>
      <c r="C904" t="s">
        <v>174</v>
      </c>
      <c r="D904">
        <v>20</v>
      </c>
      <c r="E904" s="1">
        <v>0.08</v>
      </c>
      <c r="F904" s="1" t="str">
        <f>IF(Table1[[#This Row],[percentage_laid_off]]=100%,"1","0")</f>
        <v>0</v>
      </c>
      <c r="G904" t="s">
        <v>16</v>
      </c>
      <c r="H904" s="2">
        <v>44133</v>
      </c>
      <c r="I904" s="2" t="str">
        <f>TEXT(Table1[[#This Row],[date]],"dd")</f>
        <v>29</v>
      </c>
      <c r="J904" s="20">
        <f>DATE(2000,MONTH(Table1[[#This Row],[date]]),1)</f>
        <v>36800</v>
      </c>
      <c r="K904" s="18" t="str">
        <f>TEXT(Table1[[#This Row],[date]],"mm")</f>
        <v>10</v>
      </c>
      <c r="L904" s="16" t="s">
        <v>95</v>
      </c>
      <c r="M904">
        <v>2020</v>
      </c>
      <c r="N904" t="s">
        <v>35</v>
      </c>
      <c r="O904" t="s">
        <v>19</v>
      </c>
      <c r="P904">
        <v>560</v>
      </c>
      <c r="Q904">
        <f>AVERAGE(Table1[funds_raised_millions])</f>
        <v>470.28289473684208</v>
      </c>
      <c r="R904">
        <f>AVERAGE(Table1[total_laid_off])</f>
        <v>236.96936274509804</v>
      </c>
    </row>
    <row r="905" spans="1:18" x14ac:dyDescent="0.25">
      <c r="A905" s="3" t="s">
        <v>976</v>
      </c>
      <c r="B905" t="s">
        <v>40</v>
      </c>
      <c r="C905" t="s">
        <v>174</v>
      </c>
      <c r="D905">
        <v>127</v>
      </c>
      <c r="E905" s="1">
        <v>0.3</v>
      </c>
      <c r="F905" s="1" t="str">
        <f>IF(Table1[[#This Row],[percentage_laid_off]]=100%,"1","0")</f>
        <v>0</v>
      </c>
      <c r="G905" t="s">
        <v>28</v>
      </c>
      <c r="H905" s="2">
        <v>43917</v>
      </c>
      <c r="I905" s="2" t="str">
        <f>TEXT(Table1[[#This Row],[date]],"dd")</f>
        <v>27</v>
      </c>
      <c r="J905" s="20">
        <f>DATE(2000,MONTH(Table1[[#This Row],[date]]),1)</f>
        <v>36586</v>
      </c>
      <c r="K905" s="18" t="str">
        <f>TEXT(Table1[[#This Row],[date]],"mm")</f>
        <v>03</v>
      </c>
      <c r="L905" s="16" t="s">
        <v>57</v>
      </c>
      <c r="M905">
        <v>2020</v>
      </c>
      <c r="N905" t="s">
        <v>35</v>
      </c>
      <c r="O905" t="s">
        <v>19</v>
      </c>
      <c r="P905">
        <v>560</v>
      </c>
      <c r="Q905">
        <f>AVERAGE(Table1[funds_raised_millions])</f>
        <v>470.28289473684208</v>
      </c>
      <c r="R905">
        <f>AVERAGE(Table1[total_laid_off])</f>
        <v>236.96936274509804</v>
      </c>
    </row>
    <row r="906" spans="1:18" x14ac:dyDescent="0.25">
      <c r="A906" s="3" t="s">
        <v>977</v>
      </c>
      <c r="B906" t="s">
        <v>13</v>
      </c>
      <c r="C906" t="s">
        <v>69</v>
      </c>
      <c r="D906">
        <v>15</v>
      </c>
      <c r="E906" s="1">
        <v>0.2</v>
      </c>
      <c r="F906" s="1" t="str">
        <f>IF(Table1[[#This Row],[percentage_laid_off]]=100%,"1","0")</f>
        <v>0</v>
      </c>
      <c r="G906" t="s">
        <v>28</v>
      </c>
      <c r="H906" s="2">
        <v>43936</v>
      </c>
      <c r="I906" s="2" t="str">
        <f>TEXT(Table1[[#This Row],[date]],"dd")</f>
        <v>15</v>
      </c>
      <c r="J906" s="20">
        <f>DATE(2000,MONTH(Table1[[#This Row],[date]]),1)</f>
        <v>36617</v>
      </c>
      <c r="K906" s="18" t="str">
        <f>TEXT(Table1[[#This Row],[date]],"mm")</f>
        <v>04</v>
      </c>
      <c r="L906" s="16" t="s">
        <v>37</v>
      </c>
      <c r="M906">
        <v>2020</v>
      </c>
      <c r="N906" t="s">
        <v>24</v>
      </c>
      <c r="O906" t="s">
        <v>19</v>
      </c>
      <c r="P906">
        <v>40</v>
      </c>
      <c r="Q906">
        <f>AVERAGE(Table1[funds_raised_millions])</f>
        <v>470.28289473684208</v>
      </c>
      <c r="R906">
        <f>AVERAGE(Table1[total_laid_off])</f>
        <v>236.96936274509804</v>
      </c>
    </row>
    <row r="907" spans="1:18" x14ac:dyDescent="0.25">
      <c r="A907" s="3" t="s">
        <v>978</v>
      </c>
      <c r="B907" t="s">
        <v>27</v>
      </c>
      <c r="C907" t="s">
        <v>82</v>
      </c>
      <c r="D907" t="s">
        <v>15</v>
      </c>
      <c r="E907" s="1">
        <v>0.14000000000000001</v>
      </c>
      <c r="F907" s="1" t="str">
        <f>IF(Table1[[#This Row],[percentage_laid_off]]=100%,"1","0")</f>
        <v>0</v>
      </c>
      <c r="G907" t="s">
        <v>28</v>
      </c>
      <c r="H907" s="2">
        <v>45140</v>
      </c>
      <c r="I907" s="2" t="str">
        <f>TEXT(Table1[[#This Row],[date]],"dd")</f>
        <v>02</v>
      </c>
      <c r="J907" s="20">
        <f>DATE(2000,MONTH(Table1[[#This Row],[date]]),1)</f>
        <v>36739</v>
      </c>
      <c r="K907" s="18" t="str">
        <f>TEXT(Table1[[#This Row],[date]],"mm")</f>
        <v>08</v>
      </c>
      <c r="L907" s="16" t="s">
        <v>53</v>
      </c>
      <c r="M907">
        <v>2023</v>
      </c>
      <c r="N907" t="s">
        <v>43</v>
      </c>
      <c r="O907" t="s">
        <v>31</v>
      </c>
      <c r="P907">
        <v>278</v>
      </c>
      <c r="Q907">
        <f>AVERAGE(Table1[funds_raised_millions])</f>
        <v>470.28289473684208</v>
      </c>
      <c r="R907">
        <f>AVERAGE(Table1[total_laid_off])</f>
        <v>236.96936274509804</v>
      </c>
    </row>
    <row r="908" spans="1:18" x14ac:dyDescent="0.25">
      <c r="A908" s="3" t="s">
        <v>978</v>
      </c>
      <c r="B908" t="s">
        <v>27</v>
      </c>
      <c r="C908" t="s">
        <v>82</v>
      </c>
      <c r="D908">
        <v>15</v>
      </c>
      <c r="E908" s="1">
        <v>0.04</v>
      </c>
      <c r="F908" s="1" t="str">
        <f>IF(Table1[[#This Row],[percentage_laid_off]]=100%,"1","0")</f>
        <v>0</v>
      </c>
      <c r="G908" t="s">
        <v>16</v>
      </c>
      <c r="H908" s="2">
        <v>44882</v>
      </c>
      <c r="I908" s="2" t="str">
        <f>TEXT(Table1[[#This Row],[date]],"dd")</f>
        <v>17</v>
      </c>
      <c r="J908" s="20">
        <f>DATE(2000,MONTH(Table1[[#This Row],[date]]),1)</f>
        <v>36831</v>
      </c>
      <c r="K908" s="18" t="str">
        <f>TEXT(Table1[[#This Row],[date]],"mm")</f>
        <v>11</v>
      </c>
      <c r="L908" s="16" t="s">
        <v>23</v>
      </c>
      <c r="M908">
        <v>2022</v>
      </c>
      <c r="N908" t="s">
        <v>43</v>
      </c>
      <c r="O908" t="s">
        <v>31</v>
      </c>
      <c r="P908">
        <v>278</v>
      </c>
      <c r="Q908">
        <f>AVERAGE(Table1[funds_raised_millions])</f>
        <v>470.28289473684208</v>
      </c>
      <c r="R908">
        <f>AVERAGE(Table1[total_laid_off])</f>
        <v>236.96936274509804</v>
      </c>
    </row>
    <row r="909" spans="1:18" x14ac:dyDescent="0.25">
      <c r="A909" s="3" t="s">
        <v>979</v>
      </c>
      <c r="B909" t="s">
        <v>199</v>
      </c>
      <c r="C909" t="s">
        <v>46</v>
      </c>
      <c r="D909">
        <v>16</v>
      </c>
      <c r="E909" s="1">
        <v>0.14000000000000001</v>
      </c>
      <c r="F909" s="1" t="str">
        <f>IF(Table1[[#This Row],[percentage_laid_off]]=100%,"1","0")</f>
        <v>0</v>
      </c>
      <c r="G909" t="s">
        <v>28</v>
      </c>
      <c r="H909" s="2">
        <v>44724</v>
      </c>
      <c r="I909" s="2" t="str">
        <f>TEXT(Table1[[#This Row],[date]],"dd")</f>
        <v>12</v>
      </c>
      <c r="J909" s="20">
        <f>DATE(2000,MONTH(Table1[[#This Row],[date]]),1)</f>
        <v>36678</v>
      </c>
      <c r="K909" s="18" t="str">
        <f>TEXT(Table1[[#This Row],[date]],"mm")</f>
        <v>06</v>
      </c>
      <c r="L909" s="16" t="s">
        <v>73</v>
      </c>
      <c r="M909">
        <v>2022</v>
      </c>
      <c r="N909" t="s">
        <v>47</v>
      </c>
      <c r="O909" t="s">
        <v>200</v>
      </c>
      <c r="P909" t="s">
        <v>15</v>
      </c>
      <c r="Q909">
        <f>AVERAGE(Table1[funds_raised_millions])</f>
        <v>470.28289473684208</v>
      </c>
      <c r="R909">
        <f>AVERAGE(Table1[total_laid_off])</f>
        <v>236.96936274509804</v>
      </c>
    </row>
    <row r="910" spans="1:18" x14ac:dyDescent="0.25">
      <c r="A910" s="3" t="s">
        <v>980</v>
      </c>
      <c r="B910" t="s">
        <v>129</v>
      </c>
      <c r="C910" t="s">
        <v>82</v>
      </c>
      <c r="D910">
        <v>70</v>
      </c>
      <c r="E910" s="1">
        <v>0.08</v>
      </c>
      <c r="F910" s="1" t="str">
        <f>IF(Table1[[#This Row],[percentage_laid_off]]=100%,"1","0")</f>
        <v>0</v>
      </c>
      <c r="G910" t="s">
        <v>16</v>
      </c>
      <c r="H910" s="2">
        <v>44662</v>
      </c>
      <c r="I910" s="2" t="str">
        <f>TEXT(Table1[[#This Row],[date]],"dd")</f>
        <v>11</v>
      </c>
      <c r="J910" s="20">
        <f>DATE(2000,MONTH(Table1[[#This Row],[date]]),1)</f>
        <v>36617</v>
      </c>
      <c r="K910" s="18" t="str">
        <f>TEXT(Table1[[#This Row],[date]],"mm")</f>
        <v>04</v>
      </c>
      <c r="L910" s="16" t="s">
        <v>37</v>
      </c>
      <c r="M910">
        <v>2022</v>
      </c>
      <c r="N910" t="s">
        <v>47</v>
      </c>
      <c r="O910" t="s">
        <v>131</v>
      </c>
      <c r="P910">
        <v>180</v>
      </c>
      <c r="Q910">
        <f>AVERAGE(Table1[funds_raised_millions])</f>
        <v>470.28289473684208</v>
      </c>
      <c r="R910">
        <f>AVERAGE(Table1[total_laid_off])</f>
        <v>236.96936274509804</v>
      </c>
    </row>
    <row r="911" spans="1:18" x14ac:dyDescent="0.25">
      <c r="A911" s="3" t="s">
        <v>981</v>
      </c>
      <c r="B911" t="s">
        <v>13</v>
      </c>
      <c r="C911" t="s">
        <v>14</v>
      </c>
      <c r="D911">
        <v>23</v>
      </c>
      <c r="E911" s="1">
        <v>0.09</v>
      </c>
      <c r="F911" s="1" t="str">
        <f>IF(Table1[[#This Row],[percentage_laid_off]]=100%,"1","0")</f>
        <v>0</v>
      </c>
      <c r="G911" t="s">
        <v>16</v>
      </c>
      <c r="H911" s="2">
        <v>43941</v>
      </c>
      <c r="I911" s="2" t="str">
        <f>TEXT(Table1[[#This Row],[date]],"dd")</f>
        <v>20</v>
      </c>
      <c r="J911" s="20">
        <f>DATE(2000,MONTH(Table1[[#This Row],[date]]),1)</f>
        <v>36617</v>
      </c>
      <c r="K911" s="18" t="str">
        <f>TEXT(Table1[[#This Row],[date]],"mm")</f>
        <v>04</v>
      </c>
      <c r="L911" s="16" t="s">
        <v>37</v>
      </c>
      <c r="M911">
        <v>2020</v>
      </c>
      <c r="N911" t="s">
        <v>35</v>
      </c>
      <c r="O911" t="s">
        <v>19</v>
      </c>
      <c r="P911">
        <v>50</v>
      </c>
      <c r="Q911">
        <f>AVERAGE(Table1[funds_raised_millions])</f>
        <v>470.28289473684208</v>
      </c>
      <c r="R911">
        <f>AVERAGE(Table1[total_laid_off])</f>
        <v>236.96936274509804</v>
      </c>
    </row>
    <row r="912" spans="1:18" x14ac:dyDescent="0.25">
      <c r="A912" s="3" t="s">
        <v>981</v>
      </c>
      <c r="B912" t="s">
        <v>13</v>
      </c>
      <c r="C912" t="s">
        <v>14</v>
      </c>
      <c r="D912">
        <v>78</v>
      </c>
      <c r="E912" s="1">
        <v>0.09</v>
      </c>
      <c r="F912" s="1" t="str">
        <f>IF(Table1[[#This Row],[percentage_laid_off]]=100%,"1","0")</f>
        <v>0</v>
      </c>
      <c r="G912" t="s">
        <v>16</v>
      </c>
      <c r="H912" s="2">
        <v>44908</v>
      </c>
      <c r="I912" s="2" t="str">
        <f>TEXT(Table1[[#This Row],[date]],"dd")</f>
        <v>13</v>
      </c>
      <c r="J912" s="20">
        <f>DATE(2000,MONTH(Table1[[#This Row],[date]]),1)</f>
        <v>36861</v>
      </c>
      <c r="K912" s="18" t="str">
        <f>TEXT(Table1[[#This Row],[date]],"mm")</f>
        <v>12</v>
      </c>
      <c r="L912" s="16" t="s">
        <v>61</v>
      </c>
      <c r="M912">
        <v>2022</v>
      </c>
      <c r="N912" t="s">
        <v>18</v>
      </c>
      <c r="O912" t="s">
        <v>19</v>
      </c>
      <c r="P912">
        <v>514</v>
      </c>
      <c r="Q912">
        <f>AVERAGE(Table1[funds_raised_millions])</f>
        <v>470.28289473684208</v>
      </c>
      <c r="R912">
        <f>AVERAGE(Table1[total_laid_off])</f>
        <v>236.96936274509804</v>
      </c>
    </row>
    <row r="913" spans="1:18" x14ac:dyDescent="0.25">
      <c r="A913" s="3" t="s">
        <v>982</v>
      </c>
      <c r="B913" t="s">
        <v>299</v>
      </c>
      <c r="C913" t="s">
        <v>82</v>
      </c>
      <c r="D913">
        <v>180</v>
      </c>
      <c r="E913" t="s">
        <v>15</v>
      </c>
      <c r="F913" s="1" t="str">
        <f>IF(Table1[[#This Row],[percentage_laid_off]]=100%,"1","0")</f>
        <v>0</v>
      </c>
      <c r="G913" t="b">
        <v>0</v>
      </c>
      <c r="H913" s="2">
        <v>44827</v>
      </c>
      <c r="I913" s="2" t="str">
        <f>TEXT(Table1[[#This Row],[date]],"dd")</f>
        <v>23</v>
      </c>
      <c r="J913" s="20">
        <f>DATE(2000,MONTH(Table1[[#This Row],[date]]),1)</f>
        <v>36770</v>
      </c>
      <c r="K913" s="18" t="str">
        <f>TEXT(Table1[[#This Row],[date]],"mm")</f>
        <v>09</v>
      </c>
      <c r="L913" s="16" t="s">
        <v>70</v>
      </c>
      <c r="M913">
        <v>2022</v>
      </c>
      <c r="N913" t="s">
        <v>18</v>
      </c>
      <c r="O913" t="s">
        <v>19</v>
      </c>
      <c r="P913">
        <v>706</v>
      </c>
      <c r="Q913">
        <f>AVERAGE(Table1[funds_raised_millions])</f>
        <v>470.28289473684208</v>
      </c>
      <c r="R913">
        <f>AVERAGE(Table1[total_laid_off])</f>
        <v>236.96936274509804</v>
      </c>
    </row>
    <row r="914" spans="1:18" x14ac:dyDescent="0.25">
      <c r="A914" s="3" t="s">
        <v>983</v>
      </c>
      <c r="B914" t="s">
        <v>13</v>
      </c>
      <c r="C914" t="s">
        <v>78</v>
      </c>
      <c r="D914">
        <v>12</v>
      </c>
      <c r="E914" t="s">
        <v>15</v>
      </c>
      <c r="F914" s="1" t="str">
        <f>IF(Table1[[#This Row],[percentage_laid_off]]=100%,"1","0")</f>
        <v>0</v>
      </c>
      <c r="G914" t="b">
        <v>0</v>
      </c>
      <c r="H914" s="2">
        <v>43837</v>
      </c>
      <c r="I914" s="2" t="str">
        <f>TEXT(Table1[[#This Row],[date]],"dd")</f>
        <v>07</v>
      </c>
      <c r="J914" s="20">
        <f>DATE(2000,MONTH(Table1[[#This Row],[date]]),1)</f>
        <v>36526</v>
      </c>
      <c r="K914" s="18" t="str">
        <f>TEXT(Table1[[#This Row],[date]],"mm")</f>
        <v>01</v>
      </c>
      <c r="L914" s="16" t="s">
        <v>29</v>
      </c>
      <c r="M914">
        <v>2020</v>
      </c>
      <c r="N914" t="s">
        <v>35</v>
      </c>
      <c r="O914" t="s">
        <v>19</v>
      </c>
      <c r="P914">
        <v>19</v>
      </c>
      <c r="Q914">
        <f>AVERAGE(Table1[funds_raised_millions])</f>
        <v>470.28289473684208</v>
      </c>
      <c r="R914">
        <f>AVERAGE(Table1[total_laid_off])</f>
        <v>236.96936274509804</v>
      </c>
    </row>
    <row r="915" spans="1:18" x14ac:dyDescent="0.25">
      <c r="A915" s="3" t="s">
        <v>984</v>
      </c>
      <c r="B915" t="s">
        <v>94</v>
      </c>
      <c r="C915" t="s">
        <v>82</v>
      </c>
      <c r="D915">
        <v>50</v>
      </c>
      <c r="E915" s="1">
        <v>0.25</v>
      </c>
      <c r="F915" s="1" t="str">
        <f>IF(Table1[[#This Row],[percentage_laid_off]]=100%,"1","0")</f>
        <v>0</v>
      </c>
      <c r="G915" t="s">
        <v>28</v>
      </c>
      <c r="H915" s="2">
        <v>44706</v>
      </c>
      <c r="I915" s="2" t="str">
        <f>TEXT(Table1[[#This Row],[date]],"dd")</f>
        <v>25</v>
      </c>
      <c r="J915" s="20">
        <f>DATE(2000,MONTH(Table1[[#This Row],[date]]),1)</f>
        <v>36647</v>
      </c>
      <c r="K915" s="18" t="str">
        <f>TEXT(Table1[[#This Row],[date]],"mm")</f>
        <v>05</v>
      </c>
      <c r="L915" s="16" t="s">
        <v>86</v>
      </c>
      <c r="M915">
        <v>2022</v>
      </c>
      <c r="N915" t="s">
        <v>30</v>
      </c>
      <c r="O915" t="s">
        <v>96</v>
      </c>
      <c r="P915">
        <v>53</v>
      </c>
      <c r="Q915">
        <f>AVERAGE(Table1[funds_raised_millions])</f>
        <v>470.28289473684208</v>
      </c>
      <c r="R915">
        <f>AVERAGE(Table1[total_laid_off])</f>
        <v>236.96936274509804</v>
      </c>
    </row>
    <row r="916" spans="1:18" x14ac:dyDescent="0.25">
      <c r="A916" s="3" t="s">
        <v>985</v>
      </c>
      <c r="B916" t="s">
        <v>313</v>
      </c>
      <c r="C916" t="s">
        <v>34</v>
      </c>
      <c r="D916">
        <v>40</v>
      </c>
      <c r="E916" t="s">
        <v>15</v>
      </c>
      <c r="F916" s="1" t="str">
        <f>IF(Table1[[#This Row],[percentage_laid_off]]=100%,"1","0")</f>
        <v>0</v>
      </c>
      <c r="G916" t="b">
        <v>0</v>
      </c>
      <c r="H916" s="2">
        <v>44804</v>
      </c>
      <c r="I916" s="2" t="str">
        <f>TEXT(Table1[[#This Row],[date]],"dd")</f>
        <v>31</v>
      </c>
      <c r="J916" s="20">
        <f>DATE(2000,MONTH(Table1[[#This Row],[date]]),1)</f>
        <v>36739</v>
      </c>
      <c r="K916" s="18" t="str">
        <f>TEXT(Table1[[#This Row],[date]],"mm")</f>
        <v>08</v>
      </c>
      <c r="L916" s="16" t="s">
        <v>53</v>
      </c>
      <c r="M916">
        <v>2022</v>
      </c>
      <c r="N916" t="s">
        <v>30</v>
      </c>
      <c r="O916" t="s">
        <v>83</v>
      </c>
      <c r="P916">
        <v>44</v>
      </c>
      <c r="Q916">
        <f>AVERAGE(Table1[funds_raised_millions])</f>
        <v>470.28289473684208</v>
      </c>
      <c r="R916">
        <f>AVERAGE(Table1[total_laid_off])</f>
        <v>236.96936274509804</v>
      </c>
    </row>
    <row r="917" spans="1:18" x14ac:dyDescent="0.25">
      <c r="A917" s="3" t="s">
        <v>986</v>
      </c>
      <c r="B917" t="s">
        <v>13</v>
      </c>
      <c r="C917" t="s">
        <v>46</v>
      </c>
      <c r="D917">
        <v>1100</v>
      </c>
      <c r="E917" s="1">
        <v>0.3</v>
      </c>
      <c r="F917" s="1" t="str">
        <f>IF(Table1[[#This Row],[percentage_laid_off]]=100%,"1","0")</f>
        <v>0</v>
      </c>
      <c r="G917" t="s">
        <v>28</v>
      </c>
      <c r="H917" s="2">
        <v>44895</v>
      </c>
      <c r="I917" s="2" t="str">
        <f>TEXT(Table1[[#This Row],[date]],"dd")</f>
        <v>30</v>
      </c>
      <c r="J917" s="20">
        <f>DATE(2000,MONTH(Table1[[#This Row],[date]]),1)</f>
        <v>36831</v>
      </c>
      <c r="K917" s="18" t="str">
        <f>TEXT(Table1[[#This Row],[date]],"mm")</f>
        <v>11</v>
      </c>
      <c r="L917" s="16" t="s">
        <v>23</v>
      </c>
      <c r="M917">
        <v>2022</v>
      </c>
      <c r="N917" t="s">
        <v>47</v>
      </c>
      <c r="O917" t="s">
        <v>19</v>
      </c>
      <c r="P917">
        <v>134</v>
      </c>
      <c r="Q917">
        <f>AVERAGE(Table1[funds_raised_millions])</f>
        <v>470.28289473684208</v>
      </c>
      <c r="R917">
        <f>AVERAGE(Table1[total_laid_off])</f>
        <v>236.96936274509804</v>
      </c>
    </row>
    <row r="918" spans="1:18" x14ac:dyDescent="0.25">
      <c r="A918" s="3" t="s">
        <v>987</v>
      </c>
      <c r="B918" t="s">
        <v>77</v>
      </c>
      <c r="C918" t="s">
        <v>14</v>
      </c>
      <c r="D918">
        <v>100</v>
      </c>
      <c r="E918" s="1">
        <v>0.1</v>
      </c>
      <c r="F918" s="1" t="str">
        <f>IF(Table1[[#This Row],[percentage_laid_off]]=100%,"1","0")</f>
        <v>0</v>
      </c>
      <c r="G918" t="s">
        <v>16</v>
      </c>
      <c r="H918" s="2">
        <v>44698</v>
      </c>
      <c r="I918" s="2" t="str">
        <f>TEXT(Table1[[#This Row],[date]],"dd")</f>
        <v>17</v>
      </c>
      <c r="J918" s="20">
        <f>DATE(2000,MONTH(Table1[[#This Row],[date]]),1)</f>
        <v>36647</v>
      </c>
      <c r="K918" s="18" t="str">
        <f>TEXT(Table1[[#This Row],[date]],"mm")</f>
        <v>05</v>
      </c>
      <c r="L918" s="16" t="s">
        <v>86</v>
      </c>
      <c r="M918">
        <v>2022</v>
      </c>
      <c r="N918" t="s">
        <v>43</v>
      </c>
      <c r="O918" t="s">
        <v>79</v>
      </c>
      <c r="P918">
        <v>568</v>
      </c>
      <c r="Q918">
        <f>AVERAGE(Table1[funds_raised_millions])</f>
        <v>470.28289473684208</v>
      </c>
      <c r="R918">
        <f>AVERAGE(Table1[total_laid_off])</f>
        <v>236.96936274509804</v>
      </c>
    </row>
    <row r="919" spans="1:18" x14ac:dyDescent="0.25">
      <c r="A919" s="3" t="s">
        <v>987</v>
      </c>
      <c r="B919" t="s">
        <v>77</v>
      </c>
      <c r="C919" t="s">
        <v>14</v>
      </c>
      <c r="D919">
        <v>300</v>
      </c>
      <c r="E919" s="1">
        <v>0.1</v>
      </c>
      <c r="F919" s="1" t="str">
        <f>IF(Table1[[#This Row],[percentage_laid_off]]=100%,"1","0")</f>
        <v>0</v>
      </c>
      <c r="G919" t="s">
        <v>16</v>
      </c>
      <c r="H919" s="2">
        <v>44865</v>
      </c>
      <c r="I919" s="2" t="str">
        <f>TEXT(Table1[[#This Row],[date]],"dd")</f>
        <v>31</v>
      </c>
      <c r="J919" s="20">
        <f>DATE(2000,MONTH(Table1[[#This Row],[date]]),1)</f>
        <v>36800</v>
      </c>
      <c r="K919" s="18" t="str">
        <f>TEXT(Table1[[#This Row],[date]],"mm")</f>
        <v>10</v>
      </c>
      <c r="L919" s="16" t="s">
        <v>95</v>
      </c>
      <c r="M919">
        <v>2022</v>
      </c>
      <c r="N919" t="s">
        <v>43</v>
      </c>
      <c r="O919" t="s">
        <v>79</v>
      </c>
      <c r="P919">
        <v>568</v>
      </c>
      <c r="Q919">
        <f>AVERAGE(Table1[funds_raised_millions])</f>
        <v>470.28289473684208</v>
      </c>
      <c r="R919">
        <f>AVERAGE(Table1[total_laid_off])</f>
        <v>236.96936274509804</v>
      </c>
    </row>
    <row r="920" spans="1:18" x14ac:dyDescent="0.25">
      <c r="A920" s="3" t="s">
        <v>988</v>
      </c>
      <c r="B920" t="s">
        <v>329</v>
      </c>
      <c r="C920" t="s">
        <v>82</v>
      </c>
      <c r="D920">
        <v>23</v>
      </c>
      <c r="E920" s="1">
        <v>0.05</v>
      </c>
      <c r="F920" s="1" t="str">
        <f>IF(Table1[[#This Row],[percentage_laid_off]]=100%,"1","0")</f>
        <v>0</v>
      </c>
      <c r="G920" t="s">
        <v>16</v>
      </c>
      <c r="H920" s="2">
        <v>44601</v>
      </c>
      <c r="I920" s="2" t="str">
        <f>TEXT(Table1[[#This Row],[date]],"dd")</f>
        <v>09</v>
      </c>
      <c r="J920" s="20">
        <f>DATE(2000,MONTH(Table1[[#This Row],[date]]),1)</f>
        <v>36557</v>
      </c>
      <c r="K920" s="18" t="str">
        <f>TEXT(Table1[[#This Row],[date]],"mm")</f>
        <v>02</v>
      </c>
      <c r="L920" s="16" t="s">
        <v>42</v>
      </c>
      <c r="M920">
        <v>2022</v>
      </c>
      <c r="N920" t="s">
        <v>30</v>
      </c>
      <c r="O920" t="s">
        <v>146</v>
      </c>
      <c r="P920">
        <v>91</v>
      </c>
      <c r="Q920">
        <f>AVERAGE(Table1[funds_raised_millions])</f>
        <v>470.28289473684208</v>
      </c>
      <c r="R920">
        <f>AVERAGE(Table1[total_laid_off])</f>
        <v>236.96936274509804</v>
      </c>
    </row>
    <row r="921" spans="1:18" x14ac:dyDescent="0.25">
      <c r="A921" s="3" t="s">
        <v>989</v>
      </c>
      <c r="B921" t="s">
        <v>990</v>
      </c>
      <c r="C921" t="s">
        <v>82</v>
      </c>
      <c r="D921">
        <v>90</v>
      </c>
      <c r="E921" s="1">
        <v>0.3</v>
      </c>
      <c r="F921" s="1" t="str">
        <f>IF(Table1[[#This Row],[percentage_laid_off]]=100%,"1","0")</f>
        <v>0</v>
      </c>
      <c r="G921" t="s">
        <v>28</v>
      </c>
      <c r="H921" s="2">
        <v>43941</v>
      </c>
      <c r="I921" s="2" t="str">
        <f>TEXT(Table1[[#This Row],[date]],"dd")</f>
        <v>20</v>
      </c>
      <c r="J921" s="20">
        <f>DATE(2000,MONTH(Table1[[#This Row],[date]]),1)</f>
        <v>36617</v>
      </c>
      <c r="K921" s="18" t="str">
        <f>TEXT(Table1[[#This Row],[date]],"mm")</f>
        <v>04</v>
      </c>
      <c r="L921" s="16" t="s">
        <v>37</v>
      </c>
      <c r="M921">
        <v>2020</v>
      </c>
      <c r="N921" t="s">
        <v>30</v>
      </c>
      <c r="O921" t="s">
        <v>300</v>
      </c>
      <c r="P921">
        <v>38</v>
      </c>
      <c r="Q921">
        <f>AVERAGE(Table1[funds_raised_millions])</f>
        <v>470.28289473684208</v>
      </c>
      <c r="R921">
        <f>AVERAGE(Table1[total_laid_off])</f>
        <v>236.96936274509804</v>
      </c>
    </row>
    <row r="922" spans="1:18" x14ac:dyDescent="0.25">
      <c r="A922" s="3" t="s">
        <v>991</v>
      </c>
      <c r="B922" t="s">
        <v>481</v>
      </c>
      <c r="C922" t="s">
        <v>64</v>
      </c>
      <c r="D922" t="s">
        <v>15</v>
      </c>
      <c r="E922" s="1">
        <v>1</v>
      </c>
      <c r="F922" s="1" t="str">
        <f>IF(Table1[[#This Row],[percentage_laid_off]]=100%,"1","0")</f>
        <v>1</v>
      </c>
      <c r="G922" t="s">
        <v>114</v>
      </c>
      <c r="H922" s="2">
        <v>44735</v>
      </c>
      <c r="I922" s="2" t="str">
        <f>TEXT(Table1[[#This Row],[date]],"dd")</f>
        <v>23</v>
      </c>
      <c r="J922" s="20">
        <f>DATE(2000,MONTH(Table1[[#This Row],[date]]),1)</f>
        <v>36678</v>
      </c>
      <c r="K922" s="18" t="str">
        <f>TEXT(Table1[[#This Row],[date]],"mm")</f>
        <v>06</v>
      </c>
      <c r="L922" s="16" t="s">
        <v>73</v>
      </c>
      <c r="M922">
        <v>2022</v>
      </c>
      <c r="N922" t="s">
        <v>139</v>
      </c>
      <c r="O922" t="s">
        <v>482</v>
      </c>
      <c r="P922">
        <v>1</v>
      </c>
      <c r="Q922">
        <f>AVERAGE(Table1[funds_raised_millions])</f>
        <v>470.28289473684208</v>
      </c>
      <c r="R922">
        <f>AVERAGE(Table1[total_laid_off])</f>
        <v>236.96936274509804</v>
      </c>
    </row>
    <row r="923" spans="1:18" x14ac:dyDescent="0.25">
      <c r="A923" s="3" t="s">
        <v>992</v>
      </c>
      <c r="B923" t="s">
        <v>88</v>
      </c>
      <c r="C923" t="s">
        <v>14</v>
      </c>
      <c r="D923">
        <v>70</v>
      </c>
      <c r="E923" t="s">
        <v>15</v>
      </c>
      <c r="F923" s="1" t="str">
        <f>IF(Table1[[#This Row],[percentage_laid_off]]=100%,"1","0")</f>
        <v>0</v>
      </c>
      <c r="G923" t="b">
        <v>0</v>
      </c>
      <c r="H923" s="2">
        <v>45048</v>
      </c>
      <c r="I923" s="2" t="str">
        <f>TEXT(Table1[[#This Row],[date]],"dd")</f>
        <v>02</v>
      </c>
      <c r="J923" s="20">
        <f>DATE(2000,MONTH(Table1[[#This Row],[date]]),1)</f>
        <v>36647</v>
      </c>
      <c r="K923" s="18" t="str">
        <f>TEXT(Table1[[#This Row],[date]],"mm")</f>
        <v>05</v>
      </c>
      <c r="L923" s="16" t="s">
        <v>86</v>
      </c>
      <c r="M923">
        <v>2023</v>
      </c>
      <c r="N923" t="s">
        <v>47</v>
      </c>
      <c r="O923" t="s">
        <v>19</v>
      </c>
      <c r="P923">
        <v>183</v>
      </c>
      <c r="Q923">
        <f>AVERAGE(Table1[funds_raised_millions])</f>
        <v>470.28289473684208</v>
      </c>
      <c r="R923">
        <f>AVERAGE(Table1[total_laid_off])</f>
        <v>236.96936274509804</v>
      </c>
    </row>
    <row r="924" spans="1:18" x14ac:dyDescent="0.25">
      <c r="A924" s="3" t="s">
        <v>993</v>
      </c>
      <c r="B924" t="s">
        <v>13</v>
      </c>
      <c r="C924" t="s">
        <v>89</v>
      </c>
      <c r="D924">
        <v>36</v>
      </c>
      <c r="E924" t="s">
        <v>15</v>
      </c>
      <c r="F924" s="1" t="str">
        <f>IF(Table1[[#This Row],[percentage_laid_off]]=100%,"1","0")</f>
        <v>0</v>
      </c>
      <c r="G924" t="b">
        <v>0</v>
      </c>
      <c r="H924" s="2">
        <v>44781</v>
      </c>
      <c r="I924" s="2" t="str">
        <f>TEXT(Table1[[#This Row],[date]],"dd")</f>
        <v>08</v>
      </c>
      <c r="J924" s="20">
        <f>DATE(2000,MONTH(Table1[[#This Row],[date]]),1)</f>
        <v>36739</v>
      </c>
      <c r="K924" s="18" t="str">
        <f>TEXT(Table1[[#This Row],[date]],"mm")</f>
        <v>08</v>
      </c>
      <c r="L924" s="16" t="s">
        <v>53</v>
      </c>
      <c r="M924">
        <v>2022</v>
      </c>
      <c r="N924" t="s">
        <v>43</v>
      </c>
      <c r="O924" t="s">
        <v>19</v>
      </c>
      <c r="P924">
        <v>188</v>
      </c>
      <c r="Q924">
        <f>AVERAGE(Table1[funds_raised_millions])</f>
        <v>470.28289473684208</v>
      </c>
      <c r="R924">
        <f>AVERAGE(Table1[total_laid_off])</f>
        <v>236.96936274509804</v>
      </c>
    </row>
    <row r="925" spans="1:18" x14ac:dyDescent="0.25">
      <c r="A925" s="3" t="s">
        <v>994</v>
      </c>
      <c r="B925" t="s">
        <v>125</v>
      </c>
      <c r="C925" t="s">
        <v>51</v>
      </c>
      <c r="D925">
        <v>40</v>
      </c>
      <c r="E925" t="s">
        <v>15</v>
      </c>
      <c r="F925" s="1" t="str">
        <f>IF(Table1[[#This Row],[percentage_laid_off]]=100%,"1","0")</f>
        <v>0</v>
      </c>
      <c r="G925" t="b">
        <v>0</v>
      </c>
      <c r="H925" s="2">
        <v>43938</v>
      </c>
      <c r="I925" s="2" t="str">
        <f>TEXT(Table1[[#This Row],[date]],"dd")</f>
        <v>17</v>
      </c>
      <c r="J925" s="20">
        <f>DATE(2000,MONTH(Table1[[#This Row],[date]]),1)</f>
        <v>36617</v>
      </c>
      <c r="K925" s="18" t="str">
        <f>TEXT(Table1[[#This Row],[date]],"mm")</f>
        <v>04</v>
      </c>
      <c r="L925" s="16" t="s">
        <v>37</v>
      </c>
      <c r="M925">
        <v>2020</v>
      </c>
      <c r="N925" t="s">
        <v>30</v>
      </c>
      <c r="O925" t="s">
        <v>126</v>
      </c>
      <c r="P925">
        <v>34</v>
      </c>
      <c r="Q925">
        <f>AVERAGE(Table1[funds_raised_millions])</f>
        <v>470.28289473684208</v>
      </c>
      <c r="R925">
        <f>AVERAGE(Table1[total_laid_off])</f>
        <v>236.96936274509804</v>
      </c>
    </row>
    <row r="926" spans="1:18" x14ac:dyDescent="0.25">
      <c r="A926" s="3" t="s">
        <v>995</v>
      </c>
      <c r="B926" t="s">
        <v>13</v>
      </c>
      <c r="C926" t="s">
        <v>181</v>
      </c>
      <c r="D926">
        <v>300</v>
      </c>
      <c r="E926" s="1">
        <v>0.2</v>
      </c>
      <c r="F926" s="1" t="str">
        <f>IF(Table1[[#This Row],[percentage_laid_off]]=100%,"1","0")</f>
        <v>0</v>
      </c>
      <c r="G926" t="s">
        <v>28</v>
      </c>
      <c r="H926" s="2">
        <v>44706</v>
      </c>
      <c r="I926" s="2" t="str">
        <f>TEXT(Table1[[#This Row],[date]],"dd")</f>
        <v>25</v>
      </c>
      <c r="J926" s="20">
        <f>DATE(2000,MONTH(Table1[[#This Row],[date]]),1)</f>
        <v>36647</v>
      </c>
      <c r="K926" s="18" t="str">
        <f>TEXT(Table1[[#This Row],[date]],"mm")</f>
        <v>05</v>
      </c>
      <c r="L926" s="16" t="s">
        <v>86</v>
      </c>
      <c r="M926">
        <v>2022</v>
      </c>
      <c r="N926" t="s">
        <v>43</v>
      </c>
      <c r="O926" t="s">
        <v>19</v>
      </c>
      <c r="P926">
        <v>1900</v>
      </c>
      <c r="Q926">
        <f>AVERAGE(Table1[funds_raised_millions])</f>
        <v>470.28289473684208</v>
      </c>
      <c r="R926">
        <f>AVERAGE(Table1[total_laid_off])</f>
        <v>236.96936274509804</v>
      </c>
    </row>
    <row r="927" spans="1:18" x14ac:dyDescent="0.25">
      <c r="A927" s="3" t="s">
        <v>996</v>
      </c>
      <c r="B927" t="s">
        <v>13</v>
      </c>
      <c r="C927" t="s">
        <v>82</v>
      </c>
      <c r="D927">
        <v>13</v>
      </c>
      <c r="E927" s="1">
        <v>0.25</v>
      </c>
      <c r="F927" s="1" t="str">
        <f>IF(Table1[[#This Row],[percentage_laid_off]]=100%,"1","0")</f>
        <v>0</v>
      </c>
      <c r="G927" t="s">
        <v>28</v>
      </c>
      <c r="H927" s="2">
        <v>43913</v>
      </c>
      <c r="I927" s="2" t="str">
        <f>TEXT(Table1[[#This Row],[date]],"dd")</f>
        <v>23</v>
      </c>
      <c r="J927" s="20">
        <f>DATE(2000,MONTH(Table1[[#This Row],[date]]),1)</f>
        <v>36586</v>
      </c>
      <c r="K927" s="18" t="str">
        <f>TEXT(Table1[[#This Row],[date]],"mm")</f>
        <v>03</v>
      </c>
      <c r="L927" s="16" t="s">
        <v>57</v>
      </c>
      <c r="M927">
        <v>2020</v>
      </c>
      <c r="N927" t="s">
        <v>35</v>
      </c>
      <c r="O927" t="s">
        <v>19</v>
      </c>
      <c r="P927">
        <v>94</v>
      </c>
      <c r="Q927">
        <f>AVERAGE(Table1[funds_raised_millions])</f>
        <v>470.28289473684208</v>
      </c>
      <c r="R927">
        <f>AVERAGE(Table1[total_laid_off])</f>
        <v>236.96936274509804</v>
      </c>
    </row>
    <row r="928" spans="1:18" x14ac:dyDescent="0.25">
      <c r="A928" s="3" t="s">
        <v>997</v>
      </c>
      <c r="B928" t="s">
        <v>13</v>
      </c>
      <c r="C928" t="s">
        <v>309</v>
      </c>
      <c r="D928">
        <v>1300</v>
      </c>
      <c r="E928" s="1">
        <v>7.0000000000000007E-2</v>
      </c>
      <c r="F928" s="1" t="str">
        <f>IF(Table1[[#This Row],[percentage_laid_off]]=100%,"1","0")</f>
        <v>0</v>
      </c>
      <c r="G928" t="s">
        <v>16</v>
      </c>
      <c r="H928" s="2">
        <v>44951</v>
      </c>
      <c r="I928" s="2" t="str">
        <f>TEXT(Table1[[#This Row],[date]],"dd")</f>
        <v>25</v>
      </c>
      <c r="J928" s="20">
        <f>DATE(2000,MONTH(Table1[[#This Row],[date]]),1)</f>
        <v>36526</v>
      </c>
      <c r="K928" s="18" t="str">
        <f>TEXT(Table1[[#This Row],[date]],"mm")</f>
        <v>01</v>
      </c>
      <c r="L928" s="16" t="s">
        <v>29</v>
      </c>
      <c r="M928">
        <v>2023</v>
      </c>
      <c r="N928" t="s">
        <v>38</v>
      </c>
      <c r="O928" t="s">
        <v>19</v>
      </c>
      <c r="P928" t="s">
        <v>15</v>
      </c>
      <c r="Q928">
        <f>AVERAGE(Table1[funds_raised_millions])</f>
        <v>470.28289473684208</v>
      </c>
      <c r="R928">
        <f>AVERAGE(Table1[total_laid_off])</f>
        <v>236.96936274509804</v>
      </c>
    </row>
    <row r="929" spans="1:18" x14ac:dyDescent="0.25">
      <c r="A929" s="3" t="s">
        <v>998</v>
      </c>
      <c r="B929" t="s">
        <v>13</v>
      </c>
      <c r="C929" t="s">
        <v>51</v>
      </c>
      <c r="D929">
        <v>19</v>
      </c>
      <c r="E929" t="s">
        <v>15</v>
      </c>
      <c r="F929" s="1" t="str">
        <f>IF(Table1[[#This Row],[percentage_laid_off]]=100%,"1","0")</f>
        <v>0</v>
      </c>
      <c r="G929" t="b">
        <v>0</v>
      </c>
      <c r="H929" s="2">
        <v>43942</v>
      </c>
      <c r="I929" s="2" t="str">
        <f>TEXT(Table1[[#This Row],[date]],"dd")</f>
        <v>21</v>
      </c>
      <c r="J929" s="20">
        <f>DATE(2000,MONTH(Table1[[#This Row],[date]]),1)</f>
        <v>36617</v>
      </c>
      <c r="K929" s="18" t="str">
        <f>TEXT(Table1[[#This Row],[date]],"mm")</f>
        <v>04</v>
      </c>
      <c r="L929" s="16" t="s">
        <v>37</v>
      </c>
      <c r="M929">
        <v>2020</v>
      </c>
      <c r="N929" t="s">
        <v>30</v>
      </c>
      <c r="O929" t="s">
        <v>19</v>
      </c>
      <c r="P929">
        <v>48</v>
      </c>
      <c r="Q929">
        <f>AVERAGE(Table1[funds_raised_millions])</f>
        <v>470.28289473684208</v>
      </c>
      <c r="R929">
        <f>AVERAGE(Table1[total_laid_off])</f>
        <v>236.96936274509804</v>
      </c>
    </row>
    <row r="930" spans="1:18" x14ac:dyDescent="0.25">
      <c r="A930" s="3" t="s">
        <v>998</v>
      </c>
      <c r="B930" t="s">
        <v>13</v>
      </c>
      <c r="C930" t="s">
        <v>51</v>
      </c>
      <c r="D930">
        <v>65</v>
      </c>
      <c r="E930" t="s">
        <v>15</v>
      </c>
      <c r="F930" s="1" t="str">
        <f>IF(Table1[[#This Row],[percentage_laid_off]]=100%,"1","0")</f>
        <v>0</v>
      </c>
      <c r="G930" t="b">
        <v>0</v>
      </c>
      <c r="H930" s="2">
        <v>44315</v>
      </c>
      <c r="I930" s="2" t="str">
        <f>TEXT(Table1[[#This Row],[date]],"dd")</f>
        <v>29</v>
      </c>
      <c r="J930" s="20">
        <f>DATE(2000,MONTH(Table1[[#This Row],[date]]),1)</f>
        <v>36617</v>
      </c>
      <c r="K930" s="18" t="str">
        <f>TEXT(Table1[[#This Row],[date]],"mm")</f>
        <v>04</v>
      </c>
      <c r="L930" s="16" t="s">
        <v>37</v>
      </c>
      <c r="M930">
        <v>2021</v>
      </c>
      <c r="N930" t="s">
        <v>35</v>
      </c>
      <c r="O930" t="s">
        <v>19</v>
      </c>
      <c r="P930">
        <v>122</v>
      </c>
      <c r="Q930">
        <f>AVERAGE(Table1[funds_raised_millions])</f>
        <v>470.28289473684208</v>
      </c>
      <c r="R930">
        <f>AVERAGE(Table1[total_laid_off])</f>
        <v>236.96936274509804</v>
      </c>
    </row>
    <row r="931" spans="1:18" x14ac:dyDescent="0.25">
      <c r="A931" s="3" t="s">
        <v>999</v>
      </c>
      <c r="B931" t="s">
        <v>1000</v>
      </c>
      <c r="C931" t="s">
        <v>174</v>
      </c>
      <c r="D931">
        <v>110</v>
      </c>
      <c r="E931" t="s">
        <v>15</v>
      </c>
      <c r="F931" s="1" t="str">
        <f>IF(Table1[[#This Row],[percentage_laid_off]]=100%,"1","0")</f>
        <v>0</v>
      </c>
      <c r="G931" t="b">
        <v>0</v>
      </c>
      <c r="H931" s="2">
        <v>44722</v>
      </c>
      <c r="I931" s="2" t="str">
        <f>TEXT(Table1[[#This Row],[date]],"dd")</f>
        <v>10</v>
      </c>
      <c r="J931" s="20">
        <f>DATE(2000,MONTH(Table1[[#This Row],[date]]),1)</f>
        <v>36678</v>
      </c>
      <c r="K931" s="18" t="str">
        <f>TEXT(Table1[[#This Row],[date]],"mm")</f>
        <v>06</v>
      </c>
      <c r="L931" s="16" t="s">
        <v>73</v>
      </c>
      <c r="M931">
        <v>2022</v>
      </c>
      <c r="N931" t="s">
        <v>35</v>
      </c>
      <c r="O931" t="s">
        <v>19</v>
      </c>
      <c r="P931">
        <v>347</v>
      </c>
      <c r="Q931">
        <f>AVERAGE(Table1[funds_raised_millions])</f>
        <v>470.28289473684208</v>
      </c>
      <c r="R931">
        <f>AVERAGE(Table1[total_laid_off])</f>
        <v>236.96936274509804</v>
      </c>
    </row>
    <row r="932" spans="1:18" x14ac:dyDescent="0.25">
      <c r="A932" s="3" t="s">
        <v>1001</v>
      </c>
      <c r="B932" t="s">
        <v>336</v>
      </c>
      <c r="C932" t="s">
        <v>41</v>
      </c>
      <c r="D932" t="s">
        <v>15</v>
      </c>
      <c r="E932" s="1">
        <v>1</v>
      </c>
      <c r="F932" s="1" t="str">
        <f>IF(Table1[[#This Row],[percentage_laid_off]]=100%,"1","0")</f>
        <v>1</v>
      </c>
      <c r="G932" t="s">
        <v>114</v>
      </c>
      <c r="H932" s="2">
        <v>45078</v>
      </c>
      <c r="I932" s="2" t="str">
        <f>TEXT(Table1[[#This Row],[date]],"dd")</f>
        <v>01</v>
      </c>
      <c r="J932" s="20">
        <f>DATE(2000,MONTH(Table1[[#This Row],[date]]),1)</f>
        <v>36678</v>
      </c>
      <c r="K932" s="18" t="str">
        <f>TEXT(Table1[[#This Row],[date]],"mm")</f>
        <v>06</v>
      </c>
      <c r="L932" s="16" t="s">
        <v>73</v>
      </c>
      <c r="M932">
        <v>2023</v>
      </c>
      <c r="N932" t="s">
        <v>139</v>
      </c>
      <c r="O932" t="s">
        <v>19</v>
      </c>
      <c r="P932">
        <v>40</v>
      </c>
      <c r="Q932">
        <f>AVERAGE(Table1[funds_raised_millions])</f>
        <v>470.28289473684208</v>
      </c>
      <c r="R932">
        <f>AVERAGE(Table1[total_laid_off])</f>
        <v>236.96936274509804</v>
      </c>
    </row>
    <row r="933" spans="1:18" x14ac:dyDescent="0.25">
      <c r="A933" s="3" t="s">
        <v>1002</v>
      </c>
      <c r="B933" t="s">
        <v>13</v>
      </c>
      <c r="C933" t="s">
        <v>181</v>
      </c>
      <c r="D933">
        <v>50</v>
      </c>
      <c r="E933" s="1">
        <v>0.4</v>
      </c>
      <c r="F933" s="1" t="str">
        <f>IF(Table1[[#This Row],[percentage_laid_off]]=100%,"1","0")</f>
        <v>0</v>
      </c>
      <c r="G933" t="s">
        <v>28</v>
      </c>
      <c r="H933" s="2">
        <v>43927</v>
      </c>
      <c r="I933" s="2" t="str">
        <f>TEXT(Table1[[#This Row],[date]],"dd")</f>
        <v>06</v>
      </c>
      <c r="J933" s="20">
        <f>DATE(2000,MONTH(Table1[[#This Row],[date]]),1)</f>
        <v>36617</v>
      </c>
      <c r="K933" s="18" t="str">
        <f>TEXT(Table1[[#This Row],[date]],"mm")</f>
        <v>04</v>
      </c>
      <c r="L933" s="16" t="s">
        <v>37</v>
      </c>
      <c r="M933">
        <v>2020</v>
      </c>
      <c r="N933" t="s">
        <v>35</v>
      </c>
      <c r="O933" t="s">
        <v>19</v>
      </c>
      <c r="P933">
        <v>52</v>
      </c>
      <c r="Q933">
        <f>AVERAGE(Table1[funds_raised_millions])</f>
        <v>470.28289473684208</v>
      </c>
      <c r="R933">
        <f>AVERAGE(Table1[total_laid_off])</f>
        <v>236.96936274509804</v>
      </c>
    </row>
    <row r="934" spans="1:18" x14ac:dyDescent="0.25">
      <c r="A934" s="3" t="s">
        <v>1003</v>
      </c>
      <c r="B934" t="s">
        <v>40</v>
      </c>
      <c r="C934" t="s">
        <v>181</v>
      </c>
      <c r="D934">
        <v>30</v>
      </c>
      <c r="E934" s="1">
        <v>0.06</v>
      </c>
      <c r="F934" s="1" t="str">
        <f>IF(Table1[[#This Row],[percentage_laid_off]]=100%,"1","0")</f>
        <v>0</v>
      </c>
      <c r="G934" t="s">
        <v>16</v>
      </c>
      <c r="H934" s="2">
        <v>44839</v>
      </c>
      <c r="I934" s="2" t="str">
        <f>TEXT(Table1[[#This Row],[date]],"dd")</f>
        <v>05</v>
      </c>
      <c r="J934" s="20">
        <f>DATE(2000,MONTH(Table1[[#This Row],[date]]),1)</f>
        <v>36800</v>
      </c>
      <c r="K934" s="18" t="str">
        <f>TEXT(Table1[[#This Row],[date]],"mm")</f>
        <v>10</v>
      </c>
      <c r="L934" s="16" t="s">
        <v>95</v>
      </c>
      <c r="M934">
        <v>2022</v>
      </c>
      <c r="N934" t="s">
        <v>38</v>
      </c>
      <c r="O934" t="s">
        <v>19</v>
      </c>
      <c r="P934">
        <v>342</v>
      </c>
      <c r="Q934">
        <f>AVERAGE(Table1[funds_raised_millions])</f>
        <v>470.28289473684208</v>
      </c>
      <c r="R934">
        <f>AVERAGE(Table1[total_laid_off])</f>
        <v>236.96936274509804</v>
      </c>
    </row>
    <row r="935" spans="1:18" x14ac:dyDescent="0.25">
      <c r="A935" s="3" t="s">
        <v>1003</v>
      </c>
      <c r="B935" t="s">
        <v>40</v>
      </c>
      <c r="C935" t="s">
        <v>181</v>
      </c>
      <c r="D935">
        <v>60</v>
      </c>
      <c r="E935" t="s">
        <v>15</v>
      </c>
      <c r="F935" s="1" t="str">
        <f>IF(Table1[[#This Row],[percentage_laid_off]]=100%,"1","0")</f>
        <v>0</v>
      </c>
      <c r="G935" t="b">
        <v>0</v>
      </c>
      <c r="H935" s="2">
        <v>43865</v>
      </c>
      <c r="I935" s="2" t="str">
        <f>TEXT(Table1[[#This Row],[date]],"dd")</f>
        <v>04</v>
      </c>
      <c r="J935" s="20">
        <f>DATE(2000,MONTH(Table1[[#This Row],[date]]),1)</f>
        <v>36557</v>
      </c>
      <c r="K935" s="18" t="str">
        <f>TEXT(Table1[[#This Row],[date]],"mm")</f>
        <v>02</v>
      </c>
      <c r="L935" s="16" t="s">
        <v>42</v>
      </c>
      <c r="M935">
        <v>2020</v>
      </c>
      <c r="N935" t="s">
        <v>30</v>
      </c>
      <c r="O935" t="s">
        <v>19</v>
      </c>
      <c r="P935">
        <v>152</v>
      </c>
      <c r="Q935">
        <f>AVERAGE(Table1[funds_raised_millions])</f>
        <v>470.28289473684208</v>
      </c>
      <c r="R935">
        <f>AVERAGE(Table1[total_laid_off])</f>
        <v>236.96936274509804</v>
      </c>
    </row>
    <row r="936" spans="1:18" x14ac:dyDescent="0.25">
      <c r="A936" s="3" t="s">
        <v>1003</v>
      </c>
      <c r="B936" t="s">
        <v>40</v>
      </c>
      <c r="C936" t="s">
        <v>181</v>
      </c>
      <c r="D936">
        <v>115</v>
      </c>
      <c r="E936" s="1">
        <v>0.37</v>
      </c>
      <c r="F936" s="1" t="str">
        <f>IF(Table1[[#This Row],[percentage_laid_off]]=100%,"1","0")</f>
        <v>0</v>
      </c>
      <c r="G936" t="s">
        <v>28</v>
      </c>
      <c r="H936" s="2">
        <v>44600</v>
      </c>
      <c r="I936" s="2" t="str">
        <f>TEXT(Table1[[#This Row],[date]],"dd")</f>
        <v>08</v>
      </c>
      <c r="J936" s="20">
        <f>DATE(2000,MONTH(Table1[[#This Row],[date]]),1)</f>
        <v>36557</v>
      </c>
      <c r="K936" s="18" t="str">
        <f>TEXT(Table1[[#This Row],[date]],"mm")</f>
        <v>02</v>
      </c>
      <c r="L936" s="16" t="s">
        <v>42</v>
      </c>
      <c r="M936">
        <v>2022</v>
      </c>
      <c r="N936" t="s">
        <v>38</v>
      </c>
      <c r="O936" t="s">
        <v>19</v>
      </c>
      <c r="P936">
        <v>342</v>
      </c>
      <c r="Q936">
        <f>AVERAGE(Table1[funds_raised_millions])</f>
        <v>470.28289473684208</v>
      </c>
      <c r="R936">
        <f>AVERAGE(Table1[total_laid_off])</f>
        <v>236.96936274509804</v>
      </c>
    </row>
    <row r="937" spans="1:18" x14ac:dyDescent="0.25">
      <c r="A937" s="3" t="s">
        <v>1003</v>
      </c>
      <c r="B937" t="s">
        <v>40</v>
      </c>
      <c r="C937" t="s">
        <v>181</v>
      </c>
      <c r="D937">
        <v>130</v>
      </c>
      <c r="E937" s="1">
        <v>0.28000000000000003</v>
      </c>
      <c r="F937" s="1" t="str">
        <f>IF(Table1[[#This Row],[percentage_laid_off]]=100%,"1","0")</f>
        <v>0</v>
      </c>
      <c r="G937" t="s">
        <v>28</v>
      </c>
      <c r="H937" s="2">
        <v>44701</v>
      </c>
      <c r="I937" s="2" t="str">
        <f>TEXT(Table1[[#This Row],[date]],"dd")</f>
        <v>20</v>
      </c>
      <c r="J937" s="20">
        <f>DATE(2000,MONTH(Table1[[#This Row],[date]]),1)</f>
        <v>36647</v>
      </c>
      <c r="K937" s="18" t="str">
        <f>TEXT(Table1[[#This Row],[date]],"mm")</f>
        <v>05</v>
      </c>
      <c r="L937" s="16" t="s">
        <v>86</v>
      </c>
      <c r="M937">
        <v>2022</v>
      </c>
      <c r="N937" t="s">
        <v>38</v>
      </c>
      <c r="O937" t="s">
        <v>19</v>
      </c>
      <c r="P937">
        <v>342</v>
      </c>
      <c r="Q937">
        <f>AVERAGE(Table1[funds_raised_millions])</f>
        <v>470.28289473684208</v>
      </c>
      <c r="R937">
        <f>AVERAGE(Table1[total_laid_off])</f>
        <v>236.96936274509804</v>
      </c>
    </row>
    <row r="938" spans="1:18" x14ac:dyDescent="0.25">
      <c r="A938" s="3" t="s">
        <v>1004</v>
      </c>
      <c r="B938" t="s">
        <v>13</v>
      </c>
      <c r="C938" t="s">
        <v>190</v>
      </c>
      <c r="D938" t="s">
        <v>15</v>
      </c>
      <c r="E938" s="1">
        <v>0.15</v>
      </c>
      <c r="F938" s="1" t="str">
        <f>IF(Table1[[#This Row],[percentage_laid_off]]=100%,"1","0")</f>
        <v>0</v>
      </c>
      <c r="G938" t="s">
        <v>28</v>
      </c>
      <c r="H938" s="2">
        <v>45261</v>
      </c>
      <c r="I938" s="2" t="str">
        <f>TEXT(Table1[[#This Row],[date]],"dd")</f>
        <v>01</v>
      </c>
      <c r="J938" s="20">
        <f>DATE(2000,MONTH(Table1[[#This Row],[date]]),1)</f>
        <v>36861</v>
      </c>
      <c r="K938" s="18" t="str">
        <f>TEXT(Table1[[#This Row],[date]],"mm")</f>
        <v>12</v>
      </c>
      <c r="L938" s="16" t="s">
        <v>61</v>
      </c>
      <c r="M938">
        <v>2023</v>
      </c>
      <c r="N938" t="s">
        <v>100</v>
      </c>
      <c r="O938" t="s">
        <v>19</v>
      </c>
      <c r="P938">
        <v>328</v>
      </c>
      <c r="Q938">
        <f>AVERAGE(Table1[funds_raised_millions])</f>
        <v>470.28289473684208</v>
      </c>
      <c r="R938">
        <f>AVERAGE(Table1[total_laid_off])</f>
        <v>236.96936274509804</v>
      </c>
    </row>
    <row r="939" spans="1:18" x14ac:dyDescent="0.25">
      <c r="A939" s="3" t="s">
        <v>1004</v>
      </c>
      <c r="B939" t="s">
        <v>13</v>
      </c>
      <c r="C939" t="s">
        <v>190</v>
      </c>
      <c r="D939">
        <v>13</v>
      </c>
      <c r="E939" t="s">
        <v>15</v>
      </c>
      <c r="F939" s="1" t="str">
        <f>IF(Table1[[#This Row],[percentage_laid_off]]=100%,"1","0")</f>
        <v>0</v>
      </c>
      <c r="G939" t="b">
        <v>0</v>
      </c>
      <c r="H939" s="2">
        <v>44861</v>
      </c>
      <c r="I939" s="2" t="str">
        <f>TEXT(Table1[[#This Row],[date]],"dd")</f>
        <v>27</v>
      </c>
      <c r="J939" s="20">
        <f>DATE(2000,MONTH(Table1[[#This Row],[date]]),1)</f>
        <v>36800</v>
      </c>
      <c r="K939" s="18" t="str">
        <f>TEXT(Table1[[#This Row],[date]],"mm")</f>
        <v>10</v>
      </c>
      <c r="L939" s="16" t="s">
        <v>95</v>
      </c>
      <c r="M939">
        <v>2022</v>
      </c>
      <c r="N939" t="s">
        <v>100</v>
      </c>
      <c r="O939" t="s">
        <v>19</v>
      </c>
      <c r="P939">
        <v>328</v>
      </c>
      <c r="Q939">
        <f>AVERAGE(Table1[funds_raised_millions])</f>
        <v>470.28289473684208</v>
      </c>
      <c r="R939">
        <f>AVERAGE(Table1[total_laid_off])</f>
        <v>236.96936274509804</v>
      </c>
    </row>
    <row r="940" spans="1:18" x14ac:dyDescent="0.25">
      <c r="A940" s="3" t="s">
        <v>1004</v>
      </c>
      <c r="B940" t="s">
        <v>13</v>
      </c>
      <c r="C940" t="s">
        <v>190</v>
      </c>
      <c r="D940">
        <v>16</v>
      </c>
      <c r="E940" s="1">
        <v>0.1</v>
      </c>
      <c r="F940" s="1" t="str">
        <f>IF(Table1[[#This Row],[percentage_laid_off]]=100%,"1","0")</f>
        <v>0</v>
      </c>
      <c r="G940" t="s">
        <v>16</v>
      </c>
      <c r="H940" s="2">
        <v>43966</v>
      </c>
      <c r="I940" s="2" t="str">
        <f>TEXT(Table1[[#This Row],[date]],"dd")</f>
        <v>15</v>
      </c>
      <c r="J940" s="20">
        <f>DATE(2000,MONTH(Table1[[#This Row],[date]]),1)</f>
        <v>36647</v>
      </c>
      <c r="K940" s="18" t="str">
        <f>TEXT(Table1[[#This Row],[date]],"mm")</f>
        <v>05</v>
      </c>
      <c r="L940" s="16" t="s">
        <v>86</v>
      </c>
      <c r="M940">
        <v>2020</v>
      </c>
      <c r="N940" t="s">
        <v>35</v>
      </c>
      <c r="O940" t="s">
        <v>19</v>
      </c>
      <c r="P940">
        <v>49</v>
      </c>
      <c r="Q940">
        <f>AVERAGE(Table1[funds_raised_millions])</f>
        <v>470.28289473684208</v>
      </c>
      <c r="R940">
        <f>AVERAGE(Table1[total_laid_off])</f>
        <v>236.96936274509804</v>
      </c>
    </row>
    <row r="941" spans="1:18" x14ac:dyDescent="0.25">
      <c r="A941" s="3" t="s">
        <v>1005</v>
      </c>
      <c r="B941" t="s">
        <v>170</v>
      </c>
      <c r="C941" t="s">
        <v>535</v>
      </c>
      <c r="D941">
        <v>30</v>
      </c>
      <c r="E941" s="1">
        <v>0.33</v>
      </c>
      <c r="F941" s="1" t="str">
        <f>IF(Table1[[#This Row],[percentage_laid_off]]=100%,"1","0")</f>
        <v>0</v>
      </c>
      <c r="G941" t="s">
        <v>28</v>
      </c>
      <c r="H941" s="2">
        <v>44721</v>
      </c>
      <c r="I941" s="2" t="str">
        <f>TEXT(Table1[[#This Row],[date]],"dd")</f>
        <v>09</v>
      </c>
      <c r="J941" s="20">
        <f>DATE(2000,MONTH(Table1[[#This Row],[date]]),1)</f>
        <v>36678</v>
      </c>
      <c r="K941" s="18" t="str">
        <f>TEXT(Table1[[#This Row],[date]],"mm")</f>
        <v>06</v>
      </c>
      <c r="L941" s="16" t="s">
        <v>73</v>
      </c>
      <c r="M941">
        <v>2022</v>
      </c>
      <c r="N941" t="s">
        <v>35</v>
      </c>
      <c r="O941" t="s">
        <v>172</v>
      </c>
      <c r="P941">
        <v>41</v>
      </c>
      <c r="Q941">
        <f>AVERAGE(Table1[funds_raised_millions])</f>
        <v>470.28289473684208</v>
      </c>
      <c r="R941">
        <f>AVERAGE(Table1[total_laid_off])</f>
        <v>236.96936274509804</v>
      </c>
    </row>
    <row r="942" spans="1:18" x14ac:dyDescent="0.25">
      <c r="A942" s="3" t="s">
        <v>1006</v>
      </c>
      <c r="B942" t="s">
        <v>1007</v>
      </c>
      <c r="C942" t="s">
        <v>82</v>
      </c>
      <c r="D942">
        <v>45</v>
      </c>
      <c r="E942" t="s">
        <v>15</v>
      </c>
      <c r="F942" s="1" t="str">
        <f>IF(Table1[[#This Row],[percentage_laid_off]]=100%,"1","0")</f>
        <v>0</v>
      </c>
      <c r="G942" t="b">
        <v>0</v>
      </c>
      <c r="H942" s="2">
        <v>44770</v>
      </c>
      <c r="I942" s="2" t="str">
        <f>TEXT(Table1[[#This Row],[date]],"dd")</f>
        <v>28</v>
      </c>
      <c r="J942" s="20">
        <f>DATE(2000,MONTH(Table1[[#This Row],[date]]),1)</f>
        <v>36708</v>
      </c>
      <c r="K942" s="18" t="str">
        <f>TEXT(Table1[[#This Row],[date]],"mm")</f>
        <v>07</v>
      </c>
      <c r="L942" s="16" t="s">
        <v>17</v>
      </c>
      <c r="M942">
        <v>2022</v>
      </c>
      <c r="N942" t="s">
        <v>38</v>
      </c>
      <c r="O942" t="s">
        <v>1008</v>
      </c>
      <c r="P942">
        <v>130</v>
      </c>
      <c r="Q942">
        <f>AVERAGE(Table1[funds_raised_millions])</f>
        <v>470.28289473684208</v>
      </c>
      <c r="R942">
        <f>AVERAGE(Table1[total_laid_off])</f>
        <v>236.96936274509804</v>
      </c>
    </row>
    <row r="943" spans="1:18" x14ac:dyDescent="0.25">
      <c r="A943" s="3" t="s">
        <v>1009</v>
      </c>
      <c r="B943" t="s">
        <v>13</v>
      </c>
      <c r="C943" t="s">
        <v>41</v>
      </c>
      <c r="D943" t="s">
        <v>15</v>
      </c>
      <c r="E943" s="1">
        <v>0.5</v>
      </c>
      <c r="F943" s="1" t="str">
        <f>IF(Table1[[#This Row],[percentage_laid_off]]=100%,"1","0")</f>
        <v>0</v>
      </c>
      <c r="G943" t="s">
        <v>28</v>
      </c>
      <c r="H943" s="2">
        <v>43834</v>
      </c>
      <c r="I943" s="2" t="str">
        <f>TEXT(Table1[[#This Row],[date]],"dd")</f>
        <v>04</v>
      </c>
      <c r="J943" s="20">
        <f>DATE(2000,MONTH(Table1[[#This Row],[date]]),1)</f>
        <v>36526</v>
      </c>
      <c r="K943" s="18" t="str">
        <f>TEXT(Table1[[#This Row],[date]],"mm")</f>
        <v>01</v>
      </c>
      <c r="L943" s="16" t="s">
        <v>29</v>
      </c>
      <c r="M943">
        <v>2020</v>
      </c>
      <c r="N943" t="s">
        <v>35</v>
      </c>
      <c r="O943" t="s">
        <v>19</v>
      </c>
      <c r="P943">
        <v>62</v>
      </c>
      <c r="Q943">
        <f>AVERAGE(Table1[funds_raised_millions])</f>
        <v>470.28289473684208</v>
      </c>
      <c r="R943">
        <f>AVERAGE(Table1[total_laid_off])</f>
        <v>236.96936274509804</v>
      </c>
    </row>
    <row r="944" spans="1:18" x14ac:dyDescent="0.25">
      <c r="A944" s="3" t="s">
        <v>1010</v>
      </c>
      <c r="B944" t="s">
        <v>81</v>
      </c>
      <c r="C944" t="s">
        <v>51</v>
      </c>
      <c r="D944">
        <v>60</v>
      </c>
      <c r="E944" t="s">
        <v>15</v>
      </c>
      <c r="F944" s="1" t="str">
        <f>IF(Table1[[#This Row],[percentage_laid_off]]=100%,"1","0")</f>
        <v>0</v>
      </c>
      <c r="G944" t="b">
        <v>0</v>
      </c>
      <c r="H944" s="2">
        <v>45200</v>
      </c>
      <c r="I944" s="2" t="str">
        <f>TEXT(Table1[[#This Row],[date]],"dd")</f>
        <v>01</v>
      </c>
      <c r="J944" s="20">
        <f>DATE(2000,MONTH(Table1[[#This Row],[date]]),1)</f>
        <v>36800</v>
      </c>
      <c r="K944" s="18" t="str">
        <f>TEXT(Table1[[#This Row],[date]],"mm")</f>
        <v>10</v>
      </c>
      <c r="L944" s="16" t="s">
        <v>95</v>
      </c>
      <c r="M944">
        <v>2023</v>
      </c>
      <c r="N944" t="s">
        <v>18</v>
      </c>
      <c r="O944" t="s">
        <v>83</v>
      </c>
      <c r="P944">
        <v>190</v>
      </c>
      <c r="Q944">
        <f>AVERAGE(Table1[funds_raised_millions])</f>
        <v>470.28289473684208</v>
      </c>
      <c r="R944">
        <f>AVERAGE(Table1[total_laid_off])</f>
        <v>236.96936274509804</v>
      </c>
    </row>
    <row r="945" spans="1:18" x14ac:dyDescent="0.25">
      <c r="A945" s="3" t="s">
        <v>1010</v>
      </c>
      <c r="B945" t="s">
        <v>81</v>
      </c>
      <c r="C945" t="s">
        <v>51</v>
      </c>
      <c r="D945">
        <v>80</v>
      </c>
      <c r="E945" s="1">
        <v>0.04</v>
      </c>
      <c r="F945" s="1" t="str">
        <f>IF(Table1[[#This Row],[percentage_laid_off]]=100%,"1","0")</f>
        <v>0</v>
      </c>
      <c r="G945" t="s">
        <v>16</v>
      </c>
      <c r="H945" s="2">
        <v>44659</v>
      </c>
      <c r="I945" s="2" t="str">
        <f>TEXT(Table1[[#This Row],[date]],"dd")</f>
        <v>08</v>
      </c>
      <c r="J945" s="20">
        <f>DATE(2000,MONTH(Table1[[#This Row],[date]]),1)</f>
        <v>36617</v>
      </c>
      <c r="K945" s="18" t="str">
        <f>TEXT(Table1[[#This Row],[date]],"mm")</f>
        <v>04</v>
      </c>
      <c r="L945" s="16" t="s">
        <v>37</v>
      </c>
      <c r="M945">
        <v>2022</v>
      </c>
      <c r="N945" t="s">
        <v>18</v>
      </c>
      <c r="O945" t="s">
        <v>83</v>
      </c>
      <c r="P945">
        <v>166</v>
      </c>
      <c r="Q945">
        <f>AVERAGE(Table1[funds_raised_millions])</f>
        <v>470.28289473684208</v>
      </c>
      <c r="R945">
        <f>AVERAGE(Table1[total_laid_off])</f>
        <v>236.96936274509804</v>
      </c>
    </row>
    <row r="946" spans="1:18" x14ac:dyDescent="0.25">
      <c r="A946" s="3" t="s">
        <v>1011</v>
      </c>
      <c r="B946" t="s">
        <v>40</v>
      </c>
      <c r="C946" t="s">
        <v>161</v>
      </c>
      <c r="D946">
        <v>80</v>
      </c>
      <c r="E946" s="1">
        <v>0.31</v>
      </c>
      <c r="F946" s="1" t="str">
        <f>IF(Table1[[#This Row],[percentage_laid_off]]=100%,"1","0")</f>
        <v>0</v>
      </c>
      <c r="G946" t="s">
        <v>28</v>
      </c>
      <c r="H946" s="2">
        <v>44910</v>
      </c>
      <c r="I946" s="2" t="str">
        <f>TEXT(Table1[[#This Row],[date]],"dd")</f>
        <v>15</v>
      </c>
      <c r="J946" s="20">
        <f>DATE(2000,MONTH(Table1[[#This Row],[date]]),1)</f>
        <v>36861</v>
      </c>
      <c r="K946" s="18" t="str">
        <f>TEXT(Table1[[#This Row],[date]],"mm")</f>
        <v>12</v>
      </c>
      <c r="L946" s="16" t="s">
        <v>61</v>
      </c>
      <c r="M946">
        <v>2022</v>
      </c>
      <c r="N946" t="s">
        <v>35</v>
      </c>
      <c r="O946" t="s">
        <v>19</v>
      </c>
      <c r="P946">
        <v>379</v>
      </c>
      <c r="Q946">
        <f>AVERAGE(Table1[funds_raised_millions])</f>
        <v>470.28289473684208</v>
      </c>
      <c r="R946">
        <f>AVERAGE(Table1[total_laid_off])</f>
        <v>236.96936274509804</v>
      </c>
    </row>
    <row r="947" spans="1:18" x14ac:dyDescent="0.25">
      <c r="A947" s="3" t="s">
        <v>1012</v>
      </c>
      <c r="B947" t="s">
        <v>68</v>
      </c>
      <c r="C947" t="s">
        <v>41</v>
      </c>
      <c r="D947">
        <v>56</v>
      </c>
      <c r="E947" s="1">
        <v>0.21</v>
      </c>
      <c r="F947" s="1" t="str">
        <f>IF(Table1[[#This Row],[percentage_laid_off]]=100%,"1","0")</f>
        <v>0</v>
      </c>
      <c r="G947" t="s">
        <v>28</v>
      </c>
      <c r="H947" s="2">
        <v>44852</v>
      </c>
      <c r="I947" s="2" t="str">
        <f>TEXT(Table1[[#This Row],[date]],"dd")</f>
        <v>18</v>
      </c>
      <c r="J947" s="20">
        <f>DATE(2000,MONTH(Table1[[#This Row],[date]]),1)</f>
        <v>36800</v>
      </c>
      <c r="K947" s="18" t="str">
        <f>TEXT(Table1[[#This Row],[date]],"mm")</f>
        <v>10</v>
      </c>
      <c r="L947" s="16" t="s">
        <v>95</v>
      </c>
      <c r="M947">
        <v>2022</v>
      </c>
      <c r="N947" t="s">
        <v>38</v>
      </c>
      <c r="O947" t="s">
        <v>19</v>
      </c>
      <c r="P947">
        <v>71</v>
      </c>
      <c r="Q947">
        <f>AVERAGE(Table1[funds_raised_millions])</f>
        <v>470.28289473684208</v>
      </c>
      <c r="R947">
        <f>AVERAGE(Table1[total_laid_off])</f>
        <v>236.96936274509804</v>
      </c>
    </row>
    <row r="948" spans="1:18" x14ac:dyDescent="0.25">
      <c r="A948" s="3" t="s">
        <v>1012</v>
      </c>
      <c r="B948" t="s">
        <v>68</v>
      </c>
      <c r="C948" t="s">
        <v>41</v>
      </c>
      <c r="D948">
        <v>91</v>
      </c>
      <c r="E948" s="1">
        <v>0.5</v>
      </c>
      <c r="F948" s="1" t="str">
        <f>IF(Table1[[#This Row],[percentage_laid_off]]=100%,"1","0")</f>
        <v>0</v>
      </c>
      <c r="G948" t="s">
        <v>28</v>
      </c>
      <c r="H948" s="2">
        <v>43913</v>
      </c>
      <c r="I948" s="2" t="str">
        <f>TEXT(Table1[[#This Row],[date]],"dd")</f>
        <v>23</v>
      </c>
      <c r="J948" s="20">
        <f>DATE(2000,MONTH(Table1[[#This Row],[date]]),1)</f>
        <v>36586</v>
      </c>
      <c r="K948" s="18" t="str">
        <f>TEXT(Table1[[#This Row],[date]],"mm")</f>
        <v>03</v>
      </c>
      <c r="L948" s="16" t="s">
        <v>57</v>
      </c>
      <c r="M948">
        <v>2020</v>
      </c>
      <c r="N948" t="s">
        <v>71</v>
      </c>
      <c r="O948" t="s">
        <v>19</v>
      </c>
      <c r="P948">
        <v>2</v>
      </c>
      <c r="Q948">
        <f>AVERAGE(Table1[funds_raised_millions])</f>
        <v>470.28289473684208</v>
      </c>
      <c r="R948">
        <f>AVERAGE(Table1[total_laid_off])</f>
        <v>236.96936274509804</v>
      </c>
    </row>
    <row r="949" spans="1:18" x14ac:dyDescent="0.25">
      <c r="A949" s="3" t="s">
        <v>1013</v>
      </c>
      <c r="B949" t="s">
        <v>21</v>
      </c>
      <c r="C949" t="s">
        <v>51</v>
      </c>
      <c r="D949">
        <v>27</v>
      </c>
      <c r="E949" s="1">
        <v>0.09</v>
      </c>
      <c r="F949" s="1" t="str">
        <f>IF(Table1[[#This Row],[percentage_laid_off]]=100%,"1","0")</f>
        <v>0</v>
      </c>
      <c r="G949" t="s">
        <v>16</v>
      </c>
      <c r="H949" s="2">
        <v>45109</v>
      </c>
      <c r="I949" s="2" t="str">
        <f>TEXT(Table1[[#This Row],[date]],"dd")</f>
        <v>02</v>
      </c>
      <c r="J949" s="20">
        <f>DATE(2000,MONTH(Table1[[#This Row],[date]]),1)</f>
        <v>36708</v>
      </c>
      <c r="K949" s="18" t="str">
        <f>TEXT(Table1[[#This Row],[date]],"mm")</f>
        <v>07</v>
      </c>
      <c r="L949" s="16" t="s">
        <v>17</v>
      </c>
      <c r="M949">
        <v>2023</v>
      </c>
      <c r="N949" t="s">
        <v>117</v>
      </c>
      <c r="O949" t="s">
        <v>25</v>
      </c>
      <c r="P949">
        <v>56</v>
      </c>
      <c r="Q949">
        <f>AVERAGE(Table1[funds_raised_millions])</f>
        <v>470.28289473684208</v>
      </c>
      <c r="R949">
        <f>AVERAGE(Table1[total_laid_off])</f>
        <v>236.96936274509804</v>
      </c>
    </row>
    <row r="950" spans="1:18" x14ac:dyDescent="0.25">
      <c r="A950" s="3" t="s">
        <v>1014</v>
      </c>
      <c r="B950" t="s">
        <v>75</v>
      </c>
      <c r="C950" t="s">
        <v>78</v>
      </c>
      <c r="D950">
        <v>23</v>
      </c>
      <c r="E950" s="1">
        <v>0.38</v>
      </c>
      <c r="F950" s="1" t="str">
        <f>IF(Table1[[#This Row],[percentage_laid_off]]=100%,"1","0")</f>
        <v>0</v>
      </c>
      <c r="G950" t="s">
        <v>28</v>
      </c>
      <c r="H950" s="2">
        <v>44655</v>
      </c>
      <c r="I950" s="2" t="str">
        <f>TEXT(Table1[[#This Row],[date]],"dd")</f>
        <v>04</v>
      </c>
      <c r="J950" s="20">
        <f>DATE(2000,MONTH(Table1[[#This Row],[date]]),1)</f>
        <v>36617</v>
      </c>
      <c r="K950" s="18" t="str">
        <f>TEXT(Table1[[#This Row],[date]],"mm")</f>
        <v>04</v>
      </c>
      <c r="L950" s="16" t="s">
        <v>37</v>
      </c>
      <c r="M950">
        <v>2022</v>
      </c>
      <c r="N950" t="s">
        <v>38</v>
      </c>
      <c r="O950" t="s">
        <v>31</v>
      </c>
      <c r="P950">
        <v>3</v>
      </c>
      <c r="Q950">
        <f>AVERAGE(Table1[funds_raised_millions])</f>
        <v>470.28289473684208</v>
      </c>
      <c r="R950">
        <f>AVERAGE(Table1[total_laid_off])</f>
        <v>236.96936274509804</v>
      </c>
    </row>
    <row r="951" spans="1:18" x14ac:dyDescent="0.25">
      <c r="A951" s="3" t="s">
        <v>1015</v>
      </c>
      <c r="B951" t="s">
        <v>371</v>
      </c>
      <c r="C951" t="s">
        <v>46</v>
      </c>
      <c r="D951">
        <v>100</v>
      </c>
      <c r="E951" s="1">
        <v>0.38</v>
      </c>
      <c r="F951" s="1" t="str">
        <f>IF(Table1[[#This Row],[percentage_laid_off]]=100%,"1","0")</f>
        <v>0</v>
      </c>
      <c r="G951" t="s">
        <v>28</v>
      </c>
      <c r="H951" s="2">
        <v>44889</v>
      </c>
      <c r="I951" s="2" t="str">
        <f>TEXT(Table1[[#This Row],[date]],"dd")</f>
        <v>24</v>
      </c>
      <c r="J951" s="20">
        <f>DATE(2000,MONTH(Table1[[#This Row],[date]]),1)</f>
        <v>36831</v>
      </c>
      <c r="K951" s="18" t="str">
        <f>TEXT(Table1[[#This Row],[date]],"mm")</f>
        <v>11</v>
      </c>
      <c r="L951" s="16" t="s">
        <v>23</v>
      </c>
      <c r="M951">
        <v>2022</v>
      </c>
      <c r="N951" t="s">
        <v>24</v>
      </c>
      <c r="O951" t="s">
        <v>372</v>
      </c>
      <c r="P951">
        <v>17</v>
      </c>
      <c r="Q951">
        <f>AVERAGE(Table1[funds_raised_millions])</f>
        <v>470.28289473684208</v>
      </c>
      <c r="R951">
        <f>AVERAGE(Table1[total_laid_off])</f>
        <v>236.96936274509804</v>
      </c>
    </row>
    <row r="952" spans="1:18" x14ac:dyDescent="0.25">
      <c r="A952" s="3" t="s">
        <v>1016</v>
      </c>
      <c r="B952" t="s">
        <v>40</v>
      </c>
      <c r="C952" t="s">
        <v>82</v>
      </c>
      <c r="D952">
        <v>52</v>
      </c>
      <c r="E952" t="s">
        <v>15</v>
      </c>
      <c r="F952" s="1" t="str">
        <f>IF(Table1[[#This Row],[percentage_laid_off]]=100%,"1","0")</f>
        <v>0</v>
      </c>
      <c r="G952" t="b">
        <v>0</v>
      </c>
      <c r="H952" s="2">
        <v>44671</v>
      </c>
      <c r="I952" s="2" t="str">
        <f>TEXT(Table1[[#This Row],[date]],"dd")</f>
        <v>20</v>
      </c>
      <c r="J952" s="20">
        <f>DATE(2000,MONTH(Table1[[#This Row],[date]]),1)</f>
        <v>36617</v>
      </c>
      <c r="K952" s="18" t="str">
        <f>TEXT(Table1[[#This Row],[date]],"mm")</f>
        <v>04</v>
      </c>
      <c r="L952" s="16" t="s">
        <v>37</v>
      </c>
      <c r="M952">
        <v>2022</v>
      </c>
      <c r="N952" t="s">
        <v>38</v>
      </c>
      <c r="O952" t="s">
        <v>19</v>
      </c>
      <c r="P952">
        <v>481</v>
      </c>
      <c r="Q952">
        <f>AVERAGE(Table1[funds_raised_millions])</f>
        <v>470.28289473684208</v>
      </c>
      <c r="R952">
        <f>AVERAGE(Table1[total_laid_off])</f>
        <v>236.96936274509804</v>
      </c>
    </row>
    <row r="953" spans="1:18" x14ac:dyDescent="0.25">
      <c r="A953" s="3" t="s">
        <v>1017</v>
      </c>
      <c r="B953" t="s">
        <v>55</v>
      </c>
      <c r="C953" t="s">
        <v>174</v>
      </c>
      <c r="D953">
        <v>100</v>
      </c>
      <c r="E953" t="s">
        <v>15</v>
      </c>
      <c r="F953" s="1" t="str">
        <f>IF(Table1[[#This Row],[percentage_laid_off]]=100%,"1","0")</f>
        <v>0</v>
      </c>
      <c r="G953" t="b">
        <v>0</v>
      </c>
      <c r="H953" s="2">
        <v>44988</v>
      </c>
      <c r="I953" s="2" t="str">
        <f>TEXT(Table1[[#This Row],[date]],"dd")</f>
        <v>03</v>
      </c>
      <c r="J953" s="20">
        <f>DATE(2000,MONTH(Table1[[#This Row],[date]]),1)</f>
        <v>36586</v>
      </c>
      <c r="K953" s="18" t="str">
        <f>TEXT(Table1[[#This Row],[date]],"mm")</f>
        <v>03</v>
      </c>
      <c r="L953" s="16" t="s">
        <v>57</v>
      </c>
      <c r="M953">
        <v>2023</v>
      </c>
      <c r="N953" t="s">
        <v>47</v>
      </c>
      <c r="O953" t="s">
        <v>58</v>
      </c>
      <c r="P953">
        <v>59</v>
      </c>
      <c r="Q953">
        <f>AVERAGE(Table1[funds_raised_millions])</f>
        <v>470.28289473684208</v>
      </c>
      <c r="R953">
        <f>AVERAGE(Table1[total_laid_off])</f>
        <v>236.96936274509804</v>
      </c>
    </row>
    <row r="954" spans="1:18" x14ac:dyDescent="0.25">
      <c r="A954" s="3" t="s">
        <v>1018</v>
      </c>
      <c r="B954" t="s">
        <v>13</v>
      </c>
      <c r="C954" t="s">
        <v>82</v>
      </c>
      <c r="D954">
        <v>225</v>
      </c>
      <c r="E954" s="1">
        <v>0.14000000000000001</v>
      </c>
      <c r="F954" s="1" t="str">
        <f>IF(Table1[[#This Row],[percentage_laid_off]]=100%,"1","0")</f>
        <v>0</v>
      </c>
      <c r="G954" t="s">
        <v>28</v>
      </c>
      <c r="H954" s="2">
        <v>45261</v>
      </c>
      <c r="I954" s="2" t="str">
        <f>TEXT(Table1[[#This Row],[date]],"dd")</f>
        <v>01</v>
      </c>
      <c r="J954" s="20">
        <f>DATE(2000,MONTH(Table1[[#This Row],[date]]),1)</f>
        <v>36861</v>
      </c>
      <c r="K954" s="18" t="str">
        <f>TEXT(Table1[[#This Row],[date]],"mm")</f>
        <v>12</v>
      </c>
      <c r="L954" s="16" t="s">
        <v>61</v>
      </c>
      <c r="M954">
        <v>2023</v>
      </c>
      <c r="N954" t="s">
        <v>38</v>
      </c>
      <c r="O954" t="s">
        <v>19</v>
      </c>
      <c r="P954">
        <v>392</v>
      </c>
      <c r="Q954">
        <f>AVERAGE(Table1[funds_raised_millions])</f>
        <v>470.28289473684208</v>
      </c>
      <c r="R954">
        <f>AVERAGE(Table1[total_laid_off])</f>
        <v>236.96936274509804</v>
      </c>
    </row>
    <row r="955" spans="1:18" x14ac:dyDescent="0.25">
      <c r="A955" s="3" t="s">
        <v>1018</v>
      </c>
      <c r="B955" t="s">
        <v>13</v>
      </c>
      <c r="C955" t="s">
        <v>82</v>
      </c>
      <c r="D955">
        <v>460</v>
      </c>
      <c r="E955" s="1">
        <v>0.3</v>
      </c>
      <c r="F955" s="1" t="str">
        <f>IF(Table1[[#This Row],[percentage_laid_off]]=100%,"1","0")</f>
        <v>0</v>
      </c>
      <c r="G955" t="s">
        <v>28</v>
      </c>
      <c r="H955" s="2">
        <v>43942</v>
      </c>
      <c r="I955" s="2" t="str">
        <f>TEXT(Table1[[#This Row],[date]],"dd")</f>
        <v>21</v>
      </c>
      <c r="J955" s="20">
        <f>DATE(2000,MONTH(Table1[[#This Row],[date]]),1)</f>
        <v>36617</v>
      </c>
      <c r="K955" s="18" t="str">
        <f>TEXT(Table1[[#This Row],[date]],"mm")</f>
        <v>04</v>
      </c>
      <c r="L955" s="16" t="s">
        <v>37</v>
      </c>
      <c r="M955">
        <v>2020</v>
      </c>
      <c r="N955" t="s">
        <v>38</v>
      </c>
      <c r="O955" t="s">
        <v>19</v>
      </c>
      <c r="P955">
        <v>392</v>
      </c>
      <c r="Q955">
        <f>AVERAGE(Table1[funds_raised_millions])</f>
        <v>470.28289473684208</v>
      </c>
      <c r="R955">
        <f>AVERAGE(Table1[total_laid_off])</f>
        <v>236.96936274509804</v>
      </c>
    </row>
    <row r="956" spans="1:18" x14ac:dyDescent="0.25">
      <c r="A956" s="3" t="s">
        <v>1019</v>
      </c>
      <c r="B956" t="s">
        <v>1020</v>
      </c>
      <c r="C956" t="s">
        <v>82</v>
      </c>
      <c r="D956">
        <v>500</v>
      </c>
      <c r="E956" s="1">
        <v>0.5</v>
      </c>
      <c r="F956" s="1" t="str">
        <f>IF(Table1[[#This Row],[percentage_laid_off]]=100%,"1","0")</f>
        <v>0</v>
      </c>
      <c r="G956" t="s">
        <v>28</v>
      </c>
      <c r="H956" s="2">
        <v>43966</v>
      </c>
      <c r="I956" s="2" t="str">
        <f>TEXT(Table1[[#This Row],[date]],"dd")</f>
        <v>15</v>
      </c>
      <c r="J956" s="20">
        <f>DATE(2000,MONTH(Table1[[#This Row],[date]]),1)</f>
        <v>36647</v>
      </c>
      <c r="K956" s="18" t="str">
        <f>TEXT(Table1[[#This Row],[date]],"mm")</f>
        <v>05</v>
      </c>
      <c r="L956" s="16" t="s">
        <v>86</v>
      </c>
      <c r="M956">
        <v>2020</v>
      </c>
      <c r="N956" t="s">
        <v>47</v>
      </c>
      <c r="O956" t="s">
        <v>83</v>
      </c>
      <c r="P956">
        <v>200</v>
      </c>
      <c r="Q956">
        <f>AVERAGE(Table1[funds_raised_millions])</f>
        <v>470.28289473684208</v>
      </c>
      <c r="R956">
        <f>AVERAGE(Table1[total_laid_off])</f>
        <v>236.96936274509804</v>
      </c>
    </row>
    <row r="957" spans="1:18" x14ac:dyDescent="0.25">
      <c r="A957" s="3" t="s">
        <v>1021</v>
      </c>
      <c r="B957" t="s">
        <v>1022</v>
      </c>
      <c r="C957" t="s">
        <v>82</v>
      </c>
      <c r="D957">
        <v>200</v>
      </c>
      <c r="E957" t="s">
        <v>15</v>
      </c>
      <c r="F957" s="1" t="str">
        <f>IF(Table1[[#This Row],[percentage_laid_off]]=100%,"1","0")</f>
        <v>0</v>
      </c>
      <c r="G957" t="b">
        <v>0</v>
      </c>
      <c r="H957" s="2">
        <v>44631</v>
      </c>
      <c r="I957" s="2" t="str">
        <f>TEXT(Table1[[#This Row],[date]],"dd")</f>
        <v>11</v>
      </c>
      <c r="J957" s="20">
        <f>DATE(2000,MONTH(Table1[[#This Row],[date]]),1)</f>
        <v>36586</v>
      </c>
      <c r="K957" s="18" t="str">
        <f>TEXT(Table1[[#This Row],[date]],"mm")</f>
        <v>03</v>
      </c>
      <c r="L957" s="16" t="s">
        <v>57</v>
      </c>
      <c r="M957">
        <v>2022</v>
      </c>
      <c r="N957" t="s">
        <v>38</v>
      </c>
      <c r="O957" t="s">
        <v>19</v>
      </c>
      <c r="P957" t="s">
        <v>15</v>
      </c>
      <c r="Q957">
        <f>AVERAGE(Table1[funds_raised_millions])</f>
        <v>470.28289473684208</v>
      </c>
      <c r="R957">
        <f>AVERAGE(Table1[total_laid_off])</f>
        <v>236.96936274509804</v>
      </c>
    </row>
    <row r="958" spans="1:18" x14ac:dyDescent="0.25">
      <c r="A958" s="3" t="s">
        <v>1023</v>
      </c>
      <c r="B958" t="s">
        <v>94</v>
      </c>
      <c r="C958" t="s">
        <v>161</v>
      </c>
      <c r="D958" t="s">
        <v>15</v>
      </c>
      <c r="E958" s="1">
        <v>0.5</v>
      </c>
      <c r="F958" s="1" t="str">
        <f>IF(Table1[[#This Row],[percentage_laid_off]]=100%,"1","0")</f>
        <v>0</v>
      </c>
      <c r="G958" t="s">
        <v>28</v>
      </c>
      <c r="H958" s="2">
        <v>44916</v>
      </c>
      <c r="I958" s="2" t="str">
        <f>TEXT(Table1[[#This Row],[date]],"dd")</f>
        <v>21</v>
      </c>
      <c r="J958" s="20">
        <f>DATE(2000,MONTH(Table1[[#This Row],[date]]),1)</f>
        <v>36861</v>
      </c>
      <c r="K958" s="18" t="str">
        <f>TEXT(Table1[[#This Row],[date]],"mm")</f>
        <v>12</v>
      </c>
      <c r="L958" s="16" t="s">
        <v>61</v>
      </c>
      <c r="M958">
        <v>2022</v>
      </c>
      <c r="N958" t="s">
        <v>24</v>
      </c>
      <c r="O958" t="s">
        <v>96</v>
      </c>
      <c r="P958">
        <v>90</v>
      </c>
      <c r="Q958">
        <f>AVERAGE(Table1[funds_raised_millions])</f>
        <v>470.28289473684208</v>
      </c>
      <c r="R958">
        <f>AVERAGE(Table1[total_laid_off])</f>
        <v>236.96936274509804</v>
      </c>
    </row>
    <row r="959" spans="1:18" x14ac:dyDescent="0.25">
      <c r="A959" s="3" t="s">
        <v>1023</v>
      </c>
      <c r="B959" t="s">
        <v>94</v>
      </c>
      <c r="C959" t="s">
        <v>161</v>
      </c>
      <c r="D959">
        <v>18</v>
      </c>
      <c r="E959" s="1">
        <v>0.15</v>
      </c>
      <c r="F959" s="1" t="str">
        <f>IF(Table1[[#This Row],[percentage_laid_off]]=100%,"1","0")</f>
        <v>0</v>
      </c>
      <c r="G959" t="s">
        <v>28</v>
      </c>
      <c r="H959" s="2">
        <v>44658</v>
      </c>
      <c r="I959" s="2" t="str">
        <f>TEXT(Table1[[#This Row],[date]],"dd")</f>
        <v>07</v>
      </c>
      <c r="J959" s="20">
        <f>DATE(2000,MONTH(Table1[[#This Row],[date]]),1)</f>
        <v>36617</v>
      </c>
      <c r="K959" s="18" t="str">
        <f>TEXT(Table1[[#This Row],[date]],"mm")</f>
        <v>04</v>
      </c>
      <c r="L959" s="16" t="s">
        <v>37</v>
      </c>
      <c r="M959">
        <v>2022</v>
      </c>
      <c r="N959" t="s">
        <v>24</v>
      </c>
      <c r="O959" t="s">
        <v>96</v>
      </c>
      <c r="P959">
        <v>90</v>
      </c>
      <c r="Q959">
        <f>AVERAGE(Table1[funds_raised_millions])</f>
        <v>470.28289473684208</v>
      </c>
      <c r="R959">
        <f>AVERAGE(Table1[total_laid_off])</f>
        <v>236.96936274509804</v>
      </c>
    </row>
    <row r="960" spans="1:18" x14ac:dyDescent="0.25">
      <c r="A960" s="3" t="s">
        <v>1024</v>
      </c>
      <c r="B960" t="s">
        <v>40</v>
      </c>
      <c r="C960" t="s">
        <v>174</v>
      </c>
      <c r="D960">
        <v>30</v>
      </c>
      <c r="E960" s="1">
        <v>0.3</v>
      </c>
      <c r="F960" s="1" t="str">
        <f>IF(Table1[[#This Row],[percentage_laid_off]]=100%,"1","0")</f>
        <v>0</v>
      </c>
      <c r="G960" t="s">
        <v>28</v>
      </c>
      <c r="H960" s="2">
        <v>44754</v>
      </c>
      <c r="I960" s="2" t="str">
        <f>TEXT(Table1[[#This Row],[date]],"dd")</f>
        <v>12</v>
      </c>
      <c r="J960" s="20">
        <f>DATE(2000,MONTH(Table1[[#This Row],[date]]),1)</f>
        <v>36708</v>
      </c>
      <c r="K960" s="18" t="str">
        <f>TEXT(Table1[[#This Row],[date]],"mm")</f>
        <v>07</v>
      </c>
      <c r="L960" s="16" t="s">
        <v>17</v>
      </c>
      <c r="M960">
        <v>2022</v>
      </c>
      <c r="N960" t="s">
        <v>30</v>
      </c>
      <c r="O960" t="s">
        <v>19</v>
      </c>
      <c r="P960">
        <v>114</v>
      </c>
      <c r="Q960">
        <f>AVERAGE(Table1[funds_raised_millions])</f>
        <v>470.28289473684208</v>
      </c>
      <c r="R960">
        <f>AVERAGE(Table1[total_laid_off])</f>
        <v>236.96936274509804</v>
      </c>
    </row>
    <row r="961" spans="1:18" x14ac:dyDescent="0.25">
      <c r="A961" s="3" t="s">
        <v>1025</v>
      </c>
      <c r="B961" t="s">
        <v>13</v>
      </c>
      <c r="C961" t="s">
        <v>167</v>
      </c>
      <c r="D961">
        <v>86</v>
      </c>
      <c r="E961" s="1">
        <v>0.4</v>
      </c>
      <c r="F961" s="1" t="str">
        <f>IF(Table1[[#This Row],[percentage_laid_off]]=100%,"1","0")</f>
        <v>0</v>
      </c>
      <c r="G961" t="s">
        <v>28</v>
      </c>
      <c r="H961" s="2">
        <v>44047</v>
      </c>
      <c r="I961" s="2" t="str">
        <f>TEXT(Table1[[#This Row],[date]],"dd")</f>
        <v>04</v>
      </c>
      <c r="J961" s="20">
        <f>DATE(2000,MONTH(Table1[[#This Row],[date]]),1)</f>
        <v>36739</v>
      </c>
      <c r="K961" s="18" t="str">
        <f>TEXT(Table1[[#This Row],[date]],"mm")</f>
        <v>08</v>
      </c>
      <c r="L961" s="16" t="s">
        <v>53</v>
      </c>
      <c r="M961">
        <v>2020</v>
      </c>
      <c r="N961" t="s">
        <v>35</v>
      </c>
      <c r="O961" t="s">
        <v>19</v>
      </c>
      <c r="P961">
        <v>72</v>
      </c>
      <c r="Q961">
        <f>AVERAGE(Table1[funds_raised_millions])</f>
        <v>470.28289473684208</v>
      </c>
      <c r="R961">
        <f>AVERAGE(Table1[total_laid_off])</f>
        <v>236.96936274509804</v>
      </c>
    </row>
    <row r="962" spans="1:18" x14ac:dyDescent="0.25">
      <c r="A962" s="3" t="s">
        <v>1026</v>
      </c>
      <c r="B962" t="s">
        <v>81</v>
      </c>
      <c r="C962" t="s">
        <v>51</v>
      </c>
      <c r="D962">
        <v>150</v>
      </c>
      <c r="E962" t="s">
        <v>15</v>
      </c>
      <c r="F962" s="1" t="str">
        <f>IF(Table1[[#This Row],[percentage_laid_off]]=100%,"1","0")</f>
        <v>0</v>
      </c>
      <c r="G962" t="b">
        <v>0</v>
      </c>
      <c r="H962" s="2">
        <v>44613</v>
      </c>
      <c r="I962" s="2" t="str">
        <f>TEXT(Table1[[#This Row],[date]],"dd")</f>
        <v>21</v>
      </c>
      <c r="J962" s="20">
        <f>DATE(2000,MONTH(Table1[[#This Row],[date]]),1)</f>
        <v>36557</v>
      </c>
      <c r="K962" s="18" t="str">
        <f>TEXT(Table1[[#This Row],[date]],"mm")</f>
        <v>02</v>
      </c>
      <c r="L962" s="16" t="s">
        <v>42</v>
      </c>
      <c r="M962">
        <v>2022</v>
      </c>
      <c r="N962" t="s">
        <v>24</v>
      </c>
      <c r="O962" t="s">
        <v>83</v>
      </c>
      <c r="P962">
        <v>24</v>
      </c>
      <c r="Q962">
        <f>AVERAGE(Table1[funds_raised_millions])</f>
        <v>470.28289473684208</v>
      </c>
      <c r="R962">
        <f>AVERAGE(Table1[total_laid_off])</f>
        <v>236.96936274509804</v>
      </c>
    </row>
    <row r="963" spans="1:18" x14ac:dyDescent="0.25">
      <c r="A963" s="3" t="s">
        <v>1027</v>
      </c>
      <c r="B963" t="s">
        <v>81</v>
      </c>
      <c r="C963" t="s">
        <v>51</v>
      </c>
      <c r="D963" t="s">
        <v>15</v>
      </c>
      <c r="E963" s="1">
        <v>1</v>
      </c>
      <c r="F963" s="1" t="str">
        <f>IF(Table1[[#This Row],[percentage_laid_off]]=100%,"1","0")</f>
        <v>1</v>
      </c>
      <c r="G963" t="s">
        <v>114</v>
      </c>
      <c r="H963" s="2">
        <v>44813</v>
      </c>
      <c r="I963" s="2" t="str">
        <f>TEXT(Table1[[#This Row],[date]],"dd")</f>
        <v>09</v>
      </c>
      <c r="J963" s="20">
        <f>DATE(2000,MONTH(Table1[[#This Row],[date]]),1)</f>
        <v>36770</v>
      </c>
      <c r="K963" s="18" t="str">
        <f>TEXT(Table1[[#This Row],[date]],"mm")</f>
        <v>09</v>
      </c>
      <c r="L963" s="16" t="s">
        <v>70</v>
      </c>
      <c r="M963">
        <v>2022</v>
      </c>
      <c r="N963" t="s">
        <v>35</v>
      </c>
      <c r="O963" t="s">
        <v>83</v>
      </c>
      <c r="P963">
        <v>20</v>
      </c>
      <c r="Q963">
        <f>AVERAGE(Table1[funds_raised_millions])</f>
        <v>470.28289473684208</v>
      </c>
      <c r="R963">
        <f>AVERAGE(Table1[total_laid_off])</f>
        <v>236.96936274509804</v>
      </c>
    </row>
    <row r="964" spans="1:18" x14ac:dyDescent="0.25">
      <c r="A964" s="3" t="s">
        <v>1028</v>
      </c>
      <c r="B964" t="s">
        <v>13</v>
      </c>
      <c r="C964" t="s">
        <v>34</v>
      </c>
      <c r="D964" t="s">
        <v>15</v>
      </c>
      <c r="E964" s="1">
        <v>0.14000000000000001</v>
      </c>
      <c r="F964" s="1" t="str">
        <f>IF(Table1[[#This Row],[percentage_laid_off]]=100%,"1","0")</f>
        <v>0</v>
      </c>
      <c r="G964" t="s">
        <v>28</v>
      </c>
      <c r="H964" s="2">
        <v>45261</v>
      </c>
      <c r="I964" s="2" t="str">
        <f>TEXT(Table1[[#This Row],[date]],"dd")</f>
        <v>01</v>
      </c>
      <c r="J964" s="20">
        <f>DATE(2000,MONTH(Table1[[#This Row],[date]]),1)</f>
        <v>36861</v>
      </c>
      <c r="K964" s="18" t="str">
        <f>TEXT(Table1[[#This Row],[date]],"mm")</f>
        <v>12</v>
      </c>
      <c r="L964" s="16" t="s">
        <v>61</v>
      </c>
      <c r="M964">
        <v>2023</v>
      </c>
      <c r="N964" t="s">
        <v>38</v>
      </c>
      <c r="O964" t="s">
        <v>19</v>
      </c>
      <c r="P964">
        <v>158</v>
      </c>
      <c r="Q964">
        <f>AVERAGE(Table1[funds_raised_millions])</f>
        <v>470.28289473684208</v>
      </c>
      <c r="R964">
        <f>AVERAGE(Table1[total_laid_off])</f>
        <v>236.96936274509804</v>
      </c>
    </row>
    <row r="965" spans="1:18" x14ac:dyDescent="0.25">
      <c r="A965" s="3" t="s">
        <v>1029</v>
      </c>
      <c r="B965" t="s">
        <v>13</v>
      </c>
      <c r="C965" t="s">
        <v>22</v>
      </c>
      <c r="D965">
        <v>130</v>
      </c>
      <c r="E965" s="1">
        <v>0.15</v>
      </c>
      <c r="F965" s="1" t="str">
        <f>IF(Table1[[#This Row],[percentage_laid_off]]=100%,"1","0")</f>
        <v>0</v>
      </c>
      <c r="G965" t="s">
        <v>28</v>
      </c>
      <c r="H965" s="2">
        <v>44815</v>
      </c>
      <c r="I965" s="2" t="str">
        <f>TEXT(Table1[[#This Row],[date]],"dd")</f>
        <v>11</v>
      </c>
      <c r="J965" s="20">
        <f>DATE(2000,MONTH(Table1[[#This Row],[date]]),1)</f>
        <v>36770</v>
      </c>
      <c r="K965" s="18" t="str">
        <f>TEXT(Table1[[#This Row],[date]],"mm")</f>
        <v>09</v>
      </c>
      <c r="L965" s="16" t="s">
        <v>70</v>
      </c>
      <c r="M965">
        <v>2022</v>
      </c>
      <c r="N965" t="s">
        <v>71</v>
      </c>
      <c r="O965" t="s">
        <v>19</v>
      </c>
      <c r="P965">
        <v>6</v>
      </c>
      <c r="Q965">
        <f>AVERAGE(Table1[funds_raised_millions])</f>
        <v>470.28289473684208</v>
      </c>
      <c r="R965">
        <f>AVERAGE(Table1[total_laid_off])</f>
        <v>236.96936274509804</v>
      </c>
    </row>
    <row r="966" spans="1:18" x14ac:dyDescent="0.25">
      <c r="A966" s="3" t="s">
        <v>1030</v>
      </c>
      <c r="B966" t="s">
        <v>68</v>
      </c>
      <c r="C966" t="s">
        <v>82</v>
      </c>
      <c r="D966">
        <v>18</v>
      </c>
      <c r="E966" s="1">
        <v>0.22</v>
      </c>
      <c r="F966" s="1" t="str">
        <f>IF(Table1[[#This Row],[percentage_laid_off]]=100%,"1","0")</f>
        <v>0</v>
      </c>
      <c r="G966" t="s">
        <v>28</v>
      </c>
      <c r="H966" s="2">
        <v>43945</v>
      </c>
      <c r="I966" s="2" t="str">
        <f>TEXT(Table1[[#This Row],[date]],"dd")</f>
        <v>24</v>
      </c>
      <c r="J966" s="20">
        <f>DATE(2000,MONTH(Table1[[#This Row],[date]]),1)</f>
        <v>36617</v>
      </c>
      <c r="K966" s="18" t="str">
        <f>TEXT(Table1[[#This Row],[date]],"mm")</f>
        <v>04</v>
      </c>
      <c r="L966" s="16" t="s">
        <v>37</v>
      </c>
      <c r="M966">
        <v>2020</v>
      </c>
      <c r="N966" t="s">
        <v>30</v>
      </c>
      <c r="O966" t="s">
        <v>19</v>
      </c>
      <c r="P966">
        <v>15</v>
      </c>
      <c r="Q966">
        <f>AVERAGE(Table1[funds_raised_millions])</f>
        <v>470.28289473684208</v>
      </c>
      <c r="R966">
        <f>AVERAGE(Table1[total_laid_off])</f>
        <v>236.96936274509804</v>
      </c>
    </row>
    <row r="967" spans="1:18" x14ac:dyDescent="0.25">
      <c r="A967" s="3" t="s">
        <v>1030</v>
      </c>
      <c r="B967" t="s">
        <v>68</v>
      </c>
      <c r="C967" t="s">
        <v>82</v>
      </c>
      <c r="D967">
        <v>22</v>
      </c>
      <c r="E967" s="1">
        <v>0.49</v>
      </c>
      <c r="F967" s="1" t="str">
        <f>IF(Table1[[#This Row],[percentage_laid_off]]=100%,"1","0")</f>
        <v>0</v>
      </c>
      <c r="G967" t="s">
        <v>28</v>
      </c>
      <c r="H967" s="2">
        <v>44032</v>
      </c>
      <c r="I967" s="2" t="str">
        <f>TEXT(Table1[[#This Row],[date]],"dd")</f>
        <v>20</v>
      </c>
      <c r="J967" s="20">
        <f>DATE(2000,MONTH(Table1[[#This Row],[date]]),1)</f>
        <v>36708</v>
      </c>
      <c r="K967" s="18" t="str">
        <f>TEXT(Table1[[#This Row],[date]],"mm")</f>
        <v>07</v>
      </c>
      <c r="L967" s="16" t="s">
        <v>17</v>
      </c>
      <c r="M967">
        <v>2020</v>
      </c>
      <c r="N967" t="s">
        <v>30</v>
      </c>
      <c r="O967" t="s">
        <v>19</v>
      </c>
      <c r="P967">
        <v>15</v>
      </c>
      <c r="Q967">
        <f>AVERAGE(Table1[funds_raised_millions])</f>
        <v>470.28289473684208</v>
      </c>
      <c r="R967">
        <f>AVERAGE(Table1[total_laid_off])</f>
        <v>236.96936274509804</v>
      </c>
    </row>
    <row r="968" spans="1:18" x14ac:dyDescent="0.25">
      <c r="A968" s="3" t="s">
        <v>1031</v>
      </c>
      <c r="B968" t="s">
        <v>27</v>
      </c>
      <c r="C968" t="s">
        <v>51</v>
      </c>
      <c r="D968">
        <v>14</v>
      </c>
      <c r="E968" s="1">
        <v>7.0000000000000007E-2</v>
      </c>
      <c r="F968" s="1" t="str">
        <f>IF(Table1[[#This Row],[percentage_laid_off]]=100%,"1","0")</f>
        <v>0</v>
      </c>
      <c r="G968" t="s">
        <v>16</v>
      </c>
      <c r="H968" s="2">
        <v>44078</v>
      </c>
      <c r="I968" s="2" t="str">
        <f>TEXT(Table1[[#This Row],[date]],"dd")</f>
        <v>04</v>
      </c>
      <c r="J968" s="20">
        <f>DATE(2000,MONTH(Table1[[#This Row],[date]]),1)</f>
        <v>36770</v>
      </c>
      <c r="K968" s="18" t="str">
        <f>TEXT(Table1[[#This Row],[date]],"mm")</f>
        <v>09</v>
      </c>
      <c r="L968" s="16" t="s">
        <v>70</v>
      </c>
      <c r="M968">
        <v>2020</v>
      </c>
      <c r="N968" t="s">
        <v>47</v>
      </c>
      <c r="O968" t="s">
        <v>31</v>
      </c>
      <c r="P968" t="s">
        <v>15</v>
      </c>
      <c r="Q968">
        <f>AVERAGE(Table1[funds_raised_millions])</f>
        <v>470.28289473684208</v>
      </c>
      <c r="R968">
        <f>AVERAGE(Table1[total_laid_off])</f>
        <v>236.96936274509804</v>
      </c>
    </row>
    <row r="969" spans="1:18" x14ac:dyDescent="0.25">
      <c r="A969" s="3" t="s">
        <v>1032</v>
      </c>
      <c r="B969" t="s">
        <v>170</v>
      </c>
      <c r="C969" t="s">
        <v>82</v>
      </c>
      <c r="D969">
        <v>20</v>
      </c>
      <c r="E969" t="s">
        <v>15</v>
      </c>
      <c r="F969" s="1" t="str">
        <f>IF(Table1[[#This Row],[percentage_laid_off]]=100%,"1","0")</f>
        <v>0</v>
      </c>
      <c r="G969" t="b">
        <v>0</v>
      </c>
      <c r="H969" s="2">
        <v>44651</v>
      </c>
      <c r="I969" s="2" t="str">
        <f>TEXT(Table1[[#This Row],[date]],"dd")</f>
        <v>31</v>
      </c>
      <c r="J969" s="20">
        <f>DATE(2000,MONTH(Table1[[#This Row],[date]]),1)</f>
        <v>36586</v>
      </c>
      <c r="K969" s="18" t="str">
        <f>TEXT(Table1[[#This Row],[date]],"mm")</f>
        <v>03</v>
      </c>
      <c r="L969" s="16" t="s">
        <v>57</v>
      </c>
      <c r="M969">
        <v>2022</v>
      </c>
      <c r="N969" t="s">
        <v>30</v>
      </c>
      <c r="O969" t="s">
        <v>172</v>
      </c>
      <c r="P969">
        <v>42</v>
      </c>
      <c r="Q969">
        <f>AVERAGE(Table1[funds_raised_millions])</f>
        <v>470.28289473684208</v>
      </c>
      <c r="R969">
        <f>AVERAGE(Table1[total_laid_off])</f>
        <v>236.96936274509804</v>
      </c>
    </row>
    <row r="970" spans="1:18" x14ac:dyDescent="0.25">
      <c r="A970" s="3" t="s">
        <v>1032</v>
      </c>
      <c r="B970" t="s">
        <v>170</v>
      </c>
      <c r="C970" t="s">
        <v>82</v>
      </c>
      <c r="D970">
        <v>20</v>
      </c>
      <c r="E970" s="1">
        <v>0.25</v>
      </c>
      <c r="F970" s="1" t="str">
        <f>IF(Table1[[#This Row],[percentage_laid_off]]=100%,"1","0")</f>
        <v>0</v>
      </c>
      <c r="G970" t="s">
        <v>28</v>
      </c>
      <c r="H970" s="2">
        <v>45048</v>
      </c>
      <c r="I970" s="2" t="str">
        <f>TEXT(Table1[[#This Row],[date]],"dd")</f>
        <v>02</v>
      </c>
      <c r="J970" s="20">
        <f>DATE(2000,MONTH(Table1[[#This Row],[date]]),1)</f>
        <v>36647</v>
      </c>
      <c r="K970" s="18" t="str">
        <f>TEXT(Table1[[#This Row],[date]],"mm")</f>
        <v>05</v>
      </c>
      <c r="L970" s="16" t="s">
        <v>86</v>
      </c>
      <c r="M970">
        <v>2023</v>
      </c>
      <c r="N970" t="s">
        <v>30</v>
      </c>
      <c r="O970" t="s">
        <v>172</v>
      </c>
      <c r="P970">
        <v>42</v>
      </c>
      <c r="Q970">
        <f>AVERAGE(Table1[funds_raised_millions])</f>
        <v>470.28289473684208</v>
      </c>
      <c r="R970">
        <f>AVERAGE(Table1[total_laid_off])</f>
        <v>236.96936274509804</v>
      </c>
    </row>
    <row r="971" spans="1:18" x14ac:dyDescent="0.25">
      <c r="A971" s="3" t="s">
        <v>1033</v>
      </c>
      <c r="B971" t="s">
        <v>1034</v>
      </c>
      <c r="C971" t="s">
        <v>34</v>
      </c>
      <c r="D971">
        <v>80</v>
      </c>
      <c r="E971" s="1">
        <v>0.12</v>
      </c>
      <c r="F971" s="1" t="str">
        <f>IF(Table1[[#This Row],[percentage_laid_off]]=100%,"1","0")</f>
        <v>0</v>
      </c>
      <c r="G971" t="s">
        <v>28</v>
      </c>
      <c r="H971" s="2">
        <v>44658</v>
      </c>
      <c r="I971" s="2" t="str">
        <f>TEXT(Table1[[#This Row],[date]],"dd")</f>
        <v>07</v>
      </c>
      <c r="J971" s="20">
        <f>DATE(2000,MONTH(Table1[[#This Row],[date]]),1)</f>
        <v>36617</v>
      </c>
      <c r="K971" s="18" t="str">
        <f>TEXT(Table1[[#This Row],[date]],"mm")</f>
        <v>04</v>
      </c>
      <c r="L971" s="16" t="s">
        <v>37</v>
      </c>
      <c r="M971">
        <v>2022</v>
      </c>
      <c r="N971" t="s">
        <v>43</v>
      </c>
      <c r="O971" t="s">
        <v>172</v>
      </c>
      <c r="P971">
        <v>335</v>
      </c>
      <c r="Q971">
        <f>AVERAGE(Table1[funds_raised_millions])</f>
        <v>470.28289473684208</v>
      </c>
      <c r="R971">
        <f>AVERAGE(Table1[total_laid_off])</f>
        <v>236.96936274509804</v>
      </c>
    </row>
    <row r="972" spans="1:18" x14ac:dyDescent="0.25">
      <c r="A972" s="3" t="s">
        <v>1035</v>
      </c>
      <c r="B972" t="s">
        <v>142</v>
      </c>
      <c r="C972" t="s">
        <v>41</v>
      </c>
      <c r="D972">
        <v>300</v>
      </c>
      <c r="E972" s="1">
        <v>0.1</v>
      </c>
      <c r="F972" s="1" t="str">
        <f>IF(Table1[[#This Row],[percentage_laid_off]]=100%,"1","0")</f>
        <v>0</v>
      </c>
      <c r="G972" t="s">
        <v>16</v>
      </c>
      <c r="H972" s="2">
        <v>44943</v>
      </c>
      <c r="I972" s="2" t="str">
        <f>TEXT(Table1[[#This Row],[date]],"dd")</f>
        <v>17</v>
      </c>
      <c r="J972" s="20">
        <f>DATE(2000,MONTH(Table1[[#This Row],[date]]),1)</f>
        <v>36526</v>
      </c>
      <c r="K972" s="18" t="str">
        <f>TEXT(Table1[[#This Row],[date]],"mm")</f>
        <v>01</v>
      </c>
      <c r="L972" s="16" t="s">
        <v>29</v>
      </c>
      <c r="M972">
        <v>2023</v>
      </c>
      <c r="N972" t="s">
        <v>38</v>
      </c>
      <c r="O972" t="s">
        <v>31</v>
      </c>
      <c r="P972">
        <v>1200</v>
      </c>
      <c r="Q972">
        <f>AVERAGE(Table1[funds_raised_millions])</f>
        <v>470.28289473684208</v>
      </c>
      <c r="R972">
        <f>AVERAGE(Table1[total_laid_off])</f>
        <v>236.96936274509804</v>
      </c>
    </row>
    <row r="973" spans="1:18" x14ac:dyDescent="0.25">
      <c r="A973" s="3" t="s">
        <v>1036</v>
      </c>
      <c r="B973" t="s">
        <v>13</v>
      </c>
      <c r="C973" t="s">
        <v>69</v>
      </c>
      <c r="D973">
        <v>80</v>
      </c>
      <c r="E973" s="1">
        <v>0.13</v>
      </c>
      <c r="F973" s="1" t="str">
        <f>IF(Table1[[#This Row],[percentage_laid_off]]=100%,"1","0")</f>
        <v>0</v>
      </c>
      <c r="G973" t="s">
        <v>28</v>
      </c>
      <c r="H973" s="2">
        <v>43950</v>
      </c>
      <c r="I973" s="2" t="str">
        <f>TEXT(Table1[[#This Row],[date]],"dd")</f>
        <v>29</v>
      </c>
      <c r="J973" s="20">
        <f>DATE(2000,MONTH(Table1[[#This Row],[date]]),1)</f>
        <v>36617</v>
      </c>
      <c r="K973" s="18" t="str">
        <f>TEXT(Table1[[#This Row],[date]],"mm")</f>
        <v>04</v>
      </c>
      <c r="L973" s="16" t="s">
        <v>37</v>
      </c>
      <c r="M973">
        <v>2020</v>
      </c>
      <c r="N973" t="s">
        <v>43</v>
      </c>
      <c r="O973" t="s">
        <v>19</v>
      </c>
      <c r="P973">
        <v>765</v>
      </c>
      <c r="Q973">
        <f>AVERAGE(Table1[funds_raised_millions])</f>
        <v>470.28289473684208</v>
      </c>
      <c r="R973">
        <f>AVERAGE(Table1[total_laid_off])</f>
        <v>236.96936274509804</v>
      </c>
    </row>
    <row r="974" spans="1:18" x14ac:dyDescent="0.25">
      <c r="A974" s="3" t="s">
        <v>1037</v>
      </c>
      <c r="B974" t="s">
        <v>68</v>
      </c>
      <c r="C974" t="s">
        <v>190</v>
      </c>
      <c r="D974" t="s">
        <v>15</v>
      </c>
      <c r="E974" s="1">
        <v>0.15</v>
      </c>
      <c r="F974" s="1" t="str">
        <f>IF(Table1[[#This Row],[percentage_laid_off]]=100%,"1","0")</f>
        <v>0</v>
      </c>
      <c r="G974" t="s">
        <v>28</v>
      </c>
      <c r="H974" s="2">
        <v>45231</v>
      </c>
      <c r="I974" s="2" t="str">
        <f>TEXT(Table1[[#This Row],[date]],"dd")</f>
        <v>01</v>
      </c>
      <c r="J974" s="20">
        <f>DATE(2000,MONTH(Table1[[#This Row],[date]]),1)</f>
        <v>36831</v>
      </c>
      <c r="K974" s="18" t="str">
        <f>TEXT(Table1[[#This Row],[date]],"mm")</f>
        <v>11</v>
      </c>
      <c r="L974" s="16" t="s">
        <v>23</v>
      </c>
      <c r="M974">
        <v>2023</v>
      </c>
      <c r="N974" t="s">
        <v>35</v>
      </c>
      <c r="O974" t="s">
        <v>19</v>
      </c>
      <c r="P974">
        <v>33</v>
      </c>
      <c r="Q974">
        <f>AVERAGE(Table1[funds_raised_millions])</f>
        <v>470.28289473684208</v>
      </c>
      <c r="R974">
        <f>AVERAGE(Table1[total_laid_off])</f>
        <v>236.96936274509804</v>
      </c>
    </row>
    <row r="975" spans="1:18" x14ac:dyDescent="0.25">
      <c r="A975" s="3" t="s">
        <v>1038</v>
      </c>
      <c r="B975" t="s">
        <v>40</v>
      </c>
      <c r="C975" t="s">
        <v>167</v>
      </c>
      <c r="D975">
        <v>13</v>
      </c>
      <c r="E975" s="1">
        <v>1</v>
      </c>
      <c r="F975" s="1" t="str">
        <f>IF(Table1[[#This Row],[percentage_laid_off]]=100%,"1","0")</f>
        <v>1</v>
      </c>
      <c r="G975" t="s">
        <v>114</v>
      </c>
      <c r="H975" s="2">
        <v>44288</v>
      </c>
      <c r="I975" s="2" t="str">
        <f>TEXT(Table1[[#This Row],[date]],"dd")</f>
        <v>02</v>
      </c>
      <c r="J975" s="20">
        <f>DATE(2000,MONTH(Table1[[#This Row],[date]]),1)</f>
        <v>36617</v>
      </c>
      <c r="K975" s="18" t="str">
        <f>TEXT(Table1[[#This Row],[date]],"mm")</f>
        <v>04</v>
      </c>
      <c r="L975" s="16" t="s">
        <v>37</v>
      </c>
      <c r="M975">
        <v>2021</v>
      </c>
      <c r="N975" t="s">
        <v>47</v>
      </c>
      <c r="O975" t="s">
        <v>19</v>
      </c>
      <c r="P975" t="s">
        <v>15</v>
      </c>
      <c r="Q975">
        <f>AVERAGE(Table1[funds_raised_millions])</f>
        <v>470.28289473684208</v>
      </c>
      <c r="R975">
        <f>AVERAGE(Table1[total_laid_off])</f>
        <v>236.96936274509804</v>
      </c>
    </row>
    <row r="976" spans="1:18" x14ac:dyDescent="0.25">
      <c r="A976" s="3" t="s">
        <v>1039</v>
      </c>
      <c r="B976" t="s">
        <v>13</v>
      </c>
      <c r="C976" t="s">
        <v>167</v>
      </c>
      <c r="D976">
        <v>960</v>
      </c>
      <c r="E976" s="1">
        <v>0.06</v>
      </c>
      <c r="F976" s="1" t="str">
        <f>IF(Table1[[#This Row],[percentage_laid_off]]=100%,"1","0")</f>
        <v>0</v>
      </c>
      <c r="G976" t="s">
        <v>16</v>
      </c>
      <c r="H976" s="2">
        <v>44033</v>
      </c>
      <c r="I976" s="2" t="str">
        <f>TEXT(Table1[[#This Row],[date]],"dd")</f>
        <v>21</v>
      </c>
      <c r="J976" s="20">
        <f>DATE(2000,MONTH(Table1[[#This Row],[date]]),1)</f>
        <v>36708</v>
      </c>
      <c r="K976" s="18" t="str">
        <f>TEXT(Table1[[#This Row],[date]],"mm")</f>
        <v>07</v>
      </c>
      <c r="L976" s="16" t="s">
        <v>17</v>
      </c>
      <c r="M976">
        <v>2020</v>
      </c>
      <c r="N976" t="s">
        <v>71</v>
      </c>
      <c r="O976" t="s">
        <v>19</v>
      </c>
      <c r="P976">
        <v>154</v>
      </c>
      <c r="Q976">
        <f>AVERAGE(Table1[funds_raised_millions])</f>
        <v>470.28289473684208</v>
      </c>
      <c r="R976">
        <f>AVERAGE(Table1[total_laid_off])</f>
        <v>236.96936274509804</v>
      </c>
    </row>
    <row r="977" spans="1:18" x14ac:dyDescent="0.25">
      <c r="A977" s="3" t="s">
        <v>1040</v>
      </c>
      <c r="B977" t="s">
        <v>125</v>
      </c>
      <c r="C977" t="s">
        <v>22</v>
      </c>
      <c r="D977">
        <v>35</v>
      </c>
      <c r="E977" s="1">
        <v>0.35</v>
      </c>
      <c r="F977" s="1" t="str">
        <f>IF(Table1[[#This Row],[percentage_laid_off]]=100%,"1","0")</f>
        <v>0</v>
      </c>
      <c r="G977" t="s">
        <v>28</v>
      </c>
      <c r="H977" s="2">
        <v>44875</v>
      </c>
      <c r="I977" s="2" t="str">
        <f>TEXT(Table1[[#This Row],[date]],"dd")</f>
        <v>10</v>
      </c>
      <c r="J977" s="20">
        <f>DATE(2000,MONTH(Table1[[#This Row],[date]]),1)</f>
        <v>36831</v>
      </c>
      <c r="K977" s="18" t="str">
        <f>TEXT(Table1[[#This Row],[date]],"mm")</f>
        <v>11</v>
      </c>
      <c r="L977" s="16" t="s">
        <v>23</v>
      </c>
      <c r="M977">
        <v>2022</v>
      </c>
      <c r="N977" t="s">
        <v>139</v>
      </c>
      <c r="O977" t="s">
        <v>126</v>
      </c>
      <c r="P977">
        <v>2</v>
      </c>
      <c r="Q977">
        <f>AVERAGE(Table1[funds_raised_millions])</f>
        <v>470.28289473684208</v>
      </c>
      <c r="R977">
        <f>AVERAGE(Table1[total_laid_off])</f>
        <v>236.96936274509804</v>
      </c>
    </row>
    <row r="978" spans="1:18" x14ac:dyDescent="0.25">
      <c r="A978" s="3" t="s">
        <v>1041</v>
      </c>
      <c r="B978" t="s">
        <v>252</v>
      </c>
      <c r="C978" t="s">
        <v>34</v>
      </c>
      <c r="D978">
        <v>50</v>
      </c>
      <c r="E978" s="1">
        <v>0.17</v>
      </c>
      <c r="F978" s="1" t="str">
        <f>IF(Table1[[#This Row],[percentage_laid_off]]=100%,"1","0")</f>
        <v>0</v>
      </c>
      <c r="G978" t="s">
        <v>28</v>
      </c>
      <c r="H978" s="2">
        <v>44812</v>
      </c>
      <c r="I978" s="2" t="str">
        <f>TEXT(Table1[[#This Row],[date]],"dd")</f>
        <v>08</v>
      </c>
      <c r="J978" s="20">
        <f>DATE(2000,MONTH(Table1[[#This Row],[date]]),1)</f>
        <v>36770</v>
      </c>
      <c r="K978" s="18" t="str">
        <f>TEXT(Table1[[#This Row],[date]],"mm")</f>
        <v>09</v>
      </c>
      <c r="L978" s="16" t="s">
        <v>70</v>
      </c>
      <c r="M978">
        <v>2022</v>
      </c>
      <c r="N978" t="s">
        <v>47</v>
      </c>
      <c r="O978" t="s">
        <v>58</v>
      </c>
      <c r="P978">
        <v>165</v>
      </c>
      <c r="Q978">
        <f>AVERAGE(Table1[funds_raised_millions])</f>
        <v>470.28289473684208</v>
      </c>
      <c r="R978">
        <f>AVERAGE(Table1[total_laid_off])</f>
        <v>236.96936274509804</v>
      </c>
    </row>
    <row r="979" spans="1:18" x14ac:dyDescent="0.25">
      <c r="A979" s="3" t="s">
        <v>1042</v>
      </c>
      <c r="B979" t="s">
        <v>40</v>
      </c>
      <c r="C979" t="s">
        <v>82</v>
      </c>
      <c r="D979">
        <v>27</v>
      </c>
      <c r="E979" s="1">
        <v>0.18</v>
      </c>
      <c r="F979" s="1" t="str">
        <f>IF(Table1[[#This Row],[percentage_laid_off]]=100%,"1","0")</f>
        <v>0</v>
      </c>
      <c r="G979" t="s">
        <v>28</v>
      </c>
      <c r="H979" s="2">
        <v>44754</v>
      </c>
      <c r="I979" s="2" t="str">
        <f>TEXT(Table1[[#This Row],[date]],"dd")</f>
        <v>12</v>
      </c>
      <c r="J979" s="20">
        <f>DATE(2000,MONTH(Table1[[#This Row],[date]]),1)</f>
        <v>36708</v>
      </c>
      <c r="K979" s="18" t="str">
        <f>TEXT(Table1[[#This Row],[date]],"mm")</f>
        <v>07</v>
      </c>
      <c r="L979" s="16" t="s">
        <v>17</v>
      </c>
      <c r="M979">
        <v>2022</v>
      </c>
      <c r="N979" t="s">
        <v>35</v>
      </c>
      <c r="O979" t="s">
        <v>19</v>
      </c>
      <c r="P979">
        <v>115</v>
      </c>
      <c r="Q979">
        <f>AVERAGE(Table1[funds_raised_millions])</f>
        <v>470.28289473684208</v>
      </c>
      <c r="R979">
        <f>AVERAGE(Table1[total_laid_off])</f>
        <v>236.96936274509804</v>
      </c>
    </row>
    <row r="980" spans="1:18" x14ac:dyDescent="0.25">
      <c r="A980" s="3" t="s">
        <v>1043</v>
      </c>
      <c r="B980" t="s">
        <v>45</v>
      </c>
      <c r="C980" t="s">
        <v>64</v>
      </c>
      <c r="D980">
        <v>100</v>
      </c>
      <c r="E980" s="1">
        <v>0.15</v>
      </c>
      <c r="F980" s="1" t="str">
        <f>IF(Table1[[#This Row],[percentage_laid_off]]=100%,"1","0")</f>
        <v>0</v>
      </c>
      <c r="G980" t="s">
        <v>28</v>
      </c>
      <c r="H980" s="2">
        <v>44608</v>
      </c>
      <c r="I980" s="2" t="str">
        <f>TEXT(Table1[[#This Row],[date]],"dd")</f>
        <v>16</v>
      </c>
      <c r="J980" s="20">
        <f>DATE(2000,MONTH(Table1[[#This Row],[date]]),1)</f>
        <v>36557</v>
      </c>
      <c r="K980" s="18" t="str">
        <f>TEXT(Table1[[#This Row],[date]],"mm")</f>
        <v>02</v>
      </c>
      <c r="L980" s="16" t="s">
        <v>42</v>
      </c>
      <c r="M980">
        <v>2022</v>
      </c>
      <c r="N980" t="s">
        <v>43</v>
      </c>
      <c r="O980" t="s">
        <v>48</v>
      </c>
      <c r="P980">
        <v>118</v>
      </c>
      <c r="Q980">
        <f>AVERAGE(Table1[funds_raised_millions])</f>
        <v>470.28289473684208</v>
      </c>
      <c r="R980">
        <f>AVERAGE(Table1[total_laid_off])</f>
        <v>236.96936274509804</v>
      </c>
    </row>
    <row r="981" spans="1:18" x14ac:dyDescent="0.25">
      <c r="A981" s="3" t="s">
        <v>1044</v>
      </c>
      <c r="B981" t="s">
        <v>40</v>
      </c>
      <c r="C981" t="s">
        <v>66</v>
      </c>
      <c r="D981">
        <v>30</v>
      </c>
      <c r="E981" t="s">
        <v>15</v>
      </c>
      <c r="F981" s="1" t="str">
        <f>IF(Table1[[#This Row],[percentage_laid_off]]=100%,"1","0")</f>
        <v>0</v>
      </c>
      <c r="G981" t="b">
        <v>0</v>
      </c>
      <c r="H981" s="2">
        <v>43841</v>
      </c>
      <c r="I981" s="2" t="str">
        <f>TEXT(Table1[[#This Row],[date]],"dd")</f>
        <v>11</v>
      </c>
      <c r="J981" s="20">
        <f>DATE(2000,MONTH(Table1[[#This Row],[date]]),1)</f>
        <v>36526</v>
      </c>
      <c r="K981" s="18" t="str">
        <f>TEXT(Table1[[#This Row],[date]],"mm")</f>
        <v>01</v>
      </c>
      <c r="L981" s="16" t="s">
        <v>29</v>
      </c>
      <c r="M981">
        <v>2020</v>
      </c>
      <c r="N981" t="s">
        <v>38</v>
      </c>
      <c r="O981" t="s">
        <v>19</v>
      </c>
      <c r="P981">
        <v>42</v>
      </c>
      <c r="Q981">
        <f>AVERAGE(Table1[funds_raised_millions])</f>
        <v>470.28289473684208</v>
      </c>
      <c r="R981">
        <f>AVERAGE(Table1[total_laid_off])</f>
        <v>236.96936274509804</v>
      </c>
    </row>
    <row r="982" spans="1:18" x14ac:dyDescent="0.25">
      <c r="A982" s="3" t="s">
        <v>1044</v>
      </c>
      <c r="B982" t="s">
        <v>40</v>
      </c>
      <c r="C982" t="s">
        <v>66</v>
      </c>
      <c r="D982">
        <v>193</v>
      </c>
      <c r="E982" s="1">
        <v>0.11</v>
      </c>
      <c r="F982" s="1" t="str">
        <f>IF(Table1[[#This Row],[percentage_laid_off]]=100%,"1","0")</f>
        <v>0</v>
      </c>
      <c r="G982" t="s">
        <v>28</v>
      </c>
      <c r="H982" s="2">
        <v>44819</v>
      </c>
      <c r="I982" s="2" t="str">
        <f>TEXT(Table1[[#This Row],[date]],"dd")</f>
        <v>15</v>
      </c>
      <c r="J982" s="20">
        <f>DATE(2000,MONTH(Table1[[#This Row],[date]]),1)</f>
        <v>36770</v>
      </c>
      <c r="K982" s="18" t="str">
        <f>TEXT(Table1[[#This Row],[date]],"mm")</f>
        <v>09</v>
      </c>
      <c r="L982" s="16" t="s">
        <v>70</v>
      </c>
      <c r="M982">
        <v>2022</v>
      </c>
      <c r="N982" t="s">
        <v>38</v>
      </c>
      <c r="O982" t="s">
        <v>19</v>
      </c>
      <c r="P982">
        <v>42</v>
      </c>
      <c r="Q982">
        <f>AVERAGE(Table1[funds_raised_millions])</f>
        <v>470.28289473684208</v>
      </c>
      <c r="R982">
        <f>AVERAGE(Table1[total_laid_off])</f>
        <v>236.96936274509804</v>
      </c>
    </row>
    <row r="983" spans="1:18" x14ac:dyDescent="0.25">
      <c r="A983" s="3" t="s">
        <v>1045</v>
      </c>
      <c r="B983" t="s">
        <v>13</v>
      </c>
      <c r="C983" t="s">
        <v>22</v>
      </c>
      <c r="D983" t="s">
        <v>15</v>
      </c>
      <c r="E983" s="1">
        <v>0.1</v>
      </c>
      <c r="F983" s="1" t="str">
        <f>IF(Table1[[#This Row],[percentage_laid_off]]=100%,"1","0")</f>
        <v>0</v>
      </c>
      <c r="G983" t="s">
        <v>16</v>
      </c>
      <c r="H983" s="2">
        <v>44631</v>
      </c>
      <c r="I983" s="2" t="str">
        <f>TEXT(Table1[[#This Row],[date]],"dd")</f>
        <v>11</v>
      </c>
      <c r="J983" s="20">
        <f>DATE(2000,MONTH(Table1[[#This Row],[date]]),1)</f>
        <v>36586</v>
      </c>
      <c r="K983" s="18" t="str">
        <f>TEXT(Table1[[#This Row],[date]],"mm")</f>
        <v>03</v>
      </c>
      <c r="L983" s="16" t="s">
        <v>57</v>
      </c>
      <c r="M983">
        <v>2022</v>
      </c>
      <c r="N983" t="s">
        <v>38</v>
      </c>
      <c r="O983" t="s">
        <v>19</v>
      </c>
      <c r="P983">
        <v>16</v>
      </c>
      <c r="Q983">
        <f>AVERAGE(Table1[funds_raised_millions])</f>
        <v>470.28289473684208</v>
      </c>
      <c r="R983">
        <f>AVERAGE(Table1[total_laid_off])</f>
        <v>236.96936274509804</v>
      </c>
    </row>
    <row r="984" spans="1:18" x14ac:dyDescent="0.25">
      <c r="A984" s="3" t="s">
        <v>1046</v>
      </c>
      <c r="B984" t="s">
        <v>40</v>
      </c>
      <c r="C984" t="s">
        <v>161</v>
      </c>
      <c r="D984">
        <v>50</v>
      </c>
      <c r="E984" t="s">
        <v>15</v>
      </c>
      <c r="F984" s="1" t="str">
        <f>IF(Table1[[#This Row],[percentage_laid_off]]=100%,"1","0")</f>
        <v>0</v>
      </c>
      <c r="G984" t="b">
        <v>0</v>
      </c>
      <c r="H984" s="2">
        <v>43895</v>
      </c>
      <c r="I984" s="2" t="str">
        <f>TEXT(Table1[[#This Row],[date]],"dd")</f>
        <v>05</v>
      </c>
      <c r="J984" s="20">
        <f>DATE(2000,MONTH(Table1[[#This Row],[date]]),1)</f>
        <v>36586</v>
      </c>
      <c r="K984" s="18" t="str">
        <f>TEXT(Table1[[#This Row],[date]],"mm")</f>
        <v>03</v>
      </c>
      <c r="L984" s="16" t="s">
        <v>57</v>
      </c>
      <c r="M984">
        <v>2020</v>
      </c>
      <c r="N984" t="s">
        <v>38</v>
      </c>
      <c r="O984" t="s">
        <v>19</v>
      </c>
      <c r="P984">
        <v>46</v>
      </c>
      <c r="Q984">
        <f>AVERAGE(Table1[funds_raised_millions])</f>
        <v>470.28289473684208</v>
      </c>
      <c r="R984">
        <f>AVERAGE(Table1[total_laid_off])</f>
        <v>236.96936274509804</v>
      </c>
    </row>
    <row r="985" spans="1:18" x14ac:dyDescent="0.25">
      <c r="A985" s="3" t="s">
        <v>1047</v>
      </c>
      <c r="B985" t="s">
        <v>13</v>
      </c>
      <c r="C985" t="s">
        <v>66</v>
      </c>
      <c r="D985" t="s">
        <v>15</v>
      </c>
      <c r="E985" s="1">
        <v>0.16</v>
      </c>
      <c r="F985" s="1" t="str">
        <f>IF(Table1[[#This Row],[percentage_laid_off]]=100%,"1","0")</f>
        <v>0</v>
      </c>
      <c r="G985" t="s">
        <v>28</v>
      </c>
      <c r="H985" s="2">
        <v>44943</v>
      </c>
      <c r="I985" s="2" t="str">
        <f>TEXT(Table1[[#This Row],[date]],"dd")</f>
        <v>17</v>
      </c>
      <c r="J985" s="20">
        <f>DATE(2000,MONTH(Table1[[#This Row],[date]]),1)</f>
        <v>36526</v>
      </c>
      <c r="K985" s="18" t="str">
        <f>TEXT(Table1[[#This Row],[date]],"mm")</f>
        <v>01</v>
      </c>
      <c r="L985" s="16" t="s">
        <v>29</v>
      </c>
      <c r="M985">
        <v>2023</v>
      </c>
      <c r="N985" t="s">
        <v>38</v>
      </c>
      <c r="O985" t="s">
        <v>19</v>
      </c>
      <c r="P985">
        <v>12</v>
      </c>
      <c r="Q985">
        <f>AVERAGE(Table1[funds_raised_millions])</f>
        <v>470.28289473684208</v>
      </c>
      <c r="R985">
        <f>AVERAGE(Table1[total_laid_off])</f>
        <v>236.96936274509804</v>
      </c>
    </row>
    <row r="986" spans="1:18" x14ac:dyDescent="0.25">
      <c r="A986" s="3" t="s">
        <v>1048</v>
      </c>
      <c r="B986" t="s">
        <v>313</v>
      </c>
      <c r="C986" t="s">
        <v>41</v>
      </c>
      <c r="D986">
        <v>450</v>
      </c>
      <c r="E986" s="1">
        <v>0.15</v>
      </c>
      <c r="F986" s="1" t="str">
        <f>IF(Table1[[#This Row],[percentage_laid_off]]=100%,"1","0")</f>
        <v>0</v>
      </c>
      <c r="G986" t="s">
        <v>28</v>
      </c>
      <c r="H986" s="2">
        <v>43970</v>
      </c>
      <c r="I986" s="2" t="str">
        <f>TEXT(Table1[[#This Row],[date]],"dd")</f>
        <v>19</v>
      </c>
      <c r="J986" s="20">
        <f>DATE(2000,MONTH(Table1[[#This Row],[date]]),1)</f>
        <v>36647</v>
      </c>
      <c r="K986" s="18" t="str">
        <f>TEXT(Table1[[#This Row],[date]],"mm")</f>
        <v>05</v>
      </c>
      <c r="L986" s="16" t="s">
        <v>86</v>
      </c>
      <c r="M986">
        <v>2020</v>
      </c>
      <c r="N986" t="s">
        <v>43</v>
      </c>
      <c r="O986" t="s">
        <v>83</v>
      </c>
      <c r="P986">
        <v>157</v>
      </c>
      <c r="Q986">
        <f>AVERAGE(Table1[funds_raised_millions])</f>
        <v>470.28289473684208</v>
      </c>
      <c r="R986">
        <f>AVERAGE(Table1[total_laid_off])</f>
        <v>236.96936274509804</v>
      </c>
    </row>
    <row r="987" spans="1:18" x14ac:dyDescent="0.25">
      <c r="A987" s="3" t="s">
        <v>1049</v>
      </c>
      <c r="B987" t="s">
        <v>195</v>
      </c>
      <c r="C987" t="s">
        <v>69</v>
      </c>
      <c r="D987" t="s">
        <v>15</v>
      </c>
      <c r="E987" s="1">
        <v>1</v>
      </c>
      <c r="F987" s="1" t="str">
        <f>IF(Table1[[#This Row],[percentage_laid_off]]=100%,"1","0")</f>
        <v>1</v>
      </c>
      <c r="G987" t="s">
        <v>114</v>
      </c>
      <c r="H987" s="2">
        <v>44979</v>
      </c>
      <c r="I987" s="2" t="str">
        <f>TEXT(Table1[[#This Row],[date]],"dd")</f>
        <v>22</v>
      </c>
      <c r="J987" s="20">
        <f>DATE(2000,MONTH(Table1[[#This Row],[date]]),1)</f>
        <v>36557</v>
      </c>
      <c r="K987" s="18" t="str">
        <f>TEXT(Table1[[#This Row],[date]],"mm")</f>
        <v>02</v>
      </c>
      <c r="L987" s="16" t="s">
        <v>42</v>
      </c>
      <c r="M987">
        <v>2023</v>
      </c>
      <c r="N987" t="s">
        <v>139</v>
      </c>
      <c r="O987" t="s">
        <v>19</v>
      </c>
      <c r="P987">
        <v>57</v>
      </c>
      <c r="Q987">
        <f>AVERAGE(Table1[funds_raised_millions])</f>
        <v>470.28289473684208</v>
      </c>
      <c r="R987">
        <f>AVERAGE(Table1[total_laid_off])</f>
        <v>236.96936274509804</v>
      </c>
    </row>
    <row r="988" spans="1:18" x14ac:dyDescent="0.25">
      <c r="A988" s="3" t="s">
        <v>1050</v>
      </c>
      <c r="B988" t="s">
        <v>45</v>
      </c>
      <c r="C988" t="s">
        <v>174</v>
      </c>
      <c r="D988">
        <v>47</v>
      </c>
      <c r="E988" t="s">
        <v>15</v>
      </c>
      <c r="F988" s="1" t="str">
        <f>IF(Table1[[#This Row],[percentage_laid_off]]=100%,"1","0")</f>
        <v>0</v>
      </c>
      <c r="G988" t="b">
        <v>0</v>
      </c>
      <c r="H988" s="2">
        <v>43917</v>
      </c>
      <c r="I988" s="2" t="str">
        <f>TEXT(Table1[[#This Row],[date]],"dd")</f>
        <v>27</v>
      </c>
      <c r="J988" s="20">
        <f>DATE(2000,MONTH(Table1[[#This Row],[date]]),1)</f>
        <v>36586</v>
      </c>
      <c r="K988" s="18" t="str">
        <f>TEXT(Table1[[#This Row],[date]],"mm")</f>
        <v>03</v>
      </c>
      <c r="L988" s="16" t="s">
        <v>57</v>
      </c>
      <c r="M988">
        <v>2020</v>
      </c>
      <c r="N988" t="s">
        <v>35</v>
      </c>
      <c r="O988" t="s">
        <v>48</v>
      </c>
      <c r="P988">
        <v>263</v>
      </c>
      <c r="Q988">
        <f>AVERAGE(Table1[funds_raised_millions])</f>
        <v>470.28289473684208</v>
      </c>
      <c r="R988">
        <f>AVERAGE(Table1[total_laid_off])</f>
        <v>236.96936274509804</v>
      </c>
    </row>
    <row r="989" spans="1:18" x14ac:dyDescent="0.25">
      <c r="A989" s="3" t="s">
        <v>1050</v>
      </c>
      <c r="B989" t="s">
        <v>45</v>
      </c>
      <c r="C989" t="s">
        <v>174</v>
      </c>
      <c r="D989">
        <v>47</v>
      </c>
      <c r="E989" s="1">
        <v>0.1</v>
      </c>
      <c r="F989" s="1" t="str">
        <f>IF(Table1[[#This Row],[percentage_laid_off]]=100%,"1","0")</f>
        <v>0</v>
      </c>
      <c r="G989" t="s">
        <v>16</v>
      </c>
      <c r="H989" s="2">
        <v>43938</v>
      </c>
      <c r="I989" s="2" t="str">
        <f>TEXT(Table1[[#This Row],[date]],"dd")</f>
        <v>17</v>
      </c>
      <c r="J989" s="20">
        <f>DATE(2000,MONTH(Table1[[#This Row],[date]]),1)</f>
        <v>36617</v>
      </c>
      <c r="K989" s="18" t="str">
        <f>TEXT(Table1[[#This Row],[date]],"mm")</f>
        <v>04</v>
      </c>
      <c r="L989" s="16" t="s">
        <v>37</v>
      </c>
      <c r="M989">
        <v>2020</v>
      </c>
      <c r="N989" t="s">
        <v>35</v>
      </c>
      <c r="O989" t="s">
        <v>48</v>
      </c>
      <c r="P989">
        <v>263</v>
      </c>
      <c r="Q989">
        <f>AVERAGE(Table1[funds_raised_millions])</f>
        <v>470.28289473684208</v>
      </c>
      <c r="R989">
        <f>AVERAGE(Table1[total_laid_off])</f>
        <v>236.96936274509804</v>
      </c>
    </row>
    <row r="990" spans="1:18" x14ac:dyDescent="0.25">
      <c r="A990" s="3" t="s">
        <v>1050</v>
      </c>
      <c r="B990" t="s">
        <v>45</v>
      </c>
      <c r="C990" t="s">
        <v>174</v>
      </c>
      <c r="D990">
        <v>159</v>
      </c>
      <c r="E990" t="s">
        <v>15</v>
      </c>
      <c r="F990" s="1" t="str">
        <f>IF(Table1[[#This Row],[percentage_laid_off]]=100%,"1","0")</f>
        <v>0</v>
      </c>
      <c r="G990" t="b">
        <v>0</v>
      </c>
      <c r="H990" s="2">
        <v>44670</v>
      </c>
      <c r="I990" s="2" t="str">
        <f>TEXT(Table1[[#This Row],[date]],"dd")</f>
        <v>19</v>
      </c>
      <c r="J990" s="20">
        <f>DATE(2000,MONTH(Table1[[#This Row],[date]]),1)</f>
        <v>36617</v>
      </c>
      <c r="K990" s="18" t="str">
        <f>TEXT(Table1[[#This Row],[date]],"mm")</f>
        <v>04</v>
      </c>
      <c r="L990" s="16" t="s">
        <v>37</v>
      </c>
      <c r="M990">
        <v>2022</v>
      </c>
      <c r="N990" t="s">
        <v>47</v>
      </c>
      <c r="O990" t="s">
        <v>48</v>
      </c>
      <c r="P990">
        <v>788</v>
      </c>
      <c r="Q990">
        <f>AVERAGE(Table1[funds_raised_millions])</f>
        <v>470.28289473684208</v>
      </c>
      <c r="R990">
        <f>AVERAGE(Table1[total_laid_off])</f>
        <v>236.96936274509804</v>
      </c>
    </row>
    <row r="991" spans="1:18" x14ac:dyDescent="0.25">
      <c r="A991" s="3" t="s">
        <v>1050</v>
      </c>
      <c r="B991" t="s">
        <v>45</v>
      </c>
      <c r="C991" t="s">
        <v>174</v>
      </c>
      <c r="D991">
        <v>312</v>
      </c>
      <c r="E991" s="1">
        <v>0.12</v>
      </c>
      <c r="F991" s="1" t="str">
        <f>IF(Table1[[#This Row],[percentage_laid_off]]=100%,"1","0")</f>
        <v>0</v>
      </c>
      <c r="G991" t="s">
        <v>28</v>
      </c>
      <c r="H991" s="2">
        <v>44754</v>
      </c>
      <c r="I991" s="2" t="str">
        <f>TEXT(Table1[[#This Row],[date]],"dd")</f>
        <v>12</v>
      </c>
      <c r="J991" s="20">
        <f>DATE(2000,MONTH(Table1[[#This Row],[date]]),1)</f>
        <v>36708</v>
      </c>
      <c r="K991" s="18" t="str">
        <f>TEXT(Table1[[#This Row],[date]],"mm")</f>
        <v>07</v>
      </c>
      <c r="L991" s="16" t="s">
        <v>17</v>
      </c>
      <c r="M991">
        <v>2022</v>
      </c>
      <c r="N991" t="s">
        <v>47</v>
      </c>
      <c r="O991" t="s">
        <v>48</v>
      </c>
      <c r="P991">
        <v>788</v>
      </c>
      <c r="Q991">
        <f>AVERAGE(Table1[funds_raised_millions])</f>
        <v>470.28289473684208</v>
      </c>
      <c r="R991">
        <f>AVERAGE(Table1[total_laid_off])</f>
        <v>236.96936274509804</v>
      </c>
    </row>
    <row r="992" spans="1:18" x14ac:dyDescent="0.25">
      <c r="A992" s="3" t="s">
        <v>1050</v>
      </c>
      <c r="B992" t="s">
        <v>45</v>
      </c>
      <c r="C992" t="s">
        <v>174</v>
      </c>
      <c r="D992">
        <v>340</v>
      </c>
      <c r="E992" s="1">
        <v>0.15</v>
      </c>
      <c r="F992" s="1" t="str">
        <f>IF(Table1[[#This Row],[percentage_laid_off]]=100%,"1","0")</f>
        <v>0</v>
      </c>
      <c r="G992" t="s">
        <v>28</v>
      </c>
      <c r="H992" s="2">
        <v>44988</v>
      </c>
      <c r="I992" s="2" t="str">
        <f>TEXT(Table1[[#This Row],[date]],"dd")</f>
        <v>03</v>
      </c>
      <c r="J992" s="20">
        <f>DATE(2000,MONTH(Table1[[#This Row],[date]]),1)</f>
        <v>36586</v>
      </c>
      <c r="K992" s="18" t="str">
        <f>TEXT(Table1[[#This Row],[date]],"mm")</f>
        <v>03</v>
      </c>
      <c r="L992" s="16" t="s">
        <v>57</v>
      </c>
      <c r="M992">
        <v>2023</v>
      </c>
      <c r="N992" t="s">
        <v>47</v>
      </c>
      <c r="O992" t="s">
        <v>48</v>
      </c>
      <c r="P992">
        <v>788</v>
      </c>
      <c r="Q992">
        <f>AVERAGE(Table1[funds_raised_millions])</f>
        <v>470.28289473684208</v>
      </c>
      <c r="R992">
        <f>AVERAGE(Table1[total_laid_off])</f>
        <v>236.96936274509804</v>
      </c>
    </row>
    <row r="993" spans="1:18" x14ac:dyDescent="0.25">
      <c r="A993" s="3" t="s">
        <v>1050</v>
      </c>
      <c r="B993" t="s">
        <v>45</v>
      </c>
      <c r="C993" t="s">
        <v>174</v>
      </c>
      <c r="D993">
        <v>384</v>
      </c>
      <c r="E993" s="1">
        <v>0.12</v>
      </c>
      <c r="F993" s="1" t="str">
        <f>IF(Table1[[#This Row],[percentage_laid_off]]=100%,"1","0")</f>
        <v>0</v>
      </c>
      <c r="G993" t="s">
        <v>28</v>
      </c>
      <c r="H993" s="2">
        <v>44688</v>
      </c>
      <c r="I993" s="2" t="str">
        <f>TEXT(Table1[[#This Row],[date]],"dd")</f>
        <v>07</v>
      </c>
      <c r="J993" s="20">
        <f>DATE(2000,MONTH(Table1[[#This Row],[date]]),1)</f>
        <v>36647</v>
      </c>
      <c r="K993" s="18" t="str">
        <f>TEXT(Table1[[#This Row],[date]],"mm")</f>
        <v>05</v>
      </c>
      <c r="L993" s="16" t="s">
        <v>86</v>
      </c>
      <c r="M993">
        <v>2022</v>
      </c>
      <c r="N993" t="s">
        <v>47</v>
      </c>
      <c r="O993" t="s">
        <v>48</v>
      </c>
      <c r="P993">
        <v>788</v>
      </c>
      <c r="Q993">
        <f>AVERAGE(Table1[funds_raised_millions])</f>
        <v>470.28289473684208</v>
      </c>
      <c r="R993">
        <f>AVERAGE(Table1[total_laid_off])</f>
        <v>236.96936274509804</v>
      </c>
    </row>
    <row r="994" spans="1:18" x14ac:dyDescent="0.25">
      <c r="A994" s="3" t="s">
        <v>1051</v>
      </c>
      <c r="B994" t="s">
        <v>68</v>
      </c>
      <c r="C994" t="s">
        <v>174</v>
      </c>
      <c r="D994">
        <v>32</v>
      </c>
      <c r="E994" s="1">
        <v>0.6</v>
      </c>
      <c r="F994" s="1" t="str">
        <f>IF(Table1[[#This Row],[percentage_laid_off]]=100%,"1","0")</f>
        <v>0</v>
      </c>
      <c r="G994" t="s">
        <v>130</v>
      </c>
      <c r="H994" s="2">
        <v>43980</v>
      </c>
      <c r="I994" s="2" t="str">
        <f>TEXT(Table1[[#This Row],[date]],"dd")</f>
        <v>29</v>
      </c>
      <c r="J994" s="20">
        <f>DATE(2000,MONTH(Table1[[#This Row],[date]]),1)</f>
        <v>36647</v>
      </c>
      <c r="K994" s="18" t="str">
        <f>TEXT(Table1[[#This Row],[date]],"mm")</f>
        <v>05</v>
      </c>
      <c r="L994" s="16" t="s">
        <v>86</v>
      </c>
      <c r="M994">
        <v>2020</v>
      </c>
      <c r="N994" t="s">
        <v>24</v>
      </c>
      <c r="O994" t="s">
        <v>19</v>
      </c>
      <c r="P994">
        <v>17</v>
      </c>
      <c r="Q994">
        <f>AVERAGE(Table1[funds_raised_millions])</f>
        <v>470.28289473684208</v>
      </c>
      <c r="R994">
        <f>AVERAGE(Table1[total_laid_off])</f>
        <v>236.96936274509804</v>
      </c>
    </row>
    <row r="995" spans="1:18" x14ac:dyDescent="0.25">
      <c r="A995" s="3" t="s">
        <v>1052</v>
      </c>
      <c r="B995" t="s">
        <v>40</v>
      </c>
      <c r="C995" t="s">
        <v>174</v>
      </c>
      <c r="D995">
        <v>25</v>
      </c>
      <c r="E995" s="1">
        <v>0.75</v>
      </c>
      <c r="F995" s="1" t="str">
        <f>IF(Table1[[#This Row],[percentage_laid_off]]=100%,"1","0")</f>
        <v>0</v>
      </c>
      <c r="G995" t="s">
        <v>130</v>
      </c>
      <c r="H995" s="2">
        <v>43920</v>
      </c>
      <c r="I995" s="2" t="str">
        <f>TEXT(Table1[[#This Row],[date]],"dd")</f>
        <v>30</v>
      </c>
      <c r="J995" s="20">
        <f>DATE(2000,MONTH(Table1[[#This Row],[date]]),1)</f>
        <v>36586</v>
      </c>
      <c r="K995" s="18" t="str">
        <f>TEXT(Table1[[#This Row],[date]],"mm")</f>
        <v>03</v>
      </c>
      <c r="L995" s="16" t="s">
        <v>57</v>
      </c>
      <c r="M995">
        <v>2020</v>
      </c>
      <c r="N995" t="s">
        <v>24</v>
      </c>
      <c r="O995" t="s">
        <v>19</v>
      </c>
      <c r="P995">
        <v>18</v>
      </c>
      <c r="Q995">
        <f>AVERAGE(Table1[funds_raised_millions])</f>
        <v>470.28289473684208</v>
      </c>
      <c r="R995">
        <f>AVERAGE(Table1[total_laid_off])</f>
        <v>236.96936274509804</v>
      </c>
    </row>
    <row r="996" spans="1:18" x14ac:dyDescent="0.25">
      <c r="A996" s="3" t="s">
        <v>1053</v>
      </c>
      <c r="B996" t="s">
        <v>45</v>
      </c>
      <c r="C996" t="s">
        <v>120</v>
      </c>
      <c r="D996">
        <v>300</v>
      </c>
      <c r="E996" s="1">
        <v>7.0000000000000007E-2</v>
      </c>
      <c r="F996" s="1" t="str">
        <f>IF(Table1[[#This Row],[percentage_laid_off]]=100%,"1","0")</f>
        <v>0</v>
      </c>
      <c r="G996" t="s">
        <v>16</v>
      </c>
      <c r="H996" s="2">
        <v>45079</v>
      </c>
      <c r="I996" s="2" t="str">
        <f>TEXT(Table1[[#This Row],[date]],"dd")</f>
        <v>02</v>
      </c>
      <c r="J996" s="20">
        <f>DATE(2000,MONTH(Table1[[#This Row],[date]]),1)</f>
        <v>36678</v>
      </c>
      <c r="K996" s="18" t="str">
        <f>TEXT(Table1[[#This Row],[date]],"mm")</f>
        <v>06</v>
      </c>
      <c r="L996" s="16" t="s">
        <v>73</v>
      </c>
      <c r="M996">
        <v>2023</v>
      </c>
      <c r="N996" t="s">
        <v>100</v>
      </c>
      <c r="O996" t="s">
        <v>48</v>
      </c>
      <c r="P996">
        <v>507</v>
      </c>
      <c r="Q996">
        <f>AVERAGE(Table1[funds_raised_millions])</f>
        <v>470.28289473684208</v>
      </c>
      <c r="R996">
        <f>AVERAGE(Table1[total_laid_off])</f>
        <v>236.96936274509804</v>
      </c>
    </row>
    <row r="997" spans="1:18" x14ac:dyDescent="0.25">
      <c r="A997" s="3" t="s">
        <v>1053</v>
      </c>
      <c r="B997" t="s">
        <v>45</v>
      </c>
      <c r="C997" t="s">
        <v>120</v>
      </c>
      <c r="D997">
        <v>500</v>
      </c>
      <c r="E997" s="1">
        <v>0.15</v>
      </c>
      <c r="F997" s="1" t="str">
        <f>IF(Table1[[#This Row],[percentage_laid_off]]=100%,"1","0")</f>
        <v>0</v>
      </c>
      <c r="G997" t="s">
        <v>28</v>
      </c>
      <c r="H997" s="2">
        <v>44781</v>
      </c>
      <c r="I997" s="2" t="str">
        <f>TEXT(Table1[[#This Row],[date]],"dd")</f>
        <v>08</v>
      </c>
      <c r="J997" s="20">
        <f>DATE(2000,MONTH(Table1[[#This Row],[date]]),1)</f>
        <v>36739</v>
      </c>
      <c r="K997" s="18" t="str">
        <f>TEXT(Table1[[#This Row],[date]],"mm")</f>
        <v>08</v>
      </c>
      <c r="L997" s="16" t="s">
        <v>53</v>
      </c>
      <c r="M997">
        <v>2022</v>
      </c>
      <c r="N997" t="s">
        <v>100</v>
      </c>
      <c r="O997" t="s">
        <v>48</v>
      </c>
      <c r="P997">
        <v>507</v>
      </c>
      <c r="Q997">
        <f>AVERAGE(Table1[funds_raised_millions])</f>
        <v>470.28289473684208</v>
      </c>
      <c r="R997">
        <f>AVERAGE(Table1[total_laid_off])</f>
        <v>236.96936274509804</v>
      </c>
    </row>
    <row r="998" spans="1:18" x14ac:dyDescent="0.25">
      <c r="A998" s="3" t="s">
        <v>1054</v>
      </c>
      <c r="B998" t="s">
        <v>45</v>
      </c>
      <c r="C998" t="s">
        <v>41</v>
      </c>
      <c r="D998">
        <v>25</v>
      </c>
      <c r="E998" s="1">
        <v>0.1</v>
      </c>
      <c r="F998" s="1" t="str">
        <f>IF(Table1[[#This Row],[percentage_laid_off]]=100%,"1","0")</f>
        <v>0</v>
      </c>
      <c r="G998" t="s">
        <v>16</v>
      </c>
      <c r="H998" s="2">
        <v>44798</v>
      </c>
      <c r="I998" s="2" t="str">
        <f>TEXT(Table1[[#This Row],[date]],"dd")</f>
        <v>25</v>
      </c>
      <c r="J998" s="20">
        <f>DATE(2000,MONTH(Table1[[#This Row],[date]]),1)</f>
        <v>36739</v>
      </c>
      <c r="K998" s="18" t="str">
        <f>TEXT(Table1[[#This Row],[date]],"mm")</f>
        <v>08</v>
      </c>
      <c r="L998" s="16" t="s">
        <v>53</v>
      </c>
      <c r="M998">
        <v>2022</v>
      </c>
      <c r="N998" t="s">
        <v>71</v>
      </c>
      <c r="O998" t="s">
        <v>48</v>
      </c>
      <c r="P998" t="s">
        <v>15</v>
      </c>
      <c r="Q998">
        <f>AVERAGE(Table1[funds_raised_millions])</f>
        <v>470.28289473684208</v>
      </c>
      <c r="R998">
        <f>AVERAGE(Table1[total_laid_off])</f>
        <v>236.96936274509804</v>
      </c>
    </row>
    <row r="999" spans="1:18" x14ac:dyDescent="0.25">
      <c r="A999" s="3" t="s">
        <v>1055</v>
      </c>
      <c r="B999" t="s">
        <v>605</v>
      </c>
      <c r="C999" t="s">
        <v>161</v>
      </c>
      <c r="D999">
        <v>76</v>
      </c>
      <c r="E999" s="1">
        <v>0.23</v>
      </c>
      <c r="F999" s="1" t="str">
        <f>IF(Table1[[#This Row],[percentage_laid_off]]=100%,"1","0")</f>
        <v>0</v>
      </c>
      <c r="G999" t="s">
        <v>28</v>
      </c>
      <c r="H999" s="2">
        <v>44881</v>
      </c>
      <c r="I999" s="2" t="str">
        <f>TEXT(Table1[[#This Row],[date]],"dd")</f>
        <v>16</v>
      </c>
      <c r="J999" s="20">
        <f>DATE(2000,MONTH(Table1[[#This Row],[date]]),1)</f>
        <v>36831</v>
      </c>
      <c r="K999" s="18" t="str">
        <f>TEXT(Table1[[#This Row],[date]],"mm")</f>
        <v>11</v>
      </c>
      <c r="L999" s="16" t="s">
        <v>23</v>
      </c>
      <c r="M999">
        <v>2022</v>
      </c>
      <c r="N999" t="s">
        <v>30</v>
      </c>
      <c r="O999" t="s">
        <v>19</v>
      </c>
      <c r="P999">
        <v>56</v>
      </c>
      <c r="Q999">
        <f>AVERAGE(Table1[funds_raised_millions])</f>
        <v>470.28289473684208</v>
      </c>
      <c r="R999">
        <f>AVERAGE(Table1[total_laid_off])</f>
        <v>236.96936274509804</v>
      </c>
    </row>
    <row r="1000" spans="1:18" x14ac:dyDescent="0.25">
      <c r="A1000" s="3" t="s">
        <v>1056</v>
      </c>
      <c r="B1000" t="s">
        <v>88</v>
      </c>
      <c r="C1000" t="s">
        <v>112</v>
      </c>
      <c r="D1000">
        <v>34</v>
      </c>
      <c r="E1000" t="s">
        <v>15</v>
      </c>
      <c r="F1000" s="1" t="str">
        <f>IF(Table1[[#This Row],[percentage_laid_off]]=100%,"1","0")</f>
        <v>0</v>
      </c>
      <c r="G1000" t="b">
        <v>0</v>
      </c>
      <c r="H1000" s="2">
        <v>43909</v>
      </c>
      <c r="I1000" s="2" t="str">
        <f>TEXT(Table1[[#This Row],[date]],"dd")</f>
        <v>19</v>
      </c>
      <c r="J1000" s="20">
        <f>DATE(2000,MONTH(Table1[[#This Row],[date]]),1)</f>
        <v>36586</v>
      </c>
      <c r="K1000" s="18" t="str">
        <f>TEXT(Table1[[#This Row],[date]],"mm")</f>
        <v>03</v>
      </c>
      <c r="L1000" s="16" t="s">
        <v>57</v>
      </c>
      <c r="M1000">
        <v>2020</v>
      </c>
      <c r="N1000" t="s">
        <v>35</v>
      </c>
      <c r="O1000" t="s">
        <v>19</v>
      </c>
      <c r="P1000">
        <v>81</v>
      </c>
      <c r="Q1000">
        <f>AVERAGE(Table1[funds_raised_millions])</f>
        <v>470.28289473684208</v>
      </c>
      <c r="R1000">
        <f>AVERAGE(Table1[total_laid_off])</f>
        <v>236.96936274509804</v>
      </c>
    </row>
    <row r="1001" spans="1:18" x14ac:dyDescent="0.25">
      <c r="A1001" s="3" t="s">
        <v>1057</v>
      </c>
      <c r="B1001" t="s">
        <v>13</v>
      </c>
      <c r="C1001" t="s">
        <v>123</v>
      </c>
      <c r="D1001">
        <v>23</v>
      </c>
      <c r="E1001" s="1">
        <v>0.11</v>
      </c>
      <c r="F1001" s="1" t="str">
        <f>IF(Table1[[#This Row],[percentage_laid_off]]=100%,"1","0")</f>
        <v>0</v>
      </c>
      <c r="G1001" t="s">
        <v>28</v>
      </c>
      <c r="H1001" s="2">
        <v>44854</v>
      </c>
      <c r="I1001" s="2" t="str">
        <f>TEXT(Table1[[#This Row],[date]],"dd")</f>
        <v>20</v>
      </c>
      <c r="J1001" s="20">
        <f>DATE(2000,MONTH(Table1[[#This Row],[date]]),1)</f>
        <v>36800</v>
      </c>
      <c r="K1001" s="18" t="str">
        <f>TEXT(Table1[[#This Row],[date]],"mm")</f>
        <v>10</v>
      </c>
      <c r="L1001" s="16" t="s">
        <v>95</v>
      </c>
      <c r="M1001">
        <v>2022</v>
      </c>
      <c r="N1001" t="s">
        <v>35</v>
      </c>
      <c r="O1001" t="s">
        <v>19</v>
      </c>
      <c r="P1001">
        <v>203</v>
      </c>
      <c r="Q1001">
        <f>AVERAGE(Table1[funds_raised_millions])</f>
        <v>470.28289473684208</v>
      </c>
      <c r="R1001">
        <f>AVERAGE(Table1[total_laid_off])</f>
        <v>236.96936274509804</v>
      </c>
    </row>
  </sheetData>
  <sheetProtection algorithmName="SHA-512" hashValue="2BoC+ADiRajQ364UuJfVqxo/Crz+hSFMlp6D9p+3MvQjpcpjAz5/4ENtrFIgy6sGkR221eLBunD8AY1TBULjzQ==" saltValue="lLod+bSSOTT5kcrXDmFhbg==" spinCount="100000" sheet="1" objects="1" scenario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03760-E254-469F-B128-5B61D6493C0F}">
  <dimension ref="A1"/>
  <sheetViews>
    <sheetView zoomScale="62" zoomScaleNormal="62" workbookViewId="0">
      <selection activeCell="AB21" sqref="AB2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vt:lpstr>
      <vt:lpstr>overview</vt:lpstr>
      <vt:lpstr>analysis</vt:lpstr>
      <vt:lpstr>insights</vt:lpstr>
      <vt:lpstr>Sheet1</vt:lpstr>
      <vt:lpstr>dataset</vt:lpstr>
      <vt:lpstr>Dashboard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2026-02-09T19:25:49Z</dcterms:created>
  <dcterms:modified xsi:type="dcterms:W3CDTF">2026-04-12T21:32:27Z</dcterms:modified>
</cp:coreProperties>
</file>